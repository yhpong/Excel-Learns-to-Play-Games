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0DC4193B-F35B-4D63-BEE0-9159B9DE9323}" xr6:coauthVersionLast="47" xr6:coauthVersionMax="47" xr10:uidLastSave="{00000000-0000-0000-0000-000000000000}"/>
  <bookViews>
    <workbookView xWindow="-120" yWindow="-120" windowWidth="29040" windowHeight="15990" activeTab="2" xr2:uid="{22A4D6E7-E073-48DE-BBED-EC8C08C3FD9A}"/>
  </bookViews>
  <sheets>
    <sheet name="Stomp" sheetId="8" r:id="rId1"/>
    <sheet name="Maze" sheetId="1" r:id="rId2"/>
    <sheet name="MazeII" sheetId="14" r:id="rId3"/>
    <sheet name="Sheet1" sheetId="19" r:id="rId4"/>
    <sheet name="MazeTrainProgress" sheetId="9" r:id="rId5"/>
    <sheet name="MazeNN" sheetId="2" r:id="rId6"/>
    <sheet name="MazeStateAction" sheetId="10" r:id="rId7"/>
    <sheet name="MazeStateValue" sheetId="5" r:id="rId8"/>
    <sheet name="MazeIITrainProgress" sheetId="15" r:id="rId9"/>
    <sheet name="MazeIINN" sheetId="16" r:id="rId10"/>
    <sheet name="MazeIIStateAction" sheetId="17" r:id="rId11"/>
    <sheet name="MazeIIStateValue" sheetId="18" r:id="rId12"/>
    <sheet name="StompTrainProgress" sheetId="4" r:id="rId13"/>
    <sheet name="StompNN" sheetId="11" r:id="rId14"/>
    <sheet name="StompStateAction" sheetId="6" r:id="rId15"/>
    <sheet name="StompStateValue" sheetId="12" r:id="rId16"/>
    <sheet name="Iris" sheetId="20" r:id="rId17"/>
  </sheets>
  <calcPr calcId="181029"/>
</workbook>
</file>

<file path=xl/calcChain.xml><?xml version="1.0" encoding="utf-8"?>
<calcChain xmlns="http://schemas.openxmlformats.org/spreadsheetml/2006/main">
  <c r="I2" i="20" l="1" a="1"/>
  <c r="I2" i="20" s="1"/>
  <c r="AH1" i="20" a="1"/>
  <c r="I1" i="20" a="1"/>
  <c r="I1" i="20" s="1"/>
  <c r="AH1" i="20" l="1"/>
  <c r="P5" i="9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501" i="4"/>
  <c r="S9" i="10"/>
  <c r="R9" i="10"/>
  <c r="Q9" i="10"/>
  <c r="P9" i="10"/>
  <c r="O9" i="10"/>
  <c r="N9" i="10"/>
  <c r="M9" i="10"/>
  <c r="S8" i="10"/>
  <c r="R8" i="10"/>
  <c r="Q8" i="10"/>
  <c r="P8" i="10"/>
  <c r="O8" i="10"/>
  <c r="N8" i="10"/>
  <c r="M8" i="10"/>
  <c r="S7" i="10"/>
  <c r="R7" i="10"/>
  <c r="Q7" i="10"/>
  <c r="P7" i="10"/>
  <c r="O7" i="10"/>
  <c r="N7" i="10"/>
  <c r="M7" i="10"/>
  <c r="S6" i="10"/>
  <c r="R6" i="10"/>
  <c r="Q6" i="10"/>
  <c r="P6" i="10"/>
  <c r="O6" i="10"/>
  <c r="N6" i="10"/>
  <c r="M6" i="10"/>
  <c r="S5" i="10"/>
  <c r="R5" i="10"/>
  <c r="Q5" i="10"/>
  <c r="P5" i="10"/>
  <c r="O5" i="10"/>
  <c r="N5" i="10"/>
  <c r="M5" i="10"/>
  <c r="S4" i="10"/>
  <c r="R4" i="10"/>
  <c r="Q4" i="10"/>
  <c r="P4" i="10"/>
  <c r="O4" i="10"/>
  <c r="N4" i="10"/>
  <c r="M4" i="10"/>
  <c r="S3" i="10"/>
  <c r="R3" i="10"/>
  <c r="Q3" i="10"/>
  <c r="P3" i="10"/>
  <c r="O3" i="10"/>
  <c r="N3" i="10"/>
  <c r="M3" i="10"/>
  <c r="E12" i="8" l="1"/>
  <c r="C12" i="8"/>
  <c r="F9" i="8"/>
  <c r="E9" i="8"/>
  <c r="C9" i="8"/>
  <c r="B9" i="8"/>
  <c r="E8" i="8"/>
  <c r="B8" i="8"/>
  <c r="E7" i="8"/>
  <c r="B7" i="8"/>
  <c r="F6" i="8"/>
  <c r="E6" i="8"/>
  <c r="C6" i="8"/>
  <c r="C8" i="8" s="1"/>
  <c r="B6" i="8"/>
  <c r="C7" i="8" l="1"/>
</calcChain>
</file>

<file path=xl/sharedStrings.xml><?xml version="1.0" encoding="utf-8"?>
<sst xmlns="http://schemas.openxmlformats.org/spreadsheetml/2006/main" count="590" uniqueCount="62">
  <si>
    <t>Mario</t>
  </si>
  <si>
    <t>x</t>
  </si>
  <si>
    <t>y</t>
  </si>
  <si>
    <t>Refresh Rate</t>
  </si>
  <si>
    <t>*this value depends on speed of your PC and Excel, display will be jerky if set too high</t>
  </si>
  <si>
    <t>SIGMOID</t>
  </si>
  <si>
    <t>RELU</t>
  </si>
  <si>
    <t>LINEAR</t>
  </si>
  <si>
    <t>Player</t>
  </si>
  <si>
    <t>Maze</t>
  </si>
  <si>
    <t>Princess</t>
  </si>
  <si>
    <t>SOFTMAX</t>
  </si>
  <si>
    <t>Cycle</t>
  </si>
  <si>
    <t>Score</t>
  </si>
  <si>
    <t>Steps</t>
  </si>
  <si>
    <t>WinRate</t>
  </si>
  <si>
    <t>Turtle</t>
  </si>
  <si>
    <t>Label</t>
  </si>
  <si>
    <t>M</t>
  </si>
  <si>
    <t>Game</t>
  </si>
  <si>
    <t>Trained</t>
  </si>
  <si>
    <t>Stomp</t>
  </si>
  <si>
    <t>↑</t>
  </si>
  <si>
    <t>→</t>
  </si>
  <si>
    <t>↓</t>
  </si>
  <si>
    <t>←</t>
  </si>
  <si>
    <t>Greedy Actions from trained pilicy</t>
  </si>
  <si>
    <t>tuttle pos</t>
  </si>
  <si>
    <t>speed</t>
  </si>
  <si>
    <t>playe rpos</t>
  </si>
  <si>
    <t>player spead</t>
  </si>
  <si>
    <t>Action</t>
  </si>
  <si>
    <t>rewards</t>
  </si>
  <si>
    <t>discounted rewards</t>
  </si>
  <si>
    <t>advantages</t>
  </si>
  <si>
    <t>Date</t>
  </si>
  <si>
    <t>prob</t>
  </si>
  <si>
    <t>Value Error</t>
  </si>
  <si>
    <t xml:space="preserve"> </t>
  </si>
  <si>
    <t>Value (Error)</t>
  </si>
  <si>
    <t>MazeII</t>
  </si>
  <si>
    <t>P</t>
  </si>
  <si>
    <t xml:space="preserve">With memory </t>
  </si>
  <si>
    <t>No Memory</t>
  </si>
  <si>
    <t>F1</t>
  </si>
  <si>
    <t>F2</t>
  </si>
  <si>
    <t>F3</t>
  </si>
  <si>
    <t>F4</t>
  </si>
  <si>
    <t>Class</t>
  </si>
  <si>
    <t>Iris-setosa</t>
  </si>
  <si>
    <t>Iris-versicolor</t>
  </si>
  <si>
    <t>Iris-virginica</t>
  </si>
  <si>
    <t>Accuracy</t>
  </si>
  <si>
    <t>Fitted Class</t>
  </si>
  <si>
    <t>None</t>
  </si>
  <si>
    <t>RMS</t>
  </si>
  <si>
    <t>ADAM</t>
  </si>
  <si>
    <t>Loss</t>
  </si>
  <si>
    <t>step size</t>
  </si>
  <si>
    <t>*use trained or a randomly initialized player</t>
  </si>
  <si>
    <t>y_fit</t>
  </si>
  <si>
    <t>WIN! 26 moves.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</si>
</sst>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i/>
      <sz val="10"/>
      <color rgb="FFFF0000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2" borderId="0" xfId="0" applyFont="1" applyFill="1" applyAlignment="1">
      <alignment horizontal="right"/>
    </xf>
    <xf numFmtId="0" fontId="2" fillId="2" borderId="0" xfId="0" applyFont="1" applyFill="1"/>
    <xf numFmtId="0" fontId="1" fillId="0" borderId="0" xfId="0" applyFont="1"/>
    <xf numFmtId="2" fontId="1" fillId="0" borderId="0" xfId="0" applyNumberFormat="1" applyFont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10" fontId="0" fillId="0" borderId="0" xfId="1" applyNumberFormat="1" applyFont="1"/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3BE7B"/>
      <color rgb="FFFAFAFA"/>
      <color rgb="FFF9F9F9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Stomp!$B$3</c:f>
              <c:strCache>
                <c:ptCount val="1"/>
                <c:pt idx="0">
                  <c:v>Mario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Stomp!$B$5:$B$9</c:f>
              <c:numCache>
                <c:formatCode>General</c:formatCode>
                <c:ptCount val="5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</c:numCache>
            </c:numRef>
          </c:xVal>
          <c:yVal>
            <c:numRef>
              <c:f>Stomp!$C$5:$C$9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E-41C7-B875-18EB7F5D84B1}"/>
            </c:ext>
          </c:extLst>
        </c:ser>
        <c:ser>
          <c:idx val="1"/>
          <c:order val="1"/>
          <c:tx>
            <c:strRef>
              <c:f>Stomp!$E$3</c:f>
              <c:strCache>
                <c:ptCount val="1"/>
                <c:pt idx="0">
                  <c:v>Turtle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Stomp!$E$5:$E$9</c:f>
              <c:numCache>
                <c:formatCode>General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42</c:v>
                </c:pt>
                <c:pt idx="3">
                  <c:v>28</c:v>
                </c:pt>
                <c:pt idx="4">
                  <c:v>30</c:v>
                </c:pt>
              </c:numCache>
            </c:numRef>
          </c:xVal>
          <c:yVal>
            <c:numRef>
              <c:f>Stomp!$F$5:$F$9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E-41C7-B875-18EB7F5D84B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57F971-201D-417B-8199-F4829A55F845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71E-41C7-B875-18EB7F5D84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Stomp!$H$5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Stomp!$I$5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Stomp!$J$5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3-F71E-41C7-B875-18EB7F5D84B1}"/>
            </c:ext>
          </c:extLst>
        </c:ser>
        <c:ser>
          <c:idx val="3"/>
          <c:order val="3"/>
          <c:tx>
            <c:strRef>
              <c:f>Stomp!$G$12</c:f>
              <c:strCache>
                <c:ptCount val="1"/>
                <c:pt idx="0">
                  <c:v>Turtle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Stomp!$E$12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Stomp!$F$12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E-41C7-B875-18EB7F5D84B1}"/>
            </c:ext>
          </c:extLst>
        </c:ser>
        <c:ser>
          <c:idx val="4"/>
          <c:order val="4"/>
          <c:tx>
            <c:strRef>
              <c:f>Stomp!$D$12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B0F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Stomp!$C$12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E-41C7-B875-18EB7F5D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5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50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Stomp!$AA$1</c:f>
              <c:strCache>
                <c:ptCount val="1"/>
                <c:pt idx="0">
                  <c:v>rewards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Stomp!$AA$2:$AA$44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2832"/>
        <c:axId val="453070912"/>
      </c:scatterChart>
      <c:scatterChart>
        <c:scatterStyle val="lineMarker"/>
        <c:varyColors val="0"/>
        <c:ser>
          <c:idx val="1"/>
          <c:order val="1"/>
          <c:tx>
            <c:strRef>
              <c:f>Stomp!$AC$1</c:f>
              <c:strCache>
                <c:ptCount val="1"/>
                <c:pt idx="0">
                  <c:v>advantages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Stomp!$AC$2:$AC$44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5072"/>
        <c:axId val="453069952"/>
      </c:scatterChart>
      <c:valAx>
        <c:axId val="45307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912"/>
        <c:crosses val="autoZero"/>
        <c:crossBetween val="midCat"/>
      </c:valAx>
      <c:valAx>
        <c:axId val="453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2832"/>
        <c:crosses val="autoZero"/>
        <c:crossBetween val="midCat"/>
      </c:valAx>
      <c:valAx>
        <c:axId val="45306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5072"/>
        <c:crosses val="max"/>
        <c:crossBetween val="midCat"/>
      </c:valAx>
      <c:valAx>
        <c:axId val="45305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6087D85-575F-47BF-B788-129A1905931B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Maze!$B$5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20B-4885-A21A-F07F1E6A3583}"/>
            </c:ext>
          </c:extLst>
        </c:ser>
        <c:ser>
          <c:idx val="1"/>
          <c:order val="1"/>
          <c:tx>
            <c:strRef>
              <c:f>Maze!$E$3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</c:numCache>
            </c:numRef>
          </c:xVal>
          <c:yVal>
            <c:numRef>
              <c:f>Maze!$F$5:$F$31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0B-4885-A21A-F07F1E6A3583}"/>
            </c:ext>
          </c:extLst>
        </c:ser>
        <c:ser>
          <c:idx val="2"/>
          <c:order val="2"/>
          <c:tx>
            <c:strRef>
              <c:f>Maze!$H$3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81433E-45E9-41ED-BC5E-0E17490D02BC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Maze!$H$5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BB-4D28-9BF5-0273255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7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26D4533-2100-4A1D-8FF8-FE3A51E527DD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MazeII!$B$5:$B$9</c:f>
              <c:numCache>
                <c:formatCode>General</c:formatCode>
                <c:ptCount val="5"/>
                <c:pt idx="0">
                  <c:v>1</c:v>
                </c:pt>
              </c:numCache>
            </c:numRef>
          </c:xVal>
          <c:yVal>
            <c:numRef>
              <c:f>MazeII!$C$5:$C$9</c:f>
              <c:numCache>
                <c:formatCode>General</c:formatCode>
                <c:ptCount val="5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712-4AA1-9C6F-D2772362DF01}"/>
            </c:ext>
          </c:extLst>
        </c:ser>
        <c:ser>
          <c:idx val="1"/>
          <c:order val="1"/>
          <c:tx>
            <c:strRef>
              <c:f>MazeII!$E$3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MazeII!$E$5:$E$31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xVal>
          <c:yVal>
            <c:numRef>
              <c:f>MazeII!$F$5:$F$31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2-4AA1-9C6F-D2772362DF01}"/>
            </c:ext>
          </c:extLst>
        </c:ser>
        <c:ser>
          <c:idx val="2"/>
          <c:order val="2"/>
          <c:tx>
            <c:strRef>
              <c:f>MazeII!$H$3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B01FF0-9081-432B-A233-E325716BCA45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MazeII!$H$5:$H$9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MazeII!$I$5:$I$9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712-4AA1-9C6F-D2772362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13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29166666666667"/>
          <c:y val="6.4675925925925928E-2"/>
          <c:w val="0.811806313131313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Sheet1!$B$5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Sheet1!$B$6:$B$55</c:f>
              <c:numCache>
                <c:formatCode>General</c:formatCode>
                <c:ptCount val="50"/>
                <c:pt idx="0">
                  <c:v>-72.997000000000071</c:v>
                </c:pt>
                <c:pt idx="1">
                  <c:v>-57.000999999999941</c:v>
                </c:pt>
                <c:pt idx="2">
                  <c:v>-48.777999999999935</c:v>
                </c:pt>
                <c:pt idx="3">
                  <c:v>-36.893999999999934</c:v>
                </c:pt>
                <c:pt idx="4">
                  <c:v>-28.066999999999947</c:v>
                </c:pt>
                <c:pt idx="5">
                  <c:v>-19.472999999999971</c:v>
                </c:pt>
                <c:pt idx="6">
                  <c:v>-10.707999999999988</c:v>
                </c:pt>
                <c:pt idx="7">
                  <c:v>-7.9189999999999916</c:v>
                </c:pt>
                <c:pt idx="8">
                  <c:v>-6.8579999999999934</c:v>
                </c:pt>
                <c:pt idx="9">
                  <c:v>-6.4549999999999832</c:v>
                </c:pt>
                <c:pt idx="10">
                  <c:v>-6.3249999999999762</c:v>
                </c:pt>
                <c:pt idx="11">
                  <c:v>-6.3689999999999714</c:v>
                </c:pt>
                <c:pt idx="12">
                  <c:v>-5.8519999999999675</c:v>
                </c:pt>
                <c:pt idx="13">
                  <c:v>-5.2649999999999659</c:v>
                </c:pt>
                <c:pt idx="14">
                  <c:v>-5.0049999999999644</c:v>
                </c:pt>
                <c:pt idx="15">
                  <c:v>-4.6579999999999622</c:v>
                </c:pt>
                <c:pt idx="16">
                  <c:v>-4.7179999999999618</c:v>
                </c:pt>
                <c:pt idx="17">
                  <c:v>-3.2019999999999591</c:v>
                </c:pt>
                <c:pt idx="18">
                  <c:v>-2.8549999999999573</c:v>
                </c:pt>
                <c:pt idx="19">
                  <c:v>-2.5849999999999569</c:v>
                </c:pt>
                <c:pt idx="20">
                  <c:v>-3.0799999999999579</c:v>
                </c:pt>
                <c:pt idx="21">
                  <c:v>-2.5419999999999567</c:v>
                </c:pt>
                <c:pt idx="22">
                  <c:v>-2.0459999999999554</c:v>
                </c:pt>
                <c:pt idx="23">
                  <c:v>-2.4499999999999567</c:v>
                </c:pt>
                <c:pt idx="24">
                  <c:v>-2.2099999999999556</c:v>
                </c:pt>
                <c:pt idx="25">
                  <c:v>-2.1049999999999547</c:v>
                </c:pt>
                <c:pt idx="26">
                  <c:v>-1.5059999999999525</c:v>
                </c:pt>
                <c:pt idx="27">
                  <c:v>-1.7319999999999545</c:v>
                </c:pt>
                <c:pt idx="28">
                  <c:v>-3.5149999999999593</c:v>
                </c:pt>
                <c:pt idx="29">
                  <c:v>-3.7699999999999556</c:v>
                </c:pt>
                <c:pt idx="30">
                  <c:v>-5.6749999999999625</c:v>
                </c:pt>
                <c:pt idx="31">
                  <c:v>-4.7649999999999606</c:v>
                </c:pt>
                <c:pt idx="32">
                  <c:v>-4.0879999999999583</c:v>
                </c:pt>
                <c:pt idx="33">
                  <c:v>-5.5579999999999616</c:v>
                </c:pt>
                <c:pt idx="34">
                  <c:v>-6.2769999999999619</c:v>
                </c:pt>
                <c:pt idx="35">
                  <c:v>-2.824999999999954</c:v>
                </c:pt>
                <c:pt idx="36">
                  <c:v>-5.1209999999999605</c:v>
                </c:pt>
                <c:pt idx="37">
                  <c:v>-5.6459999999999608</c:v>
                </c:pt>
                <c:pt idx="38">
                  <c:v>-1.9699999999999531</c:v>
                </c:pt>
                <c:pt idx="39">
                  <c:v>-4.8959999999999608</c:v>
                </c:pt>
                <c:pt idx="40">
                  <c:v>-2.9599999999999556</c:v>
                </c:pt>
                <c:pt idx="41">
                  <c:v>-1.9999999999999531</c:v>
                </c:pt>
                <c:pt idx="42">
                  <c:v>-3.5449999999999564</c:v>
                </c:pt>
                <c:pt idx="43">
                  <c:v>-3.4549999999999561</c:v>
                </c:pt>
                <c:pt idx="44">
                  <c:v>-2.2399999999999536</c:v>
                </c:pt>
                <c:pt idx="45">
                  <c:v>-1.3709999999999505</c:v>
                </c:pt>
                <c:pt idx="46">
                  <c:v>0.74500000000005562</c:v>
                </c:pt>
                <c:pt idx="47">
                  <c:v>0.52000000000005409</c:v>
                </c:pt>
                <c:pt idx="48">
                  <c:v>-1.1599999999999511</c:v>
                </c:pt>
                <c:pt idx="49">
                  <c:v>1.7350000000000589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A53-A801-0AD7CB51EC7B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Sheet1!$F$6:$F$55</c:f>
              <c:numCache>
                <c:formatCode>General</c:formatCode>
                <c:ptCount val="5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F-4A53-A801-0AD7CB51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Averge</a:t>
                </a:r>
                <a:r>
                  <a:rPr lang="en-HK" baseline="0"/>
                  <a:t> scores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0759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4217171717172"/>
          <c:y val="6.4675925925925928E-2"/>
          <c:w val="0.834255808080808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Sheet1!$D$6:$D$55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1-4DA3-84AC-CB6A15510755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Sheet1!$H$6:$H$55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1-4DA3-84AC-CB6A15510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Win Rate</a:t>
                </a:r>
                <a:r>
                  <a:rPr lang="en-HK" baseline="0"/>
                  <a:t>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4287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MazeTrainProgress!$B$2:$B$5001</c:f>
              <c:numCache>
                <c:formatCode>General</c:formatCode>
                <c:ptCount val="5000"/>
                <c:pt idx="0">
                  <c:v>-37.365999999999978</c:v>
                </c:pt>
                <c:pt idx="1">
                  <c:v>-30.154999999999973</c:v>
                </c:pt>
                <c:pt idx="2">
                  <c:v>-26.037999999999968</c:v>
                </c:pt>
                <c:pt idx="3">
                  <c:v>-21.079999999999981</c:v>
                </c:pt>
                <c:pt idx="4">
                  <c:v>-16.407999999999983</c:v>
                </c:pt>
                <c:pt idx="5">
                  <c:v>-12.555999999999992</c:v>
                </c:pt>
                <c:pt idx="6">
                  <c:v>-3.4871999999999979</c:v>
                </c:pt>
                <c:pt idx="7">
                  <c:v>5.5557999999999979</c:v>
                </c:pt>
                <c:pt idx="8">
                  <c:v>14.263800000000002</c:v>
                </c:pt>
                <c:pt idx="9">
                  <c:v>17.183600000000002</c:v>
                </c:pt>
                <c:pt idx="10">
                  <c:v>18.9754</c:v>
                </c:pt>
                <c:pt idx="11">
                  <c:v>19.536200000000004</c:v>
                </c:pt>
                <c:pt idx="12">
                  <c:v>19.468999999999998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0.34</c:v>
                </c:pt>
                <c:pt idx="7">
                  <c:v>0.66</c:v>
                </c:pt>
                <c:pt idx="8">
                  <c:v>0.96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MazeTrainProgress!$G$2:$G$5001</c:f>
              <c:numCache>
                <c:formatCode>General</c:formatCode>
                <c:ptCount val="5000"/>
                <c:pt idx="0">
                  <c:v>0.2603256761826615</c:v>
                </c:pt>
                <c:pt idx="1">
                  <c:v>0.25588837279326754</c:v>
                </c:pt>
                <c:pt idx="2">
                  <c:v>0.25609768310877712</c:v>
                </c:pt>
                <c:pt idx="3">
                  <c:v>0.26196515145647681</c:v>
                </c:pt>
                <c:pt idx="4">
                  <c:v>0.25752961698846988</c:v>
                </c:pt>
                <c:pt idx="5">
                  <c:v>0.25701956845742185</c:v>
                </c:pt>
                <c:pt idx="6">
                  <c:v>0.25854579357564061</c:v>
                </c:pt>
                <c:pt idx="7">
                  <c:v>0.26333121730241105</c:v>
                </c:pt>
                <c:pt idx="8">
                  <c:v>0.25830065565133814</c:v>
                </c:pt>
                <c:pt idx="9">
                  <c:v>0.26363027715324477</c:v>
                </c:pt>
                <c:pt idx="10">
                  <c:v>0.26693477782154079</c:v>
                </c:pt>
                <c:pt idx="11">
                  <c:v>0.26792051145658186</c:v>
                </c:pt>
                <c:pt idx="12">
                  <c:v>0.26171512561075488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5-4F85-AFAA-0059906E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MazeIITrainProgress!$B$2:$B$5001</c:f>
              <c:numCache>
                <c:formatCode>General</c:formatCode>
                <c:ptCount val="500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MazeIITrainProgress!$D$1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MazeIITrainProgress!$G$2:$G$5001</c:f>
              <c:numCache>
                <c:formatCode>General</c:formatCode>
                <c:ptCount val="5000"/>
                <c:pt idx="0">
                  <c:v>1.8076285164275065</c:v>
                </c:pt>
                <c:pt idx="1">
                  <c:v>1.8032872480047606</c:v>
                </c:pt>
                <c:pt idx="2">
                  <c:v>1.7314562263136164</c:v>
                </c:pt>
                <c:pt idx="3">
                  <c:v>1.7046564498113039</c:v>
                </c:pt>
                <c:pt idx="4">
                  <c:v>1.6224562729656504</c:v>
                </c:pt>
                <c:pt idx="5">
                  <c:v>1.6634067137915416</c:v>
                </c:pt>
                <c:pt idx="6">
                  <c:v>1.5786757619212841</c:v>
                </c:pt>
                <c:pt idx="7">
                  <c:v>1.5528679716563114</c:v>
                </c:pt>
                <c:pt idx="8">
                  <c:v>1.5153901873357503</c:v>
                </c:pt>
                <c:pt idx="9">
                  <c:v>1.4608099230767126</c:v>
                </c:pt>
                <c:pt idx="10">
                  <c:v>1.3962009820430306</c:v>
                </c:pt>
                <c:pt idx="11">
                  <c:v>1.3102722744778239</c:v>
                </c:pt>
                <c:pt idx="12">
                  <c:v>1.2553937409016163</c:v>
                </c:pt>
                <c:pt idx="13">
                  <c:v>1.2598203862513997</c:v>
                </c:pt>
                <c:pt idx="14">
                  <c:v>1.2106417539141157</c:v>
                </c:pt>
                <c:pt idx="15">
                  <c:v>1.152820732274334</c:v>
                </c:pt>
                <c:pt idx="16">
                  <c:v>1.100625891601535</c:v>
                </c:pt>
                <c:pt idx="17">
                  <c:v>1.0809085395088587</c:v>
                </c:pt>
                <c:pt idx="18">
                  <c:v>1.2761264878610914</c:v>
                </c:pt>
                <c:pt idx="19">
                  <c:v>1.2836528828650562</c:v>
                </c:pt>
                <c:pt idx="20">
                  <c:v>1.2148217964722186</c:v>
                </c:pt>
                <c:pt idx="21">
                  <c:v>1.1894439323035004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6-4BA7-8B49-30A76233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StompTrainProgress!$B$2:$B$5001</c:f>
              <c:numCache>
                <c:formatCode>General</c:formatCode>
                <c:ptCount val="5000"/>
                <c:pt idx="0">
                  <c:v>-28.150174296379092</c:v>
                </c:pt>
                <c:pt idx="1">
                  <c:v>-24.406170118570344</c:v>
                </c:pt>
                <c:pt idx="2">
                  <c:v>-21.445352877378468</c:v>
                </c:pt>
                <c:pt idx="3">
                  <c:v>-14.30245124042035</c:v>
                </c:pt>
                <c:pt idx="4">
                  <c:v>-11.698168813705445</c:v>
                </c:pt>
                <c:pt idx="5">
                  <c:v>-10.639500792503357</c:v>
                </c:pt>
                <c:pt idx="6">
                  <c:v>-6.2435189300775589</c:v>
                </c:pt>
                <c:pt idx="7">
                  <c:v>-5.8972371306419298</c:v>
                </c:pt>
                <c:pt idx="8">
                  <c:v>-4.3717705470323569</c:v>
                </c:pt>
                <c:pt idx="9">
                  <c:v>-5.6346131252050391</c:v>
                </c:pt>
                <c:pt idx="10">
                  <c:v>-6.8636987048387503</c:v>
                </c:pt>
                <c:pt idx="11">
                  <c:v>-7.0773496582508049</c:v>
                </c:pt>
                <c:pt idx="12">
                  <c:v>-6.2996338722705811</c:v>
                </c:pt>
                <c:pt idx="13">
                  <c:v>-6.3863029209375428</c:v>
                </c:pt>
                <c:pt idx="14">
                  <c:v>-5.4168999438285743</c:v>
                </c:pt>
                <c:pt idx="15">
                  <c:v>-7.0181673291921634</c:v>
                </c:pt>
                <c:pt idx="16">
                  <c:v>-7.5701835293769868</c:v>
                </c:pt>
                <c:pt idx="17">
                  <c:v>-7.1296413855552672</c:v>
                </c:pt>
                <c:pt idx="18">
                  <c:v>-7.7043755719661746</c:v>
                </c:pt>
                <c:pt idx="19">
                  <c:v>-8.19691684269905</c:v>
                </c:pt>
                <c:pt idx="20">
                  <c:v>-7.3059137203693414</c:v>
                </c:pt>
                <c:pt idx="21">
                  <c:v>-8.4480647680759446</c:v>
                </c:pt>
                <c:pt idx="22">
                  <c:v>-7.7410595899820365</c:v>
                </c:pt>
                <c:pt idx="23">
                  <c:v>-8.4117763223648083</c:v>
                </c:pt>
                <c:pt idx="24">
                  <c:v>-8.5325178326368345</c:v>
                </c:pt>
                <c:pt idx="25">
                  <c:v>-7.8647960129976253</c:v>
                </c:pt>
                <c:pt idx="26">
                  <c:v>-8.1263297199010847</c:v>
                </c:pt>
                <c:pt idx="27">
                  <c:v>-6.2779277497530011</c:v>
                </c:pt>
                <c:pt idx="28">
                  <c:v>-7.2632529110908486</c:v>
                </c:pt>
                <c:pt idx="29">
                  <c:v>-6.4878300784826264</c:v>
                </c:pt>
                <c:pt idx="30">
                  <c:v>-7.0302702319622146</c:v>
                </c:pt>
                <c:pt idx="31">
                  <c:v>-7.9113638243675233</c:v>
                </c:pt>
                <c:pt idx="32">
                  <c:v>-8.232914300322534</c:v>
                </c:pt>
                <c:pt idx="33">
                  <c:v>-8.175858159422873</c:v>
                </c:pt>
                <c:pt idx="34">
                  <c:v>-9.1464405338764188</c:v>
                </c:pt>
                <c:pt idx="35">
                  <c:v>-6.5753470337390887</c:v>
                </c:pt>
                <c:pt idx="36">
                  <c:v>-8.7865559476614035</c:v>
                </c:pt>
                <c:pt idx="37">
                  <c:v>-7.6747264053821667</c:v>
                </c:pt>
                <c:pt idx="38">
                  <c:v>-5.1123987705707528</c:v>
                </c:pt>
                <c:pt idx="39">
                  <c:v>-7.9075799950361292</c:v>
                </c:pt>
                <c:pt idx="40">
                  <c:v>-5.2951562763452555</c:v>
                </c:pt>
                <c:pt idx="41">
                  <c:v>-6.9210989224910744</c:v>
                </c:pt>
                <c:pt idx="42">
                  <c:v>-6.947567244052899</c:v>
                </c:pt>
                <c:pt idx="43">
                  <c:v>-5.581122915148736</c:v>
                </c:pt>
                <c:pt idx="44">
                  <c:v>-5.3639056435823447</c:v>
                </c:pt>
                <c:pt idx="45">
                  <c:v>-8.0576528285741844</c:v>
                </c:pt>
                <c:pt idx="46">
                  <c:v>-5.7100666055679348</c:v>
                </c:pt>
                <c:pt idx="47">
                  <c:v>-6.6155203665494966</c:v>
                </c:pt>
                <c:pt idx="48">
                  <c:v>-5.6245567148923943</c:v>
                </c:pt>
                <c:pt idx="49">
                  <c:v>-6.1703789321184175</c:v>
                </c:pt>
                <c:pt idx="50">
                  <c:v>-5.6355282485485017</c:v>
                </c:pt>
                <c:pt idx="51">
                  <c:v>-5.155676820874211</c:v>
                </c:pt>
                <c:pt idx="52">
                  <c:v>-6.2039231261014871</c:v>
                </c:pt>
                <c:pt idx="53">
                  <c:v>-4.4398757650852234</c:v>
                </c:pt>
                <c:pt idx="54">
                  <c:v>-4.8138148097991911</c:v>
                </c:pt>
                <c:pt idx="55">
                  <c:v>-2.3731584115028306</c:v>
                </c:pt>
                <c:pt idx="56">
                  <c:v>-2.1513293449878668</c:v>
                </c:pt>
                <c:pt idx="57">
                  <c:v>-3.0342768470048793</c:v>
                </c:pt>
                <c:pt idx="58">
                  <c:v>-3.9813573868274794</c:v>
                </c:pt>
                <c:pt idx="59">
                  <c:v>-1.6956693792343105</c:v>
                </c:pt>
                <c:pt idx="60">
                  <c:v>-2.0370226864814729</c:v>
                </c:pt>
                <c:pt idx="61">
                  <c:v>-2.8702817240953475</c:v>
                </c:pt>
                <c:pt idx="62">
                  <c:v>0.39557017862796684</c:v>
                </c:pt>
                <c:pt idx="63">
                  <c:v>-1.8439279434680969</c:v>
                </c:pt>
                <c:pt idx="64">
                  <c:v>0.16030333411694012</c:v>
                </c:pt>
                <c:pt idx="65">
                  <c:v>-3.3111734669208506</c:v>
                </c:pt>
                <c:pt idx="66">
                  <c:v>-0.48489091002942414</c:v>
                </c:pt>
                <c:pt idx="67">
                  <c:v>-1.2422715457677851</c:v>
                </c:pt>
                <c:pt idx="68">
                  <c:v>0.78949371421337944</c:v>
                </c:pt>
                <c:pt idx="69">
                  <c:v>-0.86417751002312782</c:v>
                </c:pt>
                <c:pt idx="70">
                  <c:v>9.0464037775996611E-2</c:v>
                </c:pt>
                <c:pt idx="71">
                  <c:v>2.2815598245859205</c:v>
                </c:pt>
                <c:pt idx="72">
                  <c:v>0.89249649512768603</c:v>
                </c:pt>
                <c:pt idx="73">
                  <c:v>0.55763345885277393</c:v>
                </c:pt>
                <c:pt idx="74">
                  <c:v>-0.56552616083621654</c:v>
                </c:pt>
                <c:pt idx="75">
                  <c:v>-1.3624474960565609</c:v>
                </c:pt>
                <c:pt idx="76">
                  <c:v>1.4365997714996142</c:v>
                </c:pt>
                <c:pt idx="77">
                  <c:v>0.80215666973590938</c:v>
                </c:pt>
                <c:pt idx="78">
                  <c:v>0.1371258206367543</c:v>
                </c:pt>
                <c:pt idx="79">
                  <c:v>2.5460901095867206</c:v>
                </c:pt>
                <c:pt idx="80">
                  <c:v>2.2219892159700403</c:v>
                </c:pt>
                <c:pt idx="81">
                  <c:v>2.3673331120014134</c:v>
                </c:pt>
                <c:pt idx="82">
                  <c:v>2.9861768342256578</c:v>
                </c:pt>
                <c:pt idx="83">
                  <c:v>0.97795546948910128</c:v>
                </c:pt>
                <c:pt idx="84">
                  <c:v>1.4930485129356363</c:v>
                </c:pt>
                <c:pt idx="85">
                  <c:v>3.3656622703075425</c:v>
                </c:pt>
                <c:pt idx="86">
                  <c:v>3.1573844723701465</c:v>
                </c:pt>
                <c:pt idx="87">
                  <c:v>3.2040901094675052</c:v>
                </c:pt>
                <c:pt idx="88">
                  <c:v>3.1047858864069093</c:v>
                </c:pt>
                <c:pt idx="89">
                  <c:v>4.5098116874694805</c:v>
                </c:pt>
                <c:pt idx="90">
                  <c:v>2.9098587023019769</c:v>
                </c:pt>
                <c:pt idx="91">
                  <c:v>4.3415258949994913</c:v>
                </c:pt>
                <c:pt idx="92">
                  <c:v>3.221728698611257</c:v>
                </c:pt>
                <c:pt idx="93">
                  <c:v>4.0653055576086237</c:v>
                </c:pt>
                <c:pt idx="94">
                  <c:v>3.1328183947801636</c:v>
                </c:pt>
                <c:pt idx="95">
                  <c:v>4.4250968495607275</c:v>
                </c:pt>
                <c:pt idx="96">
                  <c:v>4.4557783430814819</c:v>
                </c:pt>
                <c:pt idx="97">
                  <c:v>3.6248031394481672</c:v>
                </c:pt>
                <c:pt idx="98">
                  <c:v>4.4805485982894782</c:v>
                </c:pt>
                <c:pt idx="99">
                  <c:v>3.716137512803066</c:v>
                </c:pt>
                <c:pt idx="100">
                  <c:v>3.6387366638183614</c:v>
                </c:pt>
                <c:pt idx="101">
                  <c:v>2.0954478194713544</c:v>
                </c:pt>
                <c:pt idx="102">
                  <c:v>4.4053174310922705</c:v>
                </c:pt>
                <c:pt idx="103">
                  <c:v>3.8286909850835786</c:v>
                </c:pt>
                <c:pt idx="104">
                  <c:v>4.823693702220921</c:v>
                </c:pt>
                <c:pt idx="105">
                  <c:v>3.7154294291734864</c:v>
                </c:pt>
                <c:pt idx="106">
                  <c:v>3.732146315693853</c:v>
                </c:pt>
                <c:pt idx="107">
                  <c:v>4.150951037049281</c:v>
                </c:pt>
                <c:pt idx="108">
                  <c:v>4.1887515786886427</c:v>
                </c:pt>
                <c:pt idx="109">
                  <c:v>4.0288197968006187</c:v>
                </c:pt>
                <c:pt idx="110">
                  <c:v>4.5737262437343356</c:v>
                </c:pt>
                <c:pt idx="111">
                  <c:v>3.9658625226020776</c:v>
                </c:pt>
                <c:pt idx="112">
                  <c:v>4.5752890038490301</c:v>
                </c:pt>
                <c:pt idx="113">
                  <c:v>4.0331039822101671</c:v>
                </c:pt>
                <c:pt idx="114">
                  <c:v>5.176521173834808</c:v>
                </c:pt>
                <c:pt idx="115">
                  <c:v>5.5710882264375581</c:v>
                </c:pt>
                <c:pt idx="116">
                  <c:v>3.7221824636459373</c:v>
                </c:pt>
                <c:pt idx="117">
                  <c:v>4.1250687946081301</c:v>
                </c:pt>
                <c:pt idx="118">
                  <c:v>5.7573014144897448</c:v>
                </c:pt>
                <c:pt idx="119">
                  <c:v>5.1167025004625302</c:v>
                </c:pt>
                <c:pt idx="120">
                  <c:v>4.6337473948001922</c:v>
                </c:pt>
                <c:pt idx="121">
                  <c:v>4.1642280344963183</c:v>
                </c:pt>
                <c:pt idx="122">
                  <c:v>4.5954856474399568</c:v>
                </c:pt>
                <c:pt idx="123">
                  <c:v>4.9706315021514964</c:v>
                </c:pt>
                <c:pt idx="124">
                  <c:v>4.6325855040550259</c:v>
                </c:pt>
                <c:pt idx="125">
                  <c:v>4.3154147725105476</c:v>
                </c:pt>
                <c:pt idx="126">
                  <c:v>4.4855844970941696</c:v>
                </c:pt>
                <c:pt idx="127">
                  <c:v>3.8714463881254169</c:v>
                </c:pt>
                <c:pt idx="128">
                  <c:v>5.4908922693729405</c:v>
                </c:pt>
                <c:pt idx="129">
                  <c:v>5.5490994056463148</c:v>
                </c:pt>
                <c:pt idx="130">
                  <c:v>4.0108017524480859</c:v>
                </c:pt>
                <c:pt idx="131">
                  <c:v>4.9501352875232678</c:v>
                </c:pt>
                <c:pt idx="132">
                  <c:v>4.8593337421417271</c:v>
                </c:pt>
                <c:pt idx="133">
                  <c:v>4.6752051405906858</c:v>
                </c:pt>
                <c:pt idx="134">
                  <c:v>5.3459240270853137</c:v>
                </c:pt>
                <c:pt idx="135">
                  <c:v>5.4830455811023766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StompTrainProgress!$D$1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StompTrainProgress!$D$2:$D$5001</c:f>
              <c:numCache>
                <c:formatCode>General</c:formatCode>
                <c:ptCount val="5000"/>
                <c:pt idx="0">
                  <c:v>0.28000000000000003</c:v>
                </c:pt>
                <c:pt idx="1">
                  <c:v>0.36</c:v>
                </c:pt>
                <c:pt idx="2">
                  <c:v>0.24</c:v>
                </c:pt>
                <c:pt idx="3">
                  <c:v>0.5</c:v>
                </c:pt>
                <c:pt idx="4">
                  <c:v>0.38</c:v>
                </c:pt>
                <c:pt idx="5">
                  <c:v>0.28000000000000003</c:v>
                </c:pt>
                <c:pt idx="6">
                  <c:v>0.44</c:v>
                </c:pt>
                <c:pt idx="7">
                  <c:v>0.42</c:v>
                </c:pt>
                <c:pt idx="8">
                  <c:v>0.46</c:v>
                </c:pt>
                <c:pt idx="9">
                  <c:v>0.34</c:v>
                </c:pt>
                <c:pt idx="10">
                  <c:v>0.26</c:v>
                </c:pt>
                <c:pt idx="11">
                  <c:v>0.24</c:v>
                </c:pt>
                <c:pt idx="12">
                  <c:v>0.26</c:v>
                </c:pt>
                <c:pt idx="13">
                  <c:v>0.26</c:v>
                </c:pt>
                <c:pt idx="14">
                  <c:v>0.3</c:v>
                </c:pt>
                <c:pt idx="15">
                  <c:v>0.22</c:v>
                </c:pt>
                <c:pt idx="16">
                  <c:v>0.16</c:v>
                </c:pt>
                <c:pt idx="17">
                  <c:v>0.2</c:v>
                </c:pt>
                <c:pt idx="18">
                  <c:v>0.16</c:v>
                </c:pt>
                <c:pt idx="19">
                  <c:v>0.12</c:v>
                </c:pt>
                <c:pt idx="20">
                  <c:v>0.16</c:v>
                </c:pt>
                <c:pt idx="21">
                  <c:v>0.1</c:v>
                </c:pt>
                <c:pt idx="22">
                  <c:v>0.16</c:v>
                </c:pt>
                <c:pt idx="23">
                  <c:v>0.1</c:v>
                </c:pt>
                <c:pt idx="24">
                  <c:v>0.1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0.24</c:v>
                </c:pt>
                <c:pt idx="28">
                  <c:v>0.18</c:v>
                </c:pt>
                <c:pt idx="29">
                  <c:v>0.24</c:v>
                </c:pt>
                <c:pt idx="30">
                  <c:v>0.2</c:v>
                </c:pt>
                <c:pt idx="31">
                  <c:v>0.16</c:v>
                </c:pt>
                <c:pt idx="32">
                  <c:v>0.12</c:v>
                </c:pt>
                <c:pt idx="33">
                  <c:v>0.12</c:v>
                </c:pt>
                <c:pt idx="34">
                  <c:v>0.06</c:v>
                </c:pt>
                <c:pt idx="35">
                  <c:v>0.26</c:v>
                </c:pt>
                <c:pt idx="36">
                  <c:v>0.08</c:v>
                </c:pt>
                <c:pt idx="37">
                  <c:v>0.16</c:v>
                </c:pt>
                <c:pt idx="38">
                  <c:v>0.3</c:v>
                </c:pt>
                <c:pt idx="39">
                  <c:v>0.16</c:v>
                </c:pt>
                <c:pt idx="40">
                  <c:v>0.28000000000000003</c:v>
                </c:pt>
                <c:pt idx="41">
                  <c:v>0.2</c:v>
                </c:pt>
                <c:pt idx="42">
                  <c:v>0.22</c:v>
                </c:pt>
                <c:pt idx="43">
                  <c:v>0.3</c:v>
                </c:pt>
                <c:pt idx="44">
                  <c:v>0.32</c:v>
                </c:pt>
                <c:pt idx="45">
                  <c:v>0.14000000000000001</c:v>
                </c:pt>
                <c:pt idx="46">
                  <c:v>0.3</c:v>
                </c:pt>
                <c:pt idx="47">
                  <c:v>0.24</c:v>
                </c:pt>
                <c:pt idx="48">
                  <c:v>0.28000000000000003</c:v>
                </c:pt>
                <c:pt idx="49">
                  <c:v>0.26</c:v>
                </c:pt>
                <c:pt idx="50">
                  <c:v>0.28000000000000003</c:v>
                </c:pt>
                <c:pt idx="51">
                  <c:v>0.32</c:v>
                </c:pt>
                <c:pt idx="52">
                  <c:v>0.28000000000000003</c:v>
                </c:pt>
                <c:pt idx="53">
                  <c:v>0.36</c:v>
                </c:pt>
                <c:pt idx="54">
                  <c:v>0.36</c:v>
                </c:pt>
                <c:pt idx="55">
                  <c:v>0.5</c:v>
                </c:pt>
                <c:pt idx="56">
                  <c:v>0.52</c:v>
                </c:pt>
                <c:pt idx="57">
                  <c:v>0.46</c:v>
                </c:pt>
                <c:pt idx="58">
                  <c:v>0.4</c:v>
                </c:pt>
                <c:pt idx="59">
                  <c:v>0.54</c:v>
                </c:pt>
                <c:pt idx="60">
                  <c:v>0.54</c:v>
                </c:pt>
                <c:pt idx="61">
                  <c:v>0.48</c:v>
                </c:pt>
                <c:pt idx="62">
                  <c:v>0.68</c:v>
                </c:pt>
                <c:pt idx="63">
                  <c:v>0.52</c:v>
                </c:pt>
                <c:pt idx="64">
                  <c:v>0.66</c:v>
                </c:pt>
                <c:pt idx="65">
                  <c:v>0.46</c:v>
                </c:pt>
                <c:pt idx="66">
                  <c:v>0.6</c:v>
                </c:pt>
                <c:pt idx="67">
                  <c:v>0.6</c:v>
                </c:pt>
                <c:pt idx="68">
                  <c:v>0.72</c:v>
                </c:pt>
                <c:pt idx="69">
                  <c:v>0.6</c:v>
                </c:pt>
                <c:pt idx="70">
                  <c:v>0.66</c:v>
                </c:pt>
                <c:pt idx="71">
                  <c:v>0.8</c:v>
                </c:pt>
                <c:pt idx="72">
                  <c:v>0.72</c:v>
                </c:pt>
                <c:pt idx="73">
                  <c:v>0.7</c:v>
                </c:pt>
                <c:pt idx="74">
                  <c:v>0.6</c:v>
                </c:pt>
                <c:pt idx="75">
                  <c:v>0.6</c:v>
                </c:pt>
                <c:pt idx="76">
                  <c:v>0.72</c:v>
                </c:pt>
                <c:pt idx="77">
                  <c:v>0.7</c:v>
                </c:pt>
                <c:pt idx="78">
                  <c:v>0.7</c:v>
                </c:pt>
                <c:pt idx="79">
                  <c:v>0.78</c:v>
                </c:pt>
                <c:pt idx="80">
                  <c:v>0.76</c:v>
                </c:pt>
                <c:pt idx="81">
                  <c:v>0.78</c:v>
                </c:pt>
                <c:pt idx="82">
                  <c:v>0.82</c:v>
                </c:pt>
                <c:pt idx="83">
                  <c:v>0.72</c:v>
                </c:pt>
                <c:pt idx="84">
                  <c:v>0.76</c:v>
                </c:pt>
                <c:pt idx="85">
                  <c:v>0.86</c:v>
                </c:pt>
                <c:pt idx="86">
                  <c:v>0.86</c:v>
                </c:pt>
                <c:pt idx="87">
                  <c:v>0.84</c:v>
                </c:pt>
                <c:pt idx="88">
                  <c:v>0.88</c:v>
                </c:pt>
                <c:pt idx="89">
                  <c:v>0.94</c:v>
                </c:pt>
                <c:pt idx="90">
                  <c:v>0.82</c:v>
                </c:pt>
                <c:pt idx="91">
                  <c:v>0.9</c:v>
                </c:pt>
                <c:pt idx="92">
                  <c:v>0.86</c:v>
                </c:pt>
                <c:pt idx="93">
                  <c:v>0.88</c:v>
                </c:pt>
                <c:pt idx="94">
                  <c:v>0.86</c:v>
                </c:pt>
                <c:pt idx="95">
                  <c:v>0.9</c:v>
                </c:pt>
                <c:pt idx="96">
                  <c:v>0.94</c:v>
                </c:pt>
                <c:pt idx="97">
                  <c:v>0.88</c:v>
                </c:pt>
                <c:pt idx="98">
                  <c:v>0.92</c:v>
                </c:pt>
                <c:pt idx="99">
                  <c:v>0.92</c:v>
                </c:pt>
                <c:pt idx="100">
                  <c:v>0.9</c:v>
                </c:pt>
                <c:pt idx="101">
                  <c:v>0.82</c:v>
                </c:pt>
                <c:pt idx="102">
                  <c:v>0.9</c:v>
                </c:pt>
                <c:pt idx="103">
                  <c:v>0.88</c:v>
                </c:pt>
                <c:pt idx="104">
                  <c:v>0.92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0.94</c:v>
                </c:pt>
                <c:pt idx="109">
                  <c:v>0.9</c:v>
                </c:pt>
                <c:pt idx="110">
                  <c:v>0.96</c:v>
                </c:pt>
                <c:pt idx="111">
                  <c:v>0.88</c:v>
                </c:pt>
                <c:pt idx="112">
                  <c:v>0.94</c:v>
                </c:pt>
                <c:pt idx="113">
                  <c:v>0.88</c:v>
                </c:pt>
                <c:pt idx="114">
                  <c:v>0.94</c:v>
                </c:pt>
                <c:pt idx="115">
                  <c:v>0.98</c:v>
                </c:pt>
                <c:pt idx="116">
                  <c:v>0.9</c:v>
                </c:pt>
                <c:pt idx="117">
                  <c:v>0.9</c:v>
                </c:pt>
                <c:pt idx="118">
                  <c:v>0.98</c:v>
                </c:pt>
                <c:pt idx="119">
                  <c:v>0.98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1</c:v>
                </c:pt>
                <c:pt idx="124">
                  <c:v>0.96</c:v>
                </c:pt>
                <c:pt idx="125">
                  <c:v>0.94</c:v>
                </c:pt>
                <c:pt idx="126">
                  <c:v>0.94</c:v>
                </c:pt>
                <c:pt idx="127">
                  <c:v>0.92</c:v>
                </c:pt>
                <c:pt idx="128">
                  <c:v>1</c:v>
                </c:pt>
                <c:pt idx="129">
                  <c:v>0.98</c:v>
                </c:pt>
                <c:pt idx="130">
                  <c:v>0.94</c:v>
                </c:pt>
                <c:pt idx="131">
                  <c:v>0.98</c:v>
                </c:pt>
                <c:pt idx="132">
                  <c:v>0.96</c:v>
                </c:pt>
                <c:pt idx="133">
                  <c:v>0.96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StompTrainProgress!$G$1</c:f>
              <c:strCache>
                <c:ptCount val="1"/>
                <c:pt idx="0">
                  <c:v>Value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StompTrainProgress!$G$2:$G$5001</c:f>
              <c:numCache>
                <c:formatCode>General</c:formatCode>
                <c:ptCount val="5000"/>
                <c:pt idx="0">
                  <c:v>0.83365434898246549</c:v>
                </c:pt>
                <c:pt idx="1">
                  <c:v>0.78266811410658488</c:v>
                </c:pt>
                <c:pt idx="2">
                  <c:v>0.7337576664247436</c:v>
                </c:pt>
                <c:pt idx="3">
                  <c:v>0.68446379277821057</c:v>
                </c:pt>
                <c:pt idx="4">
                  <c:v>0.65760728940622404</c:v>
                </c:pt>
                <c:pt idx="5">
                  <c:v>0.63181705095780616</c:v>
                </c:pt>
                <c:pt idx="6">
                  <c:v>0.59957884062536437</c:v>
                </c:pt>
                <c:pt idx="7">
                  <c:v>0.5748318267890199</c:v>
                </c:pt>
                <c:pt idx="8">
                  <c:v>0.54104917260634378</c:v>
                </c:pt>
                <c:pt idx="9">
                  <c:v>0.51016470882467813</c:v>
                </c:pt>
                <c:pt idx="10">
                  <c:v>0.48260326033207956</c:v>
                </c:pt>
                <c:pt idx="11">
                  <c:v>0.45368277447359379</c:v>
                </c:pt>
                <c:pt idx="12">
                  <c:v>0.43409058290734098</c:v>
                </c:pt>
                <c:pt idx="13">
                  <c:v>0.43195291844127665</c:v>
                </c:pt>
                <c:pt idx="14">
                  <c:v>0.41308289145344007</c:v>
                </c:pt>
                <c:pt idx="15">
                  <c:v>0.38609063526856696</c:v>
                </c:pt>
                <c:pt idx="16">
                  <c:v>0.37700967523809337</c:v>
                </c:pt>
                <c:pt idx="17">
                  <c:v>0.36710119756142218</c:v>
                </c:pt>
                <c:pt idx="18">
                  <c:v>0.34202591064138688</c:v>
                </c:pt>
                <c:pt idx="19">
                  <c:v>0.34245146755804984</c:v>
                </c:pt>
                <c:pt idx="20">
                  <c:v>0.33875687854302694</c:v>
                </c:pt>
                <c:pt idx="21">
                  <c:v>0.36166502155256025</c:v>
                </c:pt>
                <c:pt idx="22">
                  <c:v>0.3665179806132145</c:v>
                </c:pt>
                <c:pt idx="23">
                  <c:v>0.34004447760542483</c:v>
                </c:pt>
                <c:pt idx="24">
                  <c:v>0.35733644124371972</c:v>
                </c:pt>
                <c:pt idx="25">
                  <c:v>0.36345207978871302</c:v>
                </c:pt>
                <c:pt idx="26">
                  <c:v>0.35406120093161209</c:v>
                </c:pt>
                <c:pt idx="27">
                  <c:v>0.32763036793006095</c:v>
                </c:pt>
                <c:pt idx="28">
                  <c:v>0.3164367657745818</c:v>
                </c:pt>
                <c:pt idx="29">
                  <c:v>0.30043076139815872</c:v>
                </c:pt>
                <c:pt idx="30">
                  <c:v>0.28813679657672947</c:v>
                </c:pt>
                <c:pt idx="31">
                  <c:v>0.29648383245561272</c:v>
                </c:pt>
                <c:pt idx="32">
                  <c:v>0.28204597236244466</c:v>
                </c:pt>
                <c:pt idx="33">
                  <c:v>0.29344990303624074</c:v>
                </c:pt>
                <c:pt idx="34">
                  <c:v>0.29404920672455387</c:v>
                </c:pt>
                <c:pt idx="35">
                  <c:v>0.27803399499228004</c:v>
                </c:pt>
                <c:pt idx="36">
                  <c:v>0.26896421107338619</c:v>
                </c:pt>
                <c:pt idx="37">
                  <c:v>0.2485239457394163</c:v>
                </c:pt>
                <c:pt idx="38">
                  <c:v>0.2445475501709225</c:v>
                </c:pt>
                <c:pt idx="39">
                  <c:v>0.24100727010020792</c:v>
                </c:pt>
                <c:pt idx="40">
                  <c:v>0.23556783966617792</c:v>
                </c:pt>
                <c:pt idx="41">
                  <c:v>0.23965301832669078</c:v>
                </c:pt>
                <c:pt idx="42">
                  <c:v>0.25242603666242147</c:v>
                </c:pt>
                <c:pt idx="43">
                  <c:v>0.24517725105572663</c:v>
                </c:pt>
                <c:pt idx="44">
                  <c:v>0.26348650923866296</c:v>
                </c:pt>
                <c:pt idx="45">
                  <c:v>0.27367246968698866</c:v>
                </c:pt>
                <c:pt idx="46">
                  <c:v>0.26384155938311038</c:v>
                </c:pt>
                <c:pt idx="47">
                  <c:v>0.27251759161428918</c:v>
                </c:pt>
                <c:pt idx="48">
                  <c:v>0.25161342883238769</c:v>
                </c:pt>
                <c:pt idx="49">
                  <c:v>0.23861422204539157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StompTrainProgress!$H$2:$H$5001</c:f>
              <c:numCache>
                <c:formatCode>0.00%</c:formatCode>
                <c:ptCount val="5000"/>
                <c:pt idx="1">
                  <c:v>-6.1159921900620973E-2</c:v>
                </c:pt>
                <c:pt idx="2">
                  <c:v>-6.2491938537284755E-2</c:v>
                </c:pt>
                <c:pt idx="3">
                  <c:v>-6.7180045813652514E-2</c:v>
                </c:pt>
                <c:pt idx="4">
                  <c:v>-3.9237288597804537E-2</c:v>
                </c:pt>
                <c:pt idx="5">
                  <c:v>-3.921829770424954E-2</c:v>
                </c:pt>
                <c:pt idx="6">
                  <c:v>-5.1024596888561508E-2</c:v>
                </c:pt>
                <c:pt idx="7">
                  <c:v>-4.1273994610172018E-2</c:v>
                </c:pt>
                <c:pt idx="8">
                  <c:v>-5.8769630713358785E-2</c:v>
                </c:pt>
                <c:pt idx="9">
                  <c:v>-5.7082545072361747E-2</c:v>
                </c:pt>
                <c:pt idx="10">
                  <c:v>-5.4024608162518466E-2</c:v>
                </c:pt>
                <c:pt idx="11">
                  <c:v>-5.9926005967273356E-2</c:v>
                </c:pt>
                <c:pt idx="12">
                  <c:v>-4.318478167698904E-2</c:v>
                </c:pt>
                <c:pt idx="13">
                  <c:v>-4.9244663446675911E-3</c:v>
                </c:pt>
                <c:pt idx="14">
                  <c:v>-4.3685379082354613E-2</c:v>
                </c:pt>
                <c:pt idx="15">
                  <c:v>-6.5343437705445359E-2</c:v>
                </c:pt>
                <c:pt idx="16">
                  <c:v>-2.3520280475481683E-2</c:v>
                </c:pt>
                <c:pt idx="17">
                  <c:v>-2.6281759666814061E-2</c:v>
                </c:pt>
                <c:pt idx="18">
                  <c:v>-6.8306197546086148E-2</c:v>
                </c:pt>
                <c:pt idx="19">
                  <c:v>1.2442242047245259E-3</c:v>
                </c:pt>
                <c:pt idx="20">
                  <c:v>-1.0788649969492739E-2</c:v>
                </c:pt>
                <c:pt idx="21">
                  <c:v>6.7624141266326057E-2</c:v>
                </c:pt>
                <c:pt idx="22">
                  <c:v>1.3418381019600415E-2</c:v>
                </c:pt>
                <c:pt idx="23">
                  <c:v>-7.2229752448972173E-2</c:v>
                </c:pt>
                <c:pt idx="24">
                  <c:v>5.08520642948357E-2</c:v>
                </c:pt>
                <c:pt idx="25">
                  <c:v>1.7114511253617605E-2</c:v>
                </c:pt>
                <c:pt idx="26">
                  <c:v>-2.5838011059285099E-2</c:v>
                </c:pt>
                <c:pt idx="27">
                  <c:v>-7.4650464190953031E-2</c:v>
                </c:pt>
                <c:pt idx="28">
                  <c:v>-3.4165337682826293E-2</c:v>
                </c:pt>
                <c:pt idx="29">
                  <c:v>-5.0581999652420863E-2</c:v>
                </c:pt>
                <c:pt idx="30">
                  <c:v>-4.0921125267649093E-2</c:v>
                </c:pt>
                <c:pt idx="31">
                  <c:v>2.8969003536000897E-2</c:v>
                </c:pt>
                <c:pt idx="32">
                  <c:v>-4.8696955829217362E-2</c:v>
                </c:pt>
                <c:pt idx="33">
                  <c:v>4.0432879002935733E-2</c:v>
                </c:pt>
                <c:pt idx="34">
                  <c:v>2.0422691645568913E-3</c:v>
                </c:pt>
                <c:pt idx="35">
                  <c:v>-5.4464393598163428E-2</c:v>
                </c:pt>
                <c:pt idx="36">
                  <c:v>-3.2621132963059719E-2</c:v>
                </c:pt>
                <c:pt idx="37">
                  <c:v>-7.5996227350830767E-2</c:v>
                </c:pt>
                <c:pt idx="38">
                  <c:v>-1.6000050042112052E-2</c:v>
                </c:pt>
                <c:pt idx="39">
                  <c:v>-1.4476857642778099E-2</c:v>
                </c:pt>
                <c:pt idx="40">
                  <c:v>-2.2569569921141182E-2</c:v>
                </c:pt>
                <c:pt idx="41">
                  <c:v>1.7341835228025817E-2</c:v>
                </c:pt>
                <c:pt idx="42">
                  <c:v>5.3297965637631721E-2</c:v>
                </c:pt>
                <c:pt idx="43">
                  <c:v>-2.8716473556128861E-2</c:v>
                </c:pt>
                <c:pt idx="44">
                  <c:v>7.4677638745426642E-2</c:v>
                </c:pt>
                <c:pt idx="45">
                  <c:v>3.8658375632808516E-2</c:v>
                </c:pt>
                <c:pt idx="46">
                  <c:v>-3.5922174835935565E-2</c:v>
                </c:pt>
                <c:pt idx="47">
                  <c:v>3.2883493606785393E-2</c:v>
                </c:pt>
                <c:pt idx="48">
                  <c:v>-7.670757200690527E-2</c:v>
                </c:pt>
                <c:pt idx="49">
                  <c:v>-5.1663406231213294E-2</c:v>
                </c:pt>
                <c:pt idx="50">
                  <c:v>-1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4272"/>
        <c:axId val="453061792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4530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3074272"/>
        <c:crosses val="max"/>
        <c:crossBetween val="midCat"/>
      </c:valAx>
      <c:valAx>
        <c:axId val="45307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21588484848484848"/>
          <c:h val="0.18918425925925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</c:numCache>
            </c:numRef>
          </c:xVal>
          <c:yVal>
            <c:numRef>
              <c:f>Iris!$M$2:$M$601</c:f>
              <c:numCache>
                <c:formatCode>General</c:formatCode>
                <c:ptCount val="600"/>
                <c:pt idx="0">
                  <c:v>5.4621486646114346E-2</c:v>
                </c:pt>
                <c:pt idx="1">
                  <c:v>5.0622193628615753E-2</c:v>
                </c:pt>
                <c:pt idx="2">
                  <c:v>0.12026614079734455</c:v>
                </c:pt>
                <c:pt idx="3">
                  <c:v>4.8603149292365797E-2</c:v>
                </c:pt>
                <c:pt idx="4">
                  <c:v>4.8132794752164143E-2</c:v>
                </c:pt>
                <c:pt idx="5">
                  <c:v>4.7710524746158806E-2</c:v>
                </c:pt>
                <c:pt idx="6">
                  <c:v>4.7299603138393466E-2</c:v>
                </c:pt>
                <c:pt idx="7">
                  <c:v>4.6879614088685885E-2</c:v>
                </c:pt>
                <c:pt idx="8">
                  <c:v>4.6466797922517705E-2</c:v>
                </c:pt>
                <c:pt idx="9">
                  <c:v>4.6048214292863598E-2</c:v>
                </c:pt>
                <c:pt idx="10">
                  <c:v>4.5638972340333976E-2</c:v>
                </c:pt>
                <c:pt idx="11">
                  <c:v>4.5244234194443567E-2</c:v>
                </c:pt>
                <c:pt idx="12">
                  <c:v>4.4890787269066749E-2</c:v>
                </c:pt>
                <c:pt idx="13">
                  <c:v>4.4442291063254931E-2</c:v>
                </c:pt>
                <c:pt idx="14">
                  <c:v>4.4055715660461785E-2</c:v>
                </c:pt>
                <c:pt idx="15">
                  <c:v>4.3670950730847043E-2</c:v>
                </c:pt>
                <c:pt idx="16">
                  <c:v>4.3298192997661335E-2</c:v>
                </c:pt>
                <c:pt idx="17">
                  <c:v>4.2933040077057234E-2</c:v>
                </c:pt>
                <c:pt idx="18">
                  <c:v>4.2594364589743534E-2</c:v>
                </c:pt>
                <c:pt idx="19">
                  <c:v>4.2281551289951723E-2</c:v>
                </c:pt>
                <c:pt idx="20">
                  <c:v>4.1891953473588393E-2</c:v>
                </c:pt>
                <c:pt idx="21">
                  <c:v>4.1595555951877396E-2</c:v>
                </c:pt>
                <c:pt idx="22">
                  <c:v>4.1220015147786282E-2</c:v>
                </c:pt>
                <c:pt idx="23">
                  <c:v>4.1009538852104135E-2</c:v>
                </c:pt>
                <c:pt idx="24">
                  <c:v>4.0665916416722188E-2</c:v>
                </c:pt>
                <c:pt idx="25">
                  <c:v>4.0353262504910933E-2</c:v>
                </c:pt>
                <c:pt idx="26">
                  <c:v>4.0005616214445081E-2</c:v>
                </c:pt>
                <c:pt idx="27">
                  <c:v>3.9690839200600604E-2</c:v>
                </c:pt>
                <c:pt idx="28">
                  <c:v>3.9517019127605406E-2</c:v>
                </c:pt>
                <c:pt idx="29">
                  <c:v>3.9099983717381499E-2</c:v>
                </c:pt>
                <c:pt idx="30">
                  <c:v>3.8828818849939335E-2</c:v>
                </c:pt>
                <c:pt idx="31">
                  <c:v>3.8896400896868091E-2</c:v>
                </c:pt>
                <c:pt idx="32">
                  <c:v>3.8792276161557039E-2</c:v>
                </c:pt>
                <c:pt idx="33">
                  <c:v>3.8759426043961667E-2</c:v>
                </c:pt>
                <c:pt idx="34">
                  <c:v>3.8728106671259727E-2</c:v>
                </c:pt>
                <c:pt idx="35">
                  <c:v>3.8696948617192951E-2</c:v>
                </c:pt>
                <c:pt idx="36">
                  <c:v>3.8662043404172279E-2</c:v>
                </c:pt>
                <c:pt idx="37">
                  <c:v>3.8627099698389046E-2</c:v>
                </c:pt>
                <c:pt idx="38">
                  <c:v>3.859053035023461E-2</c:v>
                </c:pt>
                <c:pt idx="39">
                  <c:v>3.8552991413905897E-2</c:v>
                </c:pt>
                <c:pt idx="40">
                  <c:v>3.8513085739688001E-2</c:v>
                </c:pt>
                <c:pt idx="41">
                  <c:v>3.8471510051139184E-2</c:v>
                </c:pt>
                <c:pt idx="42">
                  <c:v>3.842876787211412E-2</c:v>
                </c:pt>
                <c:pt idx="43">
                  <c:v>3.8386647617658622E-2</c:v>
                </c:pt>
                <c:pt idx="44">
                  <c:v>3.8343978477678495E-2</c:v>
                </c:pt>
                <c:pt idx="45">
                  <c:v>3.8294540419685157E-2</c:v>
                </c:pt>
                <c:pt idx="46">
                  <c:v>3.8240922579840152E-2</c:v>
                </c:pt>
                <c:pt idx="47">
                  <c:v>3.8189717070608933E-2</c:v>
                </c:pt>
                <c:pt idx="48">
                  <c:v>3.8135975546430174E-2</c:v>
                </c:pt>
                <c:pt idx="49">
                  <c:v>3.8104229489416552E-2</c:v>
                </c:pt>
                <c:pt idx="50">
                  <c:v>3.8025808223416488E-2</c:v>
                </c:pt>
                <c:pt idx="51">
                  <c:v>3.7965898869728405E-2</c:v>
                </c:pt>
                <c:pt idx="52">
                  <c:v>3.7917709642013672E-2</c:v>
                </c:pt>
                <c:pt idx="53">
                  <c:v>3.7848320356920852E-2</c:v>
                </c:pt>
                <c:pt idx="54">
                  <c:v>3.7780765241069304E-2</c:v>
                </c:pt>
                <c:pt idx="55">
                  <c:v>3.7710711018688302E-2</c:v>
                </c:pt>
                <c:pt idx="56">
                  <c:v>3.7641747200090135E-2</c:v>
                </c:pt>
                <c:pt idx="57">
                  <c:v>3.7571192771472257E-2</c:v>
                </c:pt>
                <c:pt idx="58">
                  <c:v>3.7502053191134747E-2</c:v>
                </c:pt>
                <c:pt idx="59">
                  <c:v>3.7452882464647771E-2</c:v>
                </c:pt>
                <c:pt idx="60">
                  <c:v>3.7349413323540477E-2</c:v>
                </c:pt>
                <c:pt idx="61">
                  <c:v>3.7271800250175638E-2</c:v>
                </c:pt>
                <c:pt idx="62">
                  <c:v>3.7195442934550939E-2</c:v>
                </c:pt>
                <c:pt idx="63">
                  <c:v>3.7184299297799761E-2</c:v>
                </c:pt>
                <c:pt idx="64">
                  <c:v>3.7047236586604873E-2</c:v>
                </c:pt>
                <c:pt idx="65">
                  <c:v>3.6962471538855401E-2</c:v>
                </c:pt>
                <c:pt idx="66">
                  <c:v>3.689082744974042E-2</c:v>
                </c:pt>
                <c:pt idx="67">
                  <c:v>3.6804086631157341E-2</c:v>
                </c:pt>
                <c:pt idx="68">
                  <c:v>3.6696263225071593E-2</c:v>
                </c:pt>
                <c:pt idx="69">
                  <c:v>3.660463468063304E-2</c:v>
                </c:pt>
                <c:pt idx="70">
                  <c:v>3.6511832832145229E-2</c:v>
                </c:pt>
                <c:pt idx="71">
                  <c:v>3.6424609175781449E-2</c:v>
                </c:pt>
                <c:pt idx="72">
                  <c:v>3.6462755641846228E-2</c:v>
                </c:pt>
                <c:pt idx="73">
                  <c:v>3.641292708839907E-2</c:v>
                </c:pt>
                <c:pt idx="74">
                  <c:v>3.6402482776423044E-2</c:v>
                </c:pt>
                <c:pt idx="75">
                  <c:v>3.6391330869019627E-2</c:v>
                </c:pt>
                <c:pt idx="76">
                  <c:v>3.6380501998057965E-2</c:v>
                </c:pt>
                <c:pt idx="77">
                  <c:v>3.6369351542561927E-2</c:v>
                </c:pt>
                <c:pt idx="78">
                  <c:v>3.6357692116129298E-2</c:v>
                </c:pt>
                <c:pt idx="79">
                  <c:v>3.6345511226827075E-2</c:v>
                </c:pt>
                <c:pt idx="80">
                  <c:v>3.6332908286748046E-2</c:v>
                </c:pt>
                <c:pt idx="81">
                  <c:v>3.6319493068085219E-2</c:v>
                </c:pt>
                <c:pt idx="82">
                  <c:v>3.6306193172593211E-2</c:v>
                </c:pt>
                <c:pt idx="83">
                  <c:v>3.6291777975097181E-2</c:v>
                </c:pt>
                <c:pt idx="84">
                  <c:v>3.6275992529567855E-2</c:v>
                </c:pt>
                <c:pt idx="85">
                  <c:v>3.6260827311448626E-2</c:v>
                </c:pt>
                <c:pt idx="86">
                  <c:v>3.6244253237947825E-2</c:v>
                </c:pt>
                <c:pt idx="87">
                  <c:v>3.6228485856544278E-2</c:v>
                </c:pt>
                <c:pt idx="88">
                  <c:v>3.6208569838142871E-2</c:v>
                </c:pt>
                <c:pt idx="89">
                  <c:v>3.6193458887475626E-2</c:v>
                </c:pt>
                <c:pt idx="90">
                  <c:v>3.6171598657022949E-2</c:v>
                </c:pt>
                <c:pt idx="91">
                  <c:v>3.615092543830669E-2</c:v>
                </c:pt>
                <c:pt idx="92">
                  <c:v>3.6129028506692216E-2</c:v>
                </c:pt>
                <c:pt idx="93">
                  <c:v>3.6111468299261311E-2</c:v>
                </c:pt>
                <c:pt idx="94">
                  <c:v>3.6084188663245066E-2</c:v>
                </c:pt>
                <c:pt idx="95">
                  <c:v>3.6060264827025706E-2</c:v>
                </c:pt>
                <c:pt idx="96">
                  <c:v>3.604498312428623E-2</c:v>
                </c:pt>
                <c:pt idx="97">
                  <c:v>3.6017461096516525E-2</c:v>
                </c:pt>
                <c:pt idx="98">
                  <c:v>3.5987820636761828E-2</c:v>
                </c:pt>
                <c:pt idx="99">
                  <c:v>3.5964333339410633E-2</c:v>
                </c:pt>
                <c:pt idx="100">
                  <c:v>3.5932679058151396E-2</c:v>
                </c:pt>
                <c:pt idx="101">
                  <c:v>3.5900044523298043E-2</c:v>
                </c:pt>
                <c:pt idx="102">
                  <c:v>3.5878858540233038E-2</c:v>
                </c:pt>
                <c:pt idx="103">
                  <c:v>3.5834782780174081E-2</c:v>
                </c:pt>
                <c:pt idx="104">
                  <c:v>3.5798669210070348E-2</c:v>
                </c:pt>
                <c:pt idx="105">
                  <c:v>3.5767748179361923E-2</c:v>
                </c:pt>
                <c:pt idx="106">
                  <c:v>3.572747303573489E-2</c:v>
                </c:pt>
                <c:pt idx="107">
                  <c:v>3.5690290939427598E-2</c:v>
                </c:pt>
                <c:pt idx="108">
                  <c:v>3.5672476942088228E-2</c:v>
                </c:pt>
                <c:pt idx="109">
                  <c:v>3.5612452233698917E-2</c:v>
                </c:pt>
                <c:pt idx="110">
                  <c:v>3.5586007106193217E-2</c:v>
                </c:pt>
                <c:pt idx="111">
                  <c:v>3.5529523011078375E-2</c:v>
                </c:pt>
                <c:pt idx="112">
                  <c:v>3.5482697334067004E-2</c:v>
                </c:pt>
                <c:pt idx="113">
                  <c:v>3.5477489518556615E-2</c:v>
                </c:pt>
                <c:pt idx="114">
                  <c:v>3.5389922775310986E-2</c:v>
                </c:pt>
                <c:pt idx="115">
                  <c:v>3.5383192704023542E-2</c:v>
                </c:pt>
                <c:pt idx="116">
                  <c:v>3.5298290247365173E-2</c:v>
                </c:pt>
                <c:pt idx="117">
                  <c:v>3.5314425942354503E-2</c:v>
                </c:pt>
                <c:pt idx="118">
                  <c:v>3.5288539581711076E-2</c:v>
                </c:pt>
                <c:pt idx="119">
                  <c:v>3.5279919908638414E-2</c:v>
                </c:pt>
                <c:pt idx="120">
                  <c:v>3.5273096998850055E-2</c:v>
                </c:pt>
                <c:pt idx="121">
                  <c:v>3.5266654004877246E-2</c:v>
                </c:pt>
                <c:pt idx="122">
                  <c:v>3.5260398097349807E-2</c:v>
                </c:pt>
                <c:pt idx="123">
                  <c:v>3.5253594208884881E-2</c:v>
                </c:pt>
                <c:pt idx="124">
                  <c:v>3.524661880322448E-2</c:v>
                </c:pt>
                <c:pt idx="125">
                  <c:v>3.5239551049841174E-2</c:v>
                </c:pt>
                <c:pt idx="126">
                  <c:v>3.5231770050077396E-2</c:v>
                </c:pt>
                <c:pt idx="127">
                  <c:v>3.522367931325044E-2</c:v>
                </c:pt>
                <c:pt idx="128">
                  <c:v>3.5215314978942432E-2</c:v>
                </c:pt>
                <c:pt idx="129">
                  <c:v>3.5206653512939098E-2</c:v>
                </c:pt>
                <c:pt idx="130">
                  <c:v>3.5197462205316318E-2</c:v>
                </c:pt>
                <c:pt idx="131">
                  <c:v>3.5187741709382971E-2</c:v>
                </c:pt>
                <c:pt idx="132">
                  <c:v>3.5178736919561027E-2</c:v>
                </c:pt>
                <c:pt idx="133">
                  <c:v>3.5167571949027011E-2</c:v>
                </c:pt>
                <c:pt idx="134">
                  <c:v>3.515623214074471E-2</c:v>
                </c:pt>
                <c:pt idx="135">
                  <c:v>3.5145734624901052E-2</c:v>
                </c:pt>
                <c:pt idx="136">
                  <c:v>3.5133941192245777E-2</c:v>
                </c:pt>
                <c:pt idx="137">
                  <c:v>3.512016237336317E-2</c:v>
                </c:pt>
                <c:pt idx="138">
                  <c:v>3.5107220779911699E-2</c:v>
                </c:pt>
                <c:pt idx="139">
                  <c:v>3.5093262410698919E-2</c:v>
                </c:pt>
                <c:pt idx="140">
                  <c:v>3.5080131469642839E-2</c:v>
                </c:pt>
                <c:pt idx="141">
                  <c:v>3.5063844164707134E-2</c:v>
                </c:pt>
                <c:pt idx="142">
                  <c:v>3.5048249767976124E-2</c:v>
                </c:pt>
                <c:pt idx="143">
                  <c:v>3.5031890818955864E-2</c:v>
                </c:pt>
                <c:pt idx="144">
                  <c:v>3.5014892664733843E-2</c:v>
                </c:pt>
                <c:pt idx="145">
                  <c:v>3.4998516914264186E-2</c:v>
                </c:pt>
                <c:pt idx="146">
                  <c:v>3.4985113633760521E-2</c:v>
                </c:pt>
                <c:pt idx="147">
                  <c:v>3.4959150217892324E-2</c:v>
                </c:pt>
                <c:pt idx="148">
                  <c:v>3.4939424467747733E-2</c:v>
                </c:pt>
                <c:pt idx="149">
                  <c:v>3.4918428039034013E-2</c:v>
                </c:pt>
                <c:pt idx="150">
                  <c:v>3.4897865919552712E-2</c:v>
                </c:pt>
                <c:pt idx="151">
                  <c:v>3.4878471629910868E-2</c:v>
                </c:pt>
                <c:pt idx="152">
                  <c:v>3.4851513423081647E-2</c:v>
                </c:pt>
                <c:pt idx="153">
                  <c:v>3.4824976860330807E-2</c:v>
                </c:pt>
                <c:pt idx="154">
                  <c:v>3.4801764197624985E-2</c:v>
                </c:pt>
                <c:pt idx="155">
                  <c:v>3.477316176012514E-2</c:v>
                </c:pt>
                <c:pt idx="156">
                  <c:v>3.4758016156836796E-2</c:v>
                </c:pt>
                <c:pt idx="157">
                  <c:v>3.4747044171588283E-2</c:v>
                </c:pt>
                <c:pt idx="158">
                  <c:v>3.4703470066450616E-2</c:v>
                </c:pt>
                <c:pt idx="159">
                  <c:v>3.4673650026253437E-2</c:v>
                </c:pt>
                <c:pt idx="160">
                  <c:v>3.4730234074655961E-2</c:v>
                </c:pt>
                <c:pt idx="161">
                  <c:v>3.4659786083202325E-2</c:v>
                </c:pt>
                <c:pt idx="162">
                  <c:v>3.4651617085157349E-2</c:v>
                </c:pt>
                <c:pt idx="163">
                  <c:v>3.4646039274782638E-2</c:v>
                </c:pt>
                <c:pt idx="164">
                  <c:v>3.4641871952069865E-2</c:v>
                </c:pt>
                <c:pt idx="165">
                  <c:v>3.4637411718080421E-2</c:v>
                </c:pt>
                <c:pt idx="166">
                  <c:v>3.463295920755944E-2</c:v>
                </c:pt>
                <c:pt idx="167">
                  <c:v>3.4628852160462027E-2</c:v>
                </c:pt>
                <c:pt idx="168">
                  <c:v>3.4624211073648548E-2</c:v>
                </c:pt>
                <c:pt idx="169">
                  <c:v>3.4619326545655749E-2</c:v>
                </c:pt>
                <c:pt idx="170">
                  <c:v>3.4614294053078136E-2</c:v>
                </c:pt>
                <c:pt idx="171">
                  <c:v>3.4609593014754969E-2</c:v>
                </c:pt>
                <c:pt idx="172">
                  <c:v>3.4603745192494255E-2</c:v>
                </c:pt>
                <c:pt idx="173">
                  <c:v>3.4597958618975709E-2</c:v>
                </c:pt>
                <c:pt idx="174">
                  <c:v>3.4592743332372652E-2</c:v>
                </c:pt>
                <c:pt idx="175">
                  <c:v>3.4586408624192461E-2</c:v>
                </c:pt>
                <c:pt idx="176">
                  <c:v>3.4579251000985321E-2</c:v>
                </c:pt>
                <c:pt idx="177">
                  <c:v>3.4572776019346822E-2</c:v>
                </c:pt>
                <c:pt idx="178">
                  <c:v>3.4565152140656648E-2</c:v>
                </c:pt>
                <c:pt idx="179">
                  <c:v>3.4558976577470861E-2</c:v>
                </c:pt>
                <c:pt idx="180">
                  <c:v>3.4551422297837357E-2</c:v>
                </c:pt>
                <c:pt idx="181">
                  <c:v>3.4541682298314356E-2</c:v>
                </c:pt>
                <c:pt idx="182">
                  <c:v>3.4533063428529992E-2</c:v>
                </c:pt>
                <c:pt idx="183">
                  <c:v>3.452535030760906E-2</c:v>
                </c:pt>
                <c:pt idx="184">
                  <c:v>3.4514364485328464E-2</c:v>
                </c:pt>
                <c:pt idx="185">
                  <c:v>3.4505654004262178E-2</c:v>
                </c:pt>
                <c:pt idx="186">
                  <c:v>3.4494276319536402E-2</c:v>
                </c:pt>
                <c:pt idx="187">
                  <c:v>3.4486069516511113E-2</c:v>
                </c:pt>
                <c:pt idx="188">
                  <c:v>3.4472206204231956E-2</c:v>
                </c:pt>
                <c:pt idx="189">
                  <c:v>3.4460796786129372E-2</c:v>
                </c:pt>
                <c:pt idx="190">
                  <c:v>3.4448920230652026E-2</c:v>
                </c:pt>
                <c:pt idx="191">
                  <c:v>3.4435782017414249E-2</c:v>
                </c:pt>
                <c:pt idx="192">
                  <c:v>3.4422115594192691E-2</c:v>
                </c:pt>
                <c:pt idx="193">
                  <c:v>3.4409932844448737E-2</c:v>
                </c:pt>
                <c:pt idx="194">
                  <c:v>3.4393174979491493E-2</c:v>
                </c:pt>
                <c:pt idx="195">
                  <c:v>3.4377731341890178E-2</c:v>
                </c:pt>
                <c:pt idx="196">
                  <c:v>3.4368466644697782E-2</c:v>
                </c:pt>
                <c:pt idx="197">
                  <c:v>3.4348538740936012E-2</c:v>
                </c:pt>
                <c:pt idx="198">
                  <c:v>3.433984374123944E-2</c:v>
                </c:pt>
                <c:pt idx="199">
                  <c:v>3.4319397325993616E-2</c:v>
                </c:pt>
                <c:pt idx="200">
                  <c:v>3.4294851399077127E-2</c:v>
                </c:pt>
                <c:pt idx="201">
                  <c:v>3.4362772534621208E-2</c:v>
                </c:pt>
                <c:pt idx="202">
                  <c:v>3.4291463443523726E-2</c:v>
                </c:pt>
                <c:pt idx="203">
                  <c:v>3.4288486940341326E-2</c:v>
                </c:pt>
                <c:pt idx="204">
                  <c:v>3.4285528839364948E-2</c:v>
                </c:pt>
                <c:pt idx="205">
                  <c:v>3.428281557080301E-2</c:v>
                </c:pt>
                <c:pt idx="206">
                  <c:v>3.4280465158474029E-2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A-432D-93A6-32384E6C8B77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Iris!$O$2:$O$501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Iris!$P$2:$P$501</c:f>
              <c:numCache>
                <c:formatCode>General</c:formatCode>
                <c:ptCount val="500"/>
                <c:pt idx="0">
                  <c:v>6.0491345364553889E-2</c:v>
                </c:pt>
                <c:pt idx="1">
                  <c:v>5.885788150695017E-2</c:v>
                </c:pt>
                <c:pt idx="2">
                  <c:v>5.7419896653527196E-2</c:v>
                </c:pt>
                <c:pt idx="3">
                  <c:v>5.6082098517648976E-2</c:v>
                </c:pt>
                <c:pt idx="4">
                  <c:v>5.4778479597696342E-2</c:v>
                </c:pt>
                <c:pt idx="5">
                  <c:v>5.3496970397687589E-2</c:v>
                </c:pt>
                <c:pt idx="6">
                  <c:v>5.2244688789977817E-2</c:v>
                </c:pt>
                <c:pt idx="7">
                  <c:v>5.1033317904452036E-2</c:v>
                </c:pt>
                <c:pt idx="8">
                  <c:v>4.9827816459066539E-2</c:v>
                </c:pt>
                <c:pt idx="9">
                  <c:v>4.8635384400163913E-2</c:v>
                </c:pt>
                <c:pt idx="10">
                  <c:v>4.74845684505966E-2</c:v>
                </c:pt>
                <c:pt idx="11">
                  <c:v>4.6327873525974964E-2</c:v>
                </c:pt>
                <c:pt idx="12">
                  <c:v>4.5215225149977736E-2</c:v>
                </c:pt>
                <c:pt idx="13">
                  <c:v>4.4101836510014751E-2</c:v>
                </c:pt>
                <c:pt idx="14">
                  <c:v>4.3014552617058888E-2</c:v>
                </c:pt>
                <c:pt idx="15">
                  <c:v>4.1967330514505838E-2</c:v>
                </c:pt>
                <c:pt idx="16">
                  <c:v>4.0973824782961313E-2</c:v>
                </c:pt>
                <c:pt idx="17">
                  <c:v>4.0034302981249735E-2</c:v>
                </c:pt>
                <c:pt idx="18">
                  <c:v>3.9143114994734461E-2</c:v>
                </c:pt>
                <c:pt idx="19">
                  <c:v>3.8365904578243105E-2</c:v>
                </c:pt>
                <c:pt idx="20">
                  <c:v>3.7559219781571861E-2</c:v>
                </c:pt>
                <c:pt idx="21">
                  <c:v>3.6958467338392816E-2</c:v>
                </c:pt>
                <c:pt idx="22">
                  <c:v>3.6265092929373174E-2</c:v>
                </c:pt>
                <c:pt idx="23">
                  <c:v>3.5687601841029419E-2</c:v>
                </c:pt>
                <c:pt idx="24">
                  <c:v>3.5245096571517712E-2</c:v>
                </c:pt>
                <c:pt idx="25">
                  <c:v>3.5181820649213866E-2</c:v>
                </c:pt>
                <c:pt idx="26">
                  <c:v>3.4573294266839069E-2</c:v>
                </c:pt>
                <c:pt idx="27">
                  <c:v>3.4258564106605036E-2</c:v>
                </c:pt>
                <c:pt idx="28">
                  <c:v>3.4015844260995597E-2</c:v>
                </c:pt>
                <c:pt idx="29">
                  <c:v>3.4076215193872675E-2</c:v>
                </c:pt>
                <c:pt idx="30">
                  <c:v>3.39883195107408E-2</c:v>
                </c:pt>
                <c:pt idx="31">
                  <c:v>3.3963597628708465E-2</c:v>
                </c:pt>
                <c:pt idx="32">
                  <c:v>3.3937601276472697E-2</c:v>
                </c:pt>
                <c:pt idx="33">
                  <c:v>3.3910444177923577E-2</c:v>
                </c:pt>
                <c:pt idx="34">
                  <c:v>3.3880687250119911E-2</c:v>
                </c:pt>
                <c:pt idx="35">
                  <c:v>3.3852762435543332E-2</c:v>
                </c:pt>
                <c:pt idx="36">
                  <c:v>3.3820397588098336E-2</c:v>
                </c:pt>
                <c:pt idx="37">
                  <c:v>3.3791923186680166E-2</c:v>
                </c:pt>
                <c:pt idx="38">
                  <c:v>3.3754402829333049E-2</c:v>
                </c:pt>
                <c:pt idx="39">
                  <c:v>3.3722414417505453E-2</c:v>
                </c:pt>
                <c:pt idx="40">
                  <c:v>3.3683975125107998E-2</c:v>
                </c:pt>
                <c:pt idx="41">
                  <c:v>3.3654635991685729E-2</c:v>
                </c:pt>
                <c:pt idx="42">
                  <c:v>3.3609249249394041E-2</c:v>
                </c:pt>
                <c:pt idx="43">
                  <c:v>3.3573216197450524E-2</c:v>
                </c:pt>
                <c:pt idx="44">
                  <c:v>3.3536009715770795E-2</c:v>
                </c:pt>
                <c:pt idx="45">
                  <c:v>3.3498760583328138E-2</c:v>
                </c:pt>
                <c:pt idx="46">
                  <c:v>3.3441683633810768E-2</c:v>
                </c:pt>
                <c:pt idx="47">
                  <c:v>3.339599902863287E-2</c:v>
                </c:pt>
                <c:pt idx="48">
                  <c:v>3.3357524564307198E-2</c:v>
                </c:pt>
                <c:pt idx="49">
                  <c:v>3.3300561720757654E-2</c:v>
                </c:pt>
                <c:pt idx="50">
                  <c:v>3.3259594367132023E-2</c:v>
                </c:pt>
                <c:pt idx="51">
                  <c:v>3.319756821198034E-2</c:v>
                </c:pt>
                <c:pt idx="52">
                  <c:v>3.3147550126158776E-2</c:v>
                </c:pt>
                <c:pt idx="53">
                  <c:v>3.3086290258904694E-2</c:v>
                </c:pt>
                <c:pt idx="54">
                  <c:v>3.3136091794957724E-2</c:v>
                </c:pt>
                <c:pt idx="55">
                  <c:v>3.3077919657659209E-2</c:v>
                </c:pt>
                <c:pt idx="56">
                  <c:v>3.3070566524837711E-2</c:v>
                </c:pt>
                <c:pt idx="57">
                  <c:v>3.306391029381861E-2</c:v>
                </c:pt>
                <c:pt idx="58">
                  <c:v>3.3056906954246006E-2</c:v>
                </c:pt>
                <c:pt idx="59">
                  <c:v>3.3050008306805531E-2</c:v>
                </c:pt>
                <c:pt idx="60">
                  <c:v>3.3042872428015714E-2</c:v>
                </c:pt>
                <c:pt idx="61">
                  <c:v>3.3034809742930472E-2</c:v>
                </c:pt>
                <c:pt idx="62">
                  <c:v>3.3026393853780263E-2</c:v>
                </c:pt>
                <c:pt idx="63">
                  <c:v>3.3017602475296746E-2</c:v>
                </c:pt>
                <c:pt idx="64">
                  <c:v>3.3008283096487283E-2</c:v>
                </c:pt>
                <c:pt idx="65">
                  <c:v>3.2998836981106561E-2</c:v>
                </c:pt>
                <c:pt idx="66">
                  <c:v>3.2987831041319936E-2</c:v>
                </c:pt>
                <c:pt idx="67">
                  <c:v>3.297678951128824E-2</c:v>
                </c:pt>
                <c:pt idx="68">
                  <c:v>3.2965144310192394E-2</c:v>
                </c:pt>
                <c:pt idx="69">
                  <c:v>3.2951698600035439E-2</c:v>
                </c:pt>
                <c:pt idx="70">
                  <c:v>3.2938364544503523E-2</c:v>
                </c:pt>
                <c:pt idx="71">
                  <c:v>3.2924944785654123E-2</c:v>
                </c:pt>
                <c:pt idx="72">
                  <c:v>3.2910722774058786E-2</c:v>
                </c:pt>
                <c:pt idx="73">
                  <c:v>3.2895796126727779E-2</c:v>
                </c:pt>
                <c:pt idx="74">
                  <c:v>3.2882238450779942E-2</c:v>
                </c:pt>
                <c:pt idx="75">
                  <c:v>3.286897872739749E-2</c:v>
                </c:pt>
                <c:pt idx="76">
                  <c:v>3.2852083029724831E-2</c:v>
                </c:pt>
                <c:pt idx="77">
                  <c:v>3.2833048142576933E-2</c:v>
                </c:pt>
                <c:pt idx="78">
                  <c:v>3.2814452867654921E-2</c:v>
                </c:pt>
                <c:pt idx="79">
                  <c:v>3.2796793638851213E-2</c:v>
                </c:pt>
                <c:pt idx="80">
                  <c:v>3.2777252965331023E-2</c:v>
                </c:pt>
                <c:pt idx="81">
                  <c:v>3.2757006807155348E-2</c:v>
                </c:pt>
                <c:pt idx="82">
                  <c:v>3.2736376028035266E-2</c:v>
                </c:pt>
                <c:pt idx="83">
                  <c:v>3.2712124560844269E-2</c:v>
                </c:pt>
                <c:pt idx="84">
                  <c:v>3.269469784923211E-2</c:v>
                </c:pt>
                <c:pt idx="85">
                  <c:v>3.2669427726662682E-2</c:v>
                </c:pt>
                <c:pt idx="86">
                  <c:v>3.2636844035004109E-2</c:v>
                </c:pt>
                <c:pt idx="87">
                  <c:v>3.2606560070483931E-2</c:v>
                </c:pt>
                <c:pt idx="88">
                  <c:v>3.2580221890510352E-2</c:v>
                </c:pt>
                <c:pt idx="89">
                  <c:v>3.255480121140214E-2</c:v>
                </c:pt>
                <c:pt idx="90">
                  <c:v>3.2516997859907006E-2</c:v>
                </c:pt>
                <c:pt idx="91">
                  <c:v>3.2495219505801559E-2</c:v>
                </c:pt>
                <c:pt idx="92">
                  <c:v>3.2453230301923222E-2</c:v>
                </c:pt>
                <c:pt idx="93">
                  <c:v>3.2415902151932616E-2</c:v>
                </c:pt>
                <c:pt idx="94">
                  <c:v>3.2381694936380163E-2</c:v>
                </c:pt>
                <c:pt idx="95">
                  <c:v>3.2340045834148692E-2</c:v>
                </c:pt>
                <c:pt idx="96">
                  <c:v>3.2293397695614401E-2</c:v>
                </c:pt>
                <c:pt idx="97">
                  <c:v>3.2268341696711278E-2</c:v>
                </c:pt>
                <c:pt idx="98">
                  <c:v>3.2194538631982156E-2</c:v>
                </c:pt>
                <c:pt idx="99">
                  <c:v>3.2153268883746131E-2</c:v>
                </c:pt>
                <c:pt idx="100">
                  <c:v>3.2091402786425582E-2</c:v>
                </c:pt>
                <c:pt idx="101">
                  <c:v>3.2037206452336764E-2</c:v>
                </c:pt>
                <c:pt idx="102">
                  <c:v>3.1998798538134886E-2</c:v>
                </c:pt>
                <c:pt idx="103">
                  <c:v>3.192119345099266E-2</c:v>
                </c:pt>
                <c:pt idx="104">
                  <c:v>3.1861070722583144E-2</c:v>
                </c:pt>
                <c:pt idx="105">
                  <c:v>3.1839313480125385E-2</c:v>
                </c:pt>
                <c:pt idx="106">
                  <c:v>3.1730852431995436E-2</c:v>
                </c:pt>
                <c:pt idx="107">
                  <c:v>3.1644017016623317E-2</c:v>
                </c:pt>
                <c:pt idx="108">
                  <c:v>3.1639028722460293E-2</c:v>
                </c:pt>
                <c:pt idx="109">
                  <c:v>3.1482512991744191E-2</c:v>
                </c:pt>
                <c:pt idx="110">
                  <c:v>3.142310886400837E-2</c:v>
                </c:pt>
                <c:pt idx="111">
                  <c:v>3.1312919873095008E-2</c:v>
                </c:pt>
                <c:pt idx="112">
                  <c:v>3.1291525098712331E-2</c:v>
                </c:pt>
                <c:pt idx="113">
                  <c:v>3.1393001388144694E-2</c:v>
                </c:pt>
                <c:pt idx="114">
                  <c:v>3.1219316292701183E-2</c:v>
                </c:pt>
                <c:pt idx="115">
                  <c:v>3.1185693376813223E-2</c:v>
                </c:pt>
                <c:pt idx="116">
                  <c:v>3.1164482428564125E-2</c:v>
                </c:pt>
                <c:pt idx="117">
                  <c:v>3.1151525529494715E-2</c:v>
                </c:pt>
                <c:pt idx="118">
                  <c:v>3.1139068415865893E-2</c:v>
                </c:pt>
                <c:pt idx="119">
                  <c:v>3.1127467413875592E-2</c:v>
                </c:pt>
                <c:pt idx="120">
                  <c:v>3.111364779136639E-2</c:v>
                </c:pt>
                <c:pt idx="121">
                  <c:v>3.1099186995712774E-2</c:v>
                </c:pt>
                <c:pt idx="122">
                  <c:v>3.1084264557151849E-2</c:v>
                </c:pt>
                <c:pt idx="123">
                  <c:v>3.1068168024787741E-2</c:v>
                </c:pt>
                <c:pt idx="124">
                  <c:v>3.1050832249066344E-2</c:v>
                </c:pt>
                <c:pt idx="125">
                  <c:v>3.1033753142601199E-2</c:v>
                </c:pt>
                <c:pt idx="126">
                  <c:v>3.1018086947776104E-2</c:v>
                </c:pt>
                <c:pt idx="127">
                  <c:v>3.0997922655302896E-2</c:v>
                </c:pt>
                <c:pt idx="128">
                  <c:v>3.0978833605959624E-2</c:v>
                </c:pt>
                <c:pt idx="129">
                  <c:v>3.095523589721038E-2</c:v>
                </c:pt>
                <c:pt idx="130">
                  <c:v>3.0933022472139103E-2</c:v>
                </c:pt>
                <c:pt idx="131">
                  <c:v>3.0909957365636745E-2</c:v>
                </c:pt>
                <c:pt idx="132">
                  <c:v>3.0885155343700205E-2</c:v>
                </c:pt>
                <c:pt idx="133">
                  <c:v>3.0864281402305589E-2</c:v>
                </c:pt>
                <c:pt idx="134">
                  <c:v>3.0837514866174382E-2</c:v>
                </c:pt>
                <c:pt idx="135">
                  <c:v>3.0803543569571636E-2</c:v>
                </c:pt>
                <c:pt idx="136">
                  <c:v>3.0777178323793796E-2</c:v>
                </c:pt>
                <c:pt idx="137">
                  <c:v>3.0744068698608743E-2</c:v>
                </c:pt>
                <c:pt idx="138">
                  <c:v>3.0714139966749824E-2</c:v>
                </c:pt>
                <c:pt idx="139">
                  <c:v>3.0674181641122733E-2</c:v>
                </c:pt>
                <c:pt idx="140">
                  <c:v>3.0636677384468628E-2</c:v>
                </c:pt>
                <c:pt idx="141">
                  <c:v>3.0599664376909873E-2</c:v>
                </c:pt>
                <c:pt idx="142">
                  <c:v>3.0557353015528914E-2</c:v>
                </c:pt>
                <c:pt idx="143">
                  <c:v>3.0529484092579676E-2</c:v>
                </c:pt>
                <c:pt idx="144">
                  <c:v>3.0476719105906401E-2</c:v>
                </c:pt>
                <c:pt idx="145">
                  <c:v>3.0420956535479337E-2</c:v>
                </c:pt>
                <c:pt idx="146">
                  <c:v>3.03730872366972E-2</c:v>
                </c:pt>
                <c:pt idx="147">
                  <c:v>3.0317743032886462E-2</c:v>
                </c:pt>
                <c:pt idx="148">
                  <c:v>3.0261454205268854E-2</c:v>
                </c:pt>
                <c:pt idx="149">
                  <c:v>3.0208998733828773E-2</c:v>
                </c:pt>
                <c:pt idx="150">
                  <c:v>3.0133455718886763E-2</c:v>
                </c:pt>
                <c:pt idx="151">
                  <c:v>3.0089045334217589E-2</c:v>
                </c:pt>
                <c:pt idx="152">
                  <c:v>3.0016713730150198E-2</c:v>
                </c:pt>
                <c:pt idx="153">
                  <c:v>2.9993237151858792E-2</c:v>
                </c:pt>
                <c:pt idx="154">
                  <c:v>2.9888050459345401E-2</c:v>
                </c:pt>
                <c:pt idx="155">
                  <c:v>2.9804665244851699E-2</c:v>
                </c:pt>
                <c:pt idx="156">
                  <c:v>2.9814428659261549E-2</c:v>
                </c:pt>
                <c:pt idx="157">
                  <c:v>2.9781842420714986E-2</c:v>
                </c:pt>
                <c:pt idx="158">
                  <c:v>2.9768441820755671E-2</c:v>
                </c:pt>
                <c:pt idx="159">
                  <c:v>2.9755413858684826E-2</c:v>
                </c:pt>
                <c:pt idx="160">
                  <c:v>2.9746131358132245E-2</c:v>
                </c:pt>
                <c:pt idx="161">
                  <c:v>2.9735245887221536E-2</c:v>
                </c:pt>
                <c:pt idx="162">
                  <c:v>2.9724756610465974E-2</c:v>
                </c:pt>
                <c:pt idx="163">
                  <c:v>2.9713599812261283E-2</c:v>
                </c:pt>
                <c:pt idx="164">
                  <c:v>2.9701937349588096E-2</c:v>
                </c:pt>
                <c:pt idx="165">
                  <c:v>2.9689524916816173E-2</c:v>
                </c:pt>
                <c:pt idx="166">
                  <c:v>2.9675955510427777E-2</c:v>
                </c:pt>
                <c:pt idx="167">
                  <c:v>2.9661483191261044E-2</c:v>
                </c:pt>
                <c:pt idx="168">
                  <c:v>2.9648439133282602E-2</c:v>
                </c:pt>
                <c:pt idx="169">
                  <c:v>2.9634404665858576E-2</c:v>
                </c:pt>
                <c:pt idx="170">
                  <c:v>2.9617788105852427E-2</c:v>
                </c:pt>
                <c:pt idx="171">
                  <c:v>2.9601845469729552E-2</c:v>
                </c:pt>
                <c:pt idx="172">
                  <c:v>2.9584279261430639E-2</c:v>
                </c:pt>
                <c:pt idx="173">
                  <c:v>2.9568094282561505E-2</c:v>
                </c:pt>
                <c:pt idx="174">
                  <c:v>2.9547344052015347E-2</c:v>
                </c:pt>
                <c:pt idx="175">
                  <c:v>2.9530535774882977E-2</c:v>
                </c:pt>
                <c:pt idx="176">
                  <c:v>2.9508415856962483E-2</c:v>
                </c:pt>
                <c:pt idx="177">
                  <c:v>2.9487909947777578E-2</c:v>
                </c:pt>
                <c:pt idx="178">
                  <c:v>2.946613387435092E-2</c:v>
                </c:pt>
                <c:pt idx="179">
                  <c:v>2.9443365581274097E-2</c:v>
                </c:pt>
                <c:pt idx="180">
                  <c:v>2.942437029671198E-2</c:v>
                </c:pt>
                <c:pt idx="181">
                  <c:v>2.9399647621197837E-2</c:v>
                </c:pt>
                <c:pt idx="182">
                  <c:v>2.9376428821563046E-2</c:v>
                </c:pt>
                <c:pt idx="183">
                  <c:v>2.9341179507379644E-2</c:v>
                </c:pt>
                <c:pt idx="184">
                  <c:v>2.9320839638541336E-2</c:v>
                </c:pt>
                <c:pt idx="185">
                  <c:v>2.9281421328562134E-2</c:v>
                </c:pt>
                <c:pt idx="186">
                  <c:v>2.9248037176276095E-2</c:v>
                </c:pt>
                <c:pt idx="187">
                  <c:v>2.9212486348620288E-2</c:v>
                </c:pt>
                <c:pt idx="188">
                  <c:v>2.9175666428685253E-2</c:v>
                </c:pt>
                <c:pt idx="189">
                  <c:v>2.9137365268250538E-2</c:v>
                </c:pt>
                <c:pt idx="190">
                  <c:v>2.9108350327099849E-2</c:v>
                </c:pt>
                <c:pt idx="191">
                  <c:v>2.9058294244743977E-2</c:v>
                </c:pt>
                <c:pt idx="192">
                  <c:v>2.9010628460998916E-2</c:v>
                </c:pt>
                <c:pt idx="193">
                  <c:v>2.8971669413622777E-2</c:v>
                </c:pt>
                <c:pt idx="194">
                  <c:v>2.8931928367746673E-2</c:v>
                </c:pt>
                <c:pt idx="195">
                  <c:v>2.8867320828391056E-2</c:v>
                </c:pt>
                <c:pt idx="196">
                  <c:v>2.8823053771696149E-2</c:v>
                </c:pt>
                <c:pt idx="197">
                  <c:v>2.8756307954104263E-2</c:v>
                </c:pt>
                <c:pt idx="198">
                  <c:v>2.8700569585916175E-2</c:v>
                </c:pt>
                <c:pt idx="199">
                  <c:v>2.8687903284090641E-2</c:v>
                </c:pt>
                <c:pt idx="200">
                  <c:v>2.8550500242192491E-2</c:v>
                </c:pt>
                <c:pt idx="201">
                  <c:v>2.8481062382281336E-2</c:v>
                </c:pt>
                <c:pt idx="202">
                  <c:v>2.840807193801017E-2</c:v>
                </c:pt>
                <c:pt idx="203">
                  <c:v>2.8429083853851754E-2</c:v>
                </c:pt>
                <c:pt idx="204">
                  <c:v>2.8399283605932846E-2</c:v>
                </c:pt>
                <c:pt idx="205">
                  <c:v>2.8390008039536896E-2</c:v>
                </c:pt>
                <c:pt idx="206">
                  <c:v>2.8381102869685183E-2</c:v>
                </c:pt>
                <c:pt idx="207">
                  <c:v>2.8371646958995904E-2</c:v>
                </c:pt>
                <c:pt idx="208">
                  <c:v>2.8362078806753215E-2</c:v>
                </c:pt>
                <c:pt idx="209">
                  <c:v>2.8351627083188877E-2</c:v>
                </c:pt>
                <c:pt idx="210">
                  <c:v>2.8341026572541627E-2</c:v>
                </c:pt>
                <c:pt idx="211">
                  <c:v>2.8329086442727906E-2</c:v>
                </c:pt>
                <c:pt idx="212">
                  <c:v>2.8317036708236612E-2</c:v>
                </c:pt>
                <c:pt idx="213">
                  <c:v>2.8305200452923836E-2</c:v>
                </c:pt>
                <c:pt idx="214">
                  <c:v>2.829142836397925E-2</c:v>
                </c:pt>
                <c:pt idx="215">
                  <c:v>2.8276622759350344E-2</c:v>
                </c:pt>
                <c:pt idx="216">
                  <c:v>2.8262372825132238E-2</c:v>
                </c:pt>
                <c:pt idx="217">
                  <c:v>2.8248391576239672E-2</c:v>
                </c:pt>
                <c:pt idx="218">
                  <c:v>2.8233114229339582E-2</c:v>
                </c:pt>
                <c:pt idx="219">
                  <c:v>2.8216669395263783E-2</c:v>
                </c:pt>
                <c:pt idx="220">
                  <c:v>2.8199275610182102E-2</c:v>
                </c:pt>
                <c:pt idx="221">
                  <c:v>2.8181760452531894E-2</c:v>
                </c:pt>
                <c:pt idx="222">
                  <c:v>2.8162872585962478E-2</c:v>
                </c:pt>
                <c:pt idx="223">
                  <c:v>2.8141848970878462E-2</c:v>
                </c:pt>
                <c:pt idx="224">
                  <c:v>2.8119612225488578E-2</c:v>
                </c:pt>
                <c:pt idx="225">
                  <c:v>2.8094905423126367E-2</c:v>
                </c:pt>
                <c:pt idx="226">
                  <c:v>2.8071112196452697E-2</c:v>
                </c:pt>
                <c:pt idx="227">
                  <c:v>2.8045605917499293E-2</c:v>
                </c:pt>
                <c:pt idx="228">
                  <c:v>2.8018669568085405E-2</c:v>
                </c:pt>
                <c:pt idx="229">
                  <c:v>2.7992991650138018E-2</c:v>
                </c:pt>
                <c:pt idx="230">
                  <c:v>2.7971605764104582E-2</c:v>
                </c:pt>
                <c:pt idx="231">
                  <c:v>2.7939039327093306E-2</c:v>
                </c:pt>
                <c:pt idx="232">
                  <c:v>2.791003698286262E-2</c:v>
                </c:pt>
                <c:pt idx="233">
                  <c:v>2.7888145496555432E-2</c:v>
                </c:pt>
                <c:pt idx="234">
                  <c:v>2.7845575369919308E-2</c:v>
                </c:pt>
                <c:pt idx="235">
                  <c:v>2.7818034719751358E-2</c:v>
                </c:pt>
                <c:pt idx="236">
                  <c:v>2.7780176379440066E-2</c:v>
                </c:pt>
                <c:pt idx="237">
                  <c:v>2.7743248691514632E-2</c:v>
                </c:pt>
                <c:pt idx="238">
                  <c:v>2.7718937960706298E-2</c:v>
                </c:pt>
                <c:pt idx="239">
                  <c:v>2.7672477253789237E-2</c:v>
                </c:pt>
                <c:pt idx="240">
                  <c:v>2.7633278791715534E-2</c:v>
                </c:pt>
                <c:pt idx="241">
                  <c:v>2.7582286349980598E-2</c:v>
                </c:pt>
                <c:pt idx="242">
                  <c:v>2.7530528344826808E-2</c:v>
                </c:pt>
                <c:pt idx="243">
                  <c:v>2.7526913200042604E-2</c:v>
                </c:pt>
                <c:pt idx="244">
                  <c:v>2.7500310673132012E-2</c:v>
                </c:pt>
                <c:pt idx="245">
                  <c:v>2.7391125188354789E-2</c:v>
                </c:pt>
                <c:pt idx="246">
                  <c:v>2.73229874220959E-2</c:v>
                </c:pt>
                <c:pt idx="247">
                  <c:v>2.7343499187878196E-2</c:v>
                </c:pt>
                <c:pt idx="248">
                  <c:v>2.7316321305260328E-2</c:v>
                </c:pt>
                <c:pt idx="249">
                  <c:v>2.7309762129371005E-2</c:v>
                </c:pt>
                <c:pt idx="250">
                  <c:v>2.730303090226258E-2</c:v>
                </c:pt>
                <c:pt idx="251">
                  <c:v>2.7295659881612682E-2</c:v>
                </c:pt>
                <c:pt idx="252">
                  <c:v>2.7288105085000302E-2</c:v>
                </c:pt>
                <c:pt idx="253">
                  <c:v>2.7280184295416669E-2</c:v>
                </c:pt>
                <c:pt idx="254">
                  <c:v>2.7271672454495473E-2</c:v>
                </c:pt>
                <c:pt idx="255">
                  <c:v>2.7262929139144382E-2</c:v>
                </c:pt>
                <c:pt idx="256">
                  <c:v>2.725329620177986E-2</c:v>
                </c:pt>
                <c:pt idx="257">
                  <c:v>2.7242438578961806E-2</c:v>
                </c:pt>
                <c:pt idx="258">
                  <c:v>2.7230479291677094E-2</c:v>
                </c:pt>
                <c:pt idx="259">
                  <c:v>2.721922474929046E-2</c:v>
                </c:pt>
                <c:pt idx="260">
                  <c:v>2.7207457502047439E-2</c:v>
                </c:pt>
                <c:pt idx="261">
                  <c:v>2.7195798892219673E-2</c:v>
                </c:pt>
                <c:pt idx="262">
                  <c:v>2.7183316009178907E-2</c:v>
                </c:pt>
                <c:pt idx="263">
                  <c:v>2.7170678043852814E-2</c:v>
                </c:pt>
                <c:pt idx="264">
                  <c:v>2.7156143067205998E-2</c:v>
                </c:pt>
                <c:pt idx="265">
                  <c:v>2.7141137549366506E-2</c:v>
                </c:pt>
                <c:pt idx="266">
                  <c:v>2.7125312457824204E-2</c:v>
                </c:pt>
                <c:pt idx="267">
                  <c:v>2.7108123879741493E-2</c:v>
                </c:pt>
                <c:pt idx="268">
                  <c:v>2.7091622988150914E-2</c:v>
                </c:pt>
                <c:pt idx="269">
                  <c:v>2.7071648704283465E-2</c:v>
                </c:pt>
                <c:pt idx="270">
                  <c:v>2.7051405393952618E-2</c:v>
                </c:pt>
                <c:pt idx="271">
                  <c:v>2.7032024991674657E-2</c:v>
                </c:pt>
                <c:pt idx="272">
                  <c:v>2.7011954280654456E-2</c:v>
                </c:pt>
                <c:pt idx="273">
                  <c:v>2.6992032756594071E-2</c:v>
                </c:pt>
                <c:pt idx="274">
                  <c:v>2.6966964056361134E-2</c:v>
                </c:pt>
                <c:pt idx="275">
                  <c:v>2.6943111942004622E-2</c:v>
                </c:pt>
                <c:pt idx="276">
                  <c:v>2.6919853454282359E-2</c:v>
                </c:pt>
                <c:pt idx="277">
                  <c:v>2.6889475366703847E-2</c:v>
                </c:pt>
                <c:pt idx="278">
                  <c:v>2.6861466639471022E-2</c:v>
                </c:pt>
                <c:pt idx="279">
                  <c:v>2.6840298623262406E-2</c:v>
                </c:pt>
                <c:pt idx="280">
                  <c:v>2.6804420780359613E-2</c:v>
                </c:pt>
                <c:pt idx="281">
                  <c:v>2.6774460821226777E-2</c:v>
                </c:pt>
                <c:pt idx="282">
                  <c:v>2.6738350909814607E-2</c:v>
                </c:pt>
                <c:pt idx="283">
                  <c:v>2.6701371105659375E-2</c:v>
                </c:pt>
                <c:pt idx="284">
                  <c:v>2.6667140076559816E-2</c:v>
                </c:pt>
                <c:pt idx="285">
                  <c:v>2.6623836147160081E-2</c:v>
                </c:pt>
                <c:pt idx="286">
                  <c:v>2.6580029121868472E-2</c:v>
                </c:pt>
                <c:pt idx="287">
                  <c:v>2.6537824564175323E-2</c:v>
                </c:pt>
                <c:pt idx="288">
                  <c:v>2.6489144571878256E-2</c:v>
                </c:pt>
                <c:pt idx="289">
                  <c:v>2.6441970124822915E-2</c:v>
                </c:pt>
                <c:pt idx="290">
                  <c:v>2.642693577246542E-2</c:v>
                </c:pt>
                <c:pt idx="291">
                  <c:v>2.6350139050132254E-2</c:v>
                </c:pt>
                <c:pt idx="292">
                  <c:v>2.6307875739906905E-2</c:v>
                </c:pt>
                <c:pt idx="293">
                  <c:v>2.6274178453535534E-2</c:v>
                </c:pt>
                <c:pt idx="294">
                  <c:v>2.6173874196002669E-2</c:v>
                </c:pt>
                <c:pt idx="295">
                  <c:v>2.6233309292184634E-2</c:v>
                </c:pt>
                <c:pt idx="296">
                  <c:v>2.6164248085107283E-2</c:v>
                </c:pt>
                <c:pt idx="297">
                  <c:v>2.6155578672234746E-2</c:v>
                </c:pt>
                <c:pt idx="298">
                  <c:v>2.6147206304771069E-2</c:v>
                </c:pt>
                <c:pt idx="299">
                  <c:v>2.6139387123680909E-2</c:v>
                </c:pt>
                <c:pt idx="300">
                  <c:v>2.6131329229347394E-2</c:v>
                </c:pt>
                <c:pt idx="301">
                  <c:v>2.6123542816571626E-2</c:v>
                </c:pt>
                <c:pt idx="302">
                  <c:v>2.6114945120207865E-2</c:v>
                </c:pt>
                <c:pt idx="303">
                  <c:v>2.6105737475411606E-2</c:v>
                </c:pt>
                <c:pt idx="304">
                  <c:v>2.60961525300323E-2</c:v>
                </c:pt>
                <c:pt idx="305">
                  <c:v>2.6085521116962891E-2</c:v>
                </c:pt>
                <c:pt idx="306">
                  <c:v>2.607410118289713E-2</c:v>
                </c:pt>
                <c:pt idx="307">
                  <c:v>2.6063676603250728E-2</c:v>
                </c:pt>
                <c:pt idx="308">
                  <c:v>2.6051510504470153E-2</c:v>
                </c:pt>
                <c:pt idx="309">
                  <c:v>2.6039824547417618E-2</c:v>
                </c:pt>
                <c:pt idx="310">
                  <c:v>2.602841045879618E-2</c:v>
                </c:pt>
                <c:pt idx="311">
                  <c:v>2.6014608296295094E-2</c:v>
                </c:pt>
                <c:pt idx="312">
                  <c:v>2.600007701711507E-2</c:v>
                </c:pt>
                <c:pt idx="313">
                  <c:v>2.5984832222355293E-2</c:v>
                </c:pt>
                <c:pt idx="314">
                  <c:v>2.5968371551772985E-2</c:v>
                </c:pt>
                <c:pt idx="315">
                  <c:v>2.595110571544797E-2</c:v>
                </c:pt>
                <c:pt idx="316">
                  <c:v>2.5936198299880066E-2</c:v>
                </c:pt>
                <c:pt idx="317">
                  <c:v>2.5920504950747283E-2</c:v>
                </c:pt>
                <c:pt idx="318">
                  <c:v>2.5903243935435593E-2</c:v>
                </c:pt>
                <c:pt idx="319">
                  <c:v>2.5884582366786733E-2</c:v>
                </c:pt>
                <c:pt idx="320">
                  <c:v>2.5870228898389344E-2</c:v>
                </c:pt>
                <c:pt idx="321">
                  <c:v>2.5846727671068975E-2</c:v>
                </c:pt>
                <c:pt idx="322">
                  <c:v>2.5826065581922197E-2</c:v>
                </c:pt>
                <c:pt idx="323">
                  <c:v>2.580383604463881E-2</c:v>
                </c:pt>
                <c:pt idx="324">
                  <c:v>2.5784152613018679E-2</c:v>
                </c:pt>
                <c:pt idx="325">
                  <c:v>2.5757429646761327E-2</c:v>
                </c:pt>
                <c:pt idx="326">
                  <c:v>2.5733020953456528E-2</c:v>
                </c:pt>
                <c:pt idx="327">
                  <c:v>2.5703924434234381E-2</c:v>
                </c:pt>
                <c:pt idx="328">
                  <c:v>2.5678423343805209E-2</c:v>
                </c:pt>
                <c:pt idx="329">
                  <c:v>2.5641179484563108E-2</c:v>
                </c:pt>
                <c:pt idx="330">
                  <c:v>2.5607771365548235E-2</c:v>
                </c:pt>
                <c:pt idx="331">
                  <c:v>2.5590641928752371E-2</c:v>
                </c:pt>
                <c:pt idx="332">
                  <c:v>2.5543508515927103E-2</c:v>
                </c:pt>
                <c:pt idx="333">
                  <c:v>2.5502663640239811E-2</c:v>
                </c:pt>
                <c:pt idx="334">
                  <c:v>2.546407826205228E-2</c:v>
                </c:pt>
                <c:pt idx="335">
                  <c:v>2.5441398456780333E-2</c:v>
                </c:pt>
                <c:pt idx="336">
                  <c:v>2.5381855932151167E-2</c:v>
                </c:pt>
                <c:pt idx="337">
                  <c:v>2.5336164644672584E-2</c:v>
                </c:pt>
                <c:pt idx="338">
                  <c:v>2.5293566292761027E-2</c:v>
                </c:pt>
                <c:pt idx="339">
                  <c:v>2.52438129771194E-2</c:v>
                </c:pt>
                <c:pt idx="340">
                  <c:v>2.5220914487086039E-2</c:v>
                </c:pt>
                <c:pt idx="341">
                  <c:v>2.5142312079604028E-2</c:v>
                </c:pt>
                <c:pt idx="342">
                  <c:v>2.5101056465700405E-2</c:v>
                </c:pt>
                <c:pt idx="343">
                  <c:v>2.5009920410312459E-2</c:v>
                </c:pt>
                <c:pt idx="344">
                  <c:v>2.4942611201921306E-2</c:v>
                </c:pt>
                <c:pt idx="345">
                  <c:v>2.4874653847960383E-2</c:v>
                </c:pt>
                <c:pt idx="346">
                  <c:v>2.4802570723429E-2</c:v>
                </c:pt>
                <c:pt idx="347">
                  <c:v>2.4734579669484679E-2</c:v>
                </c:pt>
                <c:pt idx="348">
                  <c:v>2.4672935858776439E-2</c:v>
                </c:pt>
                <c:pt idx="349">
                  <c:v>2.4746718418528914E-2</c:v>
                </c:pt>
                <c:pt idx="350">
                  <c:v>2.4661139077733134E-2</c:v>
                </c:pt>
                <c:pt idx="351">
                  <c:v>2.4649635701611477E-2</c:v>
                </c:pt>
                <c:pt idx="352">
                  <c:v>2.4639501883790424E-2</c:v>
                </c:pt>
                <c:pt idx="353">
                  <c:v>2.4630082498873187E-2</c:v>
                </c:pt>
                <c:pt idx="354">
                  <c:v>2.4620462234339779E-2</c:v>
                </c:pt>
                <c:pt idx="355">
                  <c:v>2.4610686546872828E-2</c:v>
                </c:pt>
                <c:pt idx="356">
                  <c:v>2.459964977556808E-2</c:v>
                </c:pt>
                <c:pt idx="357">
                  <c:v>2.4587981619478852E-2</c:v>
                </c:pt>
                <c:pt idx="358">
                  <c:v>2.4575767095085219E-2</c:v>
                </c:pt>
                <c:pt idx="359">
                  <c:v>2.4562716407994008E-2</c:v>
                </c:pt>
                <c:pt idx="360">
                  <c:v>2.4549252181720455E-2</c:v>
                </c:pt>
                <c:pt idx="361">
                  <c:v>2.4535490629573366E-2</c:v>
                </c:pt>
                <c:pt idx="362">
                  <c:v>2.4520938737642148E-2</c:v>
                </c:pt>
                <c:pt idx="363">
                  <c:v>2.4505310018995419E-2</c:v>
                </c:pt>
                <c:pt idx="364">
                  <c:v>2.4489211398153923E-2</c:v>
                </c:pt>
                <c:pt idx="365">
                  <c:v>2.4471301698095978E-2</c:v>
                </c:pt>
                <c:pt idx="366">
                  <c:v>2.4451967701511899E-2</c:v>
                </c:pt>
                <c:pt idx="367">
                  <c:v>2.4432376504193064E-2</c:v>
                </c:pt>
                <c:pt idx="368">
                  <c:v>2.4411545108535826E-2</c:v>
                </c:pt>
                <c:pt idx="369">
                  <c:v>2.4388322588389886E-2</c:v>
                </c:pt>
                <c:pt idx="370">
                  <c:v>2.436897616898737E-2</c:v>
                </c:pt>
                <c:pt idx="371">
                  <c:v>2.4342349480447709E-2</c:v>
                </c:pt>
                <c:pt idx="372">
                  <c:v>2.4318165191809394E-2</c:v>
                </c:pt>
                <c:pt idx="373">
                  <c:v>2.4293306602879684E-2</c:v>
                </c:pt>
                <c:pt idx="374">
                  <c:v>2.426687318034397E-2</c:v>
                </c:pt>
                <c:pt idx="375">
                  <c:v>2.4235627108025973E-2</c:v>
                </c:pt>
                <c:pt idx="376">
                  <c:v>2.4207168815153817E-2</c:v>
                </c:pt>
                <c:pt idx="377">
                  <c:v>2.4171848513739751E-2</c:v>
                </c:pt>
                <c:pt idx="378">
                  <c:v>2.4146971730179542E-2</c:v>
                </c:pt>
                <c:pt idx="379">
                  <c:v>2.411037571657813E-2</c:v>
                </c:pt>
                <c:pt idx="380">
                  <c:v>2.406621715181936E-2</c:v>
                </c:pt>
                <c:pt idx="381">
                  <c:v>2.4037329685446834E-2</c:v>
                </c:pt>
                <c:pt idx="382">
                  <c:v>2.3989755530475117E-2</c:v>
                </c:pt>
                <c:pt idx="383">
                  <c:v>2.3950263067495786E-2</c:v>
                </c:pt>
                <c:pt idx="384">
                  <c:v>2.3898447297699812E-2</c:v>
                </c:pt>
                <c:pt idx="385">
                  <c:v>2.3866663992840063E-2</c:v>
                </c:pt>
                <c:pt idx="386">
                  <c:v>2.3814705860211685E-2</c:v>
                </c:pt>
                <c:pt idx="387">
                  <c:v>2.3768499808529624E-2</c:v>
                </c:pt>
                <c:pt idx="388">
                  <c:v>2.3727507894619623E-2</c:v>
                </c:pt>
                <c:pt idx="389">
                  <c:v>2.3678624193147473E-2</c:v>
                </c:pt>
                <c:pt idx="390">
                  <c:v>2.3597779357771017E-2</c:v>
                </c:pt>
                <c:pt idx="391">
                  <c:v>2.3557031150622777E-2</c:v>
                </c:pt>
                <c:pt idx="392">
                  <c:v>2.3501739413743995E-2</c:v>
                </c:pt>
                <c:pt idx="393">
                  <c:v>2.3428673269959614E-2</c:v>
                </c:pt>
                <c:pt idx="394">
                  <c:v>2.3386157734002194E-2</c:v>
                </c:pt>
                <c:pt idx="395">
                  <c:v>2.3284560919419432E-2</c:v>
                </c:pt>
                <c:pt idx="396">
                  <c:v>2.3272678586655195E-2</c:v>
                </c:pt>
                <c:pt idx="397">
                  <c:v>2.3146139555626954E-2</c:v>
                </c:pt>
                <c:pt idx="398">
                  <c:v>2.3064283845063597E-2</c:v>
                </c:pt>
                <c:pt idx="399">
                  <c:v>2.293518855383558E-2</c:v>
                </c:pt>
                <c:pt idx="400">
                  <c:v>2.2905465641004517E-2</c:v>
                </c:pt>
                <c:pt idx="401">
                  <c:v>2.2738814688634139E-2</c:v>
                </c:pt>
                <c:pt idx="402">
                  <c:v>2.2690621218821504E-2</c:v>
                </c:pt>
                <c:pt idx="403">
                  <c:v>2.2544331600772193E-2</c:v>
                </c:pt>
                <c:pt idx="404">
                  <c:v>2.2448073921889598E-2</c:v>
                </c:pt>
                <c:pt idx="405">
                  <c:v>2.2499880026528939E-2</c:v>
                </c:pt>
                <c:pt idx="406">
                  <c:v>2.2428223720774139E-2</c:v>
                </c:pt>
                <c:pt idx="407">
                  <c:v>2.2409784894155807E-2</c:v>
                </c:pt>
                <c:pt idx="408">
                  <c:v>2.239665387376728E-2</c:v>
                </c:pt>
                <c:pt idx="409">
                  <c:v>2.2383154453274545E-2</c:v>
                </c:pt>
                <c:pt idx="410">
                  <c:v>2.2368079366709259E-2</c:v>
                </c:pt>
                <c:pt idx="411">
                  <c:v>2.2352423665662521E-2</c:v>
                </c:pt>
                <c:pt idx="412">
                  <c:v>2.233676675058846E-2</c:v>
                </c:pt>
                <c:pt idx="413">
                  <c:v>2.2318589333817768E-2</c:v>
                </c:pt>
                <c:pt idx="414">
                  <c:v>2.2299213596680793E-2</c:v>
                </c:pt>
                <c:pt idx="415">
                  <c:v>2.2279685717944999E-2</c:v>
                </c:pt>
                <c:pt idx="416">
                  <c:v>2.2257703332875804E-2</c:v>
                </c:pt>
                <c:pt idx="417">
                  <c:v>2.2236785006776814E-2</c:v>
                </c:pt>
                <c:pt idx="418">
                  <c:v>2.2213712353397117E-2</c:v>
                </c:pt>
                <c:pt idx="419">
                  <c:v>2.2197882386942681E-2</c:v>
                </c:pt>
                <c:pt idx="420">
                  <c:v>2.2163804368422673E-2</c:v>
                </c:pt>
                <c:pt idx="421">
                  <c:v>2.2141056512525455E-2</c:v>
                </c:pt>
                <c:pt idx="422">
                  <c:v>2.2113362214046181E-2</c:v>
                </c:pt>
                <c:pt idx="423">
                  <c:v>2.2085266543984006E-2</c:v>
                </c:pt>
                <c:pt idx="424">
                  <c:v>2.2057998027824294E-2</c:v>
                </c:pt>
                <c:pt idx="425">
                  <c:v>2.2024103251187376E-2</c:v>
                </c:pt>
                <c:pt idx="426">
                  <c:v>2.1993454397275795E-2</c:v>
                </c:pt>
                <c:pt idx="427">
                  <c:v>2.1958420846692944E-2</c:v>
                </c:pt>
                <c:pt idx="428">
                  <c:v>2.1926761961603855E-2</c:v>
                </c:pt>
                <c:pt idx="429">
                  <c:v>2.188523185590377E-2</c:v>
                </c:pt>
                <c:pt idx="430">
                  <c:v>2.1844468867729745E-2</c:v>
                </c:pt>
                <c:pt idx="431">
                  <c:v>2.1800623742414257E-2</c:v>
                </c:pt>
                <c:pt idx="432">
                  <c:v>2.1757236541637547E-2</c:v>
                </c:pt>
                <c:pt idx="433">
                  <c:v>2.1701796202030138E-2</c:v>
                </c:pt>
                <c:pt idx="434">
                  <c:v>2.1697870419799613E-2</c:v>
                </c:pt>
                <c:pt idx="435">
                  <c:v>2.1646660402035882E-2</c:v>
                </c:pt>
                <c:pt idx="436">
                  <c:v>2.1563488708392923E-2</c:v>
                </c:pt>
                <c:pt idx="437">
                  <c:v>2.1497413069698063E-2</c:v>
                </c:pt>
                <c:pt idx="438">
                  <c:v>2.1445938618216479E-2</c:v>
                </c:pt>
                <c:pt idx="439">
                  <c:v>2.1397461825577328E-2</c:v>
                </c:pt>
                <c:pt idx="440">
                  <c:v>2.1345811517429092E-2</c:v>
                </c:pt>
                <c:pt idx="441">
                  <c:v>2.1303658870291588E-2</c:v>
                </c:pt>
                <c:pt idx="442">
                  <c:v>2.1246018731454267E-2</c:v>
                </c:pt>
                <c:pt idx="443">
                  <c:v>2.1171571511487096E-2</c:v>
                </c:pt>
                <c:pt idx="444">
                  <c:v>2.1122874918463697E-2</c:v>
                </c:pt>
                <c:pt idx="445">
                  <c:v>2.1013644914876953E-2</c:v>
                </c:pt>
                <c:pt idx="446">
                  <c:v>2.0918833874767648E-2</c:v>
                </c:pt>
                <c:pt idx="447">
                  <c:v>2.1001190626091969E-2</c:v>
                </c:pt>
                <c:pt idx="448">
                  <c:v>2.0911108186914572E-2</c:v>
                </c:pt>
                <c:pt idx="449">
                  <c:v>2.0902698889327866E-2</c:v>
                </c:pt>
                <c:pt idx="450">
                  <c:v>2.0893518083532063E-2</c:v>
                </c:pt>
                <c:pt idx="451">
                  <c:v>2.0883009710477695E-2</c:v>
                </c:pt>
                <c:pt idx="452">
                  <c:v>2.0871742022877164E-2</c:v>
                </c:pt>
                <c:pt idx="453">
                  <c:v>2.085989645795806E-2</c:v>
                </c:pt>
                <c:pt idx="454">
                  <c:v>2.0848316251558772E-2</c:v>
                </c:pt>
                <c:pt idx="455">
                  <c:v>2.0835843297767543E-2</c:v>
                </c:pt>
                <c:pt idx="456">
                  <c:v>2.0822715151510237E-2</c:v>
                </c:pt>
                <c:pt idx="457">
                  <c:v>2.0808773928427261E-2</c:v>
                </c:pt>
                <c:pt idx="458">
                  <c:v>2.0794775915215783E-2</c:v>
                </c:pt>
                <c:pt idx="459">
                  <c:v>2.0779853479959615E-2</c:v>
                </c:pt>
                <c:pt idx="460">
                  <c:v>2.076441782242288E-2</c:v>
                </c:pt>
                <c:pt idx="461">
                  <c:v>2.0746340338587212E-2</c:v>
                </c:pt>
                <c:pt idx="462">
                  <c:v>2.0729389902346844E-2</c:v>
                </c:pt>
                <c:pt idx="463">
                  <c:v>2.0712112032443865E-2</c:v>
                </c:pt>
                <c:pt idx="464">
                  <c:v>2.0695345837773309E-2</c:v>
                </c:pt>
                <c:pt idx="465">
                  <c:v>2.0675377472552828E-2</c:v>
                </c:pt>
                <c:pt idx="466">
                  <c:v>2.0654372738154771E-2</c:v>
                </c:pt>
                <c:pt idx="467">
                  <c:v>2.0631259084069486E-2</c:v>
                </c:pt>
                <c:pt idx="468">
                  <c:v>2.0612996974442296E-2</c:v>
                </c:pt>
                <c:pt idx="469">
                  <c:v>2.0582979868794923E-2</c:v>
                </c:pt>
                <c:pt idx="470">
                  <c:v>2.055617612335095E-2</c:v>
                </c:pt>
                <c:pt idx="471">
                  <c:v>2.0534680814186551E-2</c:v>
                </c:pt>
                <c:pt idx="472">
                  <c:v>2.0497638982413767E-2</c:v>
                </c:pt>
                <c:pt idx="473">
                  <c:v>2.046751468622714E-2</c:v>
                </c:pt>
                <c:pt idx="474">
                  <c:v>2.0440345028615178E-2</c:v>
                </c:pt>
                <c:pt idx="475">
                  <c:v>2.0410248386200154E-2</c:v>
                </c:pt>
                <c:pt idx="476">
                  <c:v>2.0374736863009262E-2</c:v>
                </c:pt>
                <c:pt idx="477">
                  <c:v>2.0346954407452999E-2</c:v>
                </c:pt>
                <c:pt idx="478">
                  <c:v>2.0321409527991507E-2</c:v>
                </c:pt>
                <c:pt idx="479">
                  <c:v>2.0274876783918649E-2</c:v>
                </c:pt>
                <c:pt idx="480">
                  <c:v>2.023648990235824E-2</c:v>
                </c:pt>
                <c:pt idx="481">
                  <c:v>2.0191905924754686E-2</c:v>
                </c:pt>
                <c:pt idx="482">
                  <c:v>2.0187370334077189E-2</c:v>
                </c:pt>
                <c:pt idx="483">
                  <c:v>2.0110930109185188E-2</c:v>
                </c:pt>
                <c:pt idx="484">
                  <c:v>2.0059874325236177E-2</c:v>
                </c:pt>
                <c:pt idx="485">
                  <c:v>2.00100622757379E-2</c:v>
                </c:pt>
                <c:pt idx="486">
                  <c:v>1.9958341794016822E-2</c:v>
                </c:pt>
                <c:pt idx="487">
                  <c:v>1.9899865970502095E-2</c:v>
                </c:pt>
                <c:pt idx="488">
                  <c:v>1.9842969346922007E-2</c:v>
                </c:pt>
                <c:pt idx="489">
                  <c:v>1.9787457917748986E-2</c:v>
                </c:pt>
                <c:pt idx="490">
                  <c:v>1.9738471172765309E-2</c:v>
                </c:pt>
                <c:pt idx="491">
                  <c:v>1.9646019422028704E-2</c:v>
                </c:pt>
                <c:pt idx="492">
                  <c:v>1.9589260984134074E-2</c:v>
                </c:pt>
                <c:pt idx="493">
                  <c:v>1.9520234124037292E-2</c:v>
                </c:pt>
                <c:pt idx="494">
                  <c:v>1.9426820208721805E-2</c:v>
                </c:pt>
                <c:pt idx="495">
                  <c:v>1.9349625736671556E-2</c:v>
                </c:pt>
                <c:pt idx="496">
                  <c:v>1.9262039660323624E-2</c:v>
                </c:pt>
                <c:pt idx="497">
                  <c:v>1.9231860836397274E-2</c:v>
                </c:pt>
                <c:pt idx="498">
                  <c:v>1.9118129806874308E-2</c:v>
                </c:pt>
                <c:pt idx="499">
                  <c:v>1.9012413406076043E-2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6A-432D-93A6-32384E6C8B77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Iris!$R$2:$R$501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</c:numCache>
            </c:numRef>
          </c:xVal>
          <c:yVal>
            <c:numRef>
              <c:f>Iris!$S$2:$S$501</c:f>
              <c:numCache>
                <c:formatCode>General</c:formatCode>
                <c:ptCount val="500"/>
                <c:pt idx="0">
                  <c:v>6.0321441643657873E-2</c:v>
                </c:pt>
                <c:pt idx="1">
                  <c:v>5.8649066933663882E-2</c:v>
                </c:pt>
                <c:pt idx="2">
                  <c:v>5.7287233400349566E-2</c:v>
                </c:pt>
                <c:pt idx="3">
                  <c:v>5.5899373221883604E-2</c:v>
                </c:pt>
                <c:pt idx="4">
                  <c:v>5.4466844994522742E-2</c:v>
                </c:pt>
                <c:pt idx="5">
                  <c:v>5.3130082405517455E-2</c:v>
                </c:pt>
                <c:pt idx="6">
                  <c:v>5.1832780955024478E-2</c:v>
                </c:pt>
                <c:pt idx="7">
                  <c:v>5.0548103283841191E-2</c:v>
                </c:pt>
                <c:pt idx="8">
                  <c:v>4.926446215473522E-2</c:v>
                </c:pt>
                <c:pt idx="9">
                  <c:v>4.8055424168937919E-2</c:v>
                </c:pt>
                <c:pt idx="10">
                  <c:v>4.6827419266183834E-2</c:v>
                </c:pt>
                <c:pt idx="11">
                  <c:v>4.5636914605018189E-2</c:v>
                </c:pt>
                <c:pt idx="12">
                  <c:v>4.4440715466327808E-2</c:v>
                </c:pt>
                <c:pt idx="13">
                  <c:v>4.3260350475404684E-2</c:v>
                </c:pt>
                <c:pt idx="14">
                  <c:v>4.2101458703079686E-2</c:v>
                </c:pt>
                <c:pt idx="15">
                  <c:v>4.099002960221361E-2</c:v>
                </c:pt>
                <c:pt idx="16">
                  <c:v>3.9944405161762946E-2</c:v>
                </c:pt>
                <c:pt idx="17">
                  <c:v>3.8930237303851492E-2</c:v>
                </c:pt>
                <c:pt idx="18">
                  <c:v>3.8015482214353948E-2</c:v>
                </c:pt>
                <c:pt idx="19">
                  <c:v>3.7194491345404757E-2</c:v>
                </c:pt>
                <c:pt idx="20">
                  <c:v>3.6468754868120859E-2</c:v>
                </c:pt>
                <c:pt idx="21">
                  <c:v>3.5825746483676639E-2</c:v>
                </c:pt>
                <c:pt idx="22">
                  <c:v>3.5292620181036925E-2</c:v>
                </c:pt>
                <c:pt idx="23">
                  <c:v>3.4934115201877773E-2</c:v>
                </c:pt>
                <c:pt idx="24">
                  <c:v>3.4587233342224737E-2</c:v>
                </c:pt>
                <c:pt idx="25">
                  <c:v>3.4345121989823028E-2</c:v>
                </c:pt>
                <c:pt idx="26">
                  <c:v>3.4121221568223857E-2</c:v>
                </c:pt>
                <c:pt idx="27">
                  <c:v>3.3914786259269893E-2</c:v>
                </c:pt>
                <c:pt idx="28">
                  <c:v>3.36995863451394E-2</c:v>
                </c:pt>
                <c:pt idx="29">
                  <c:v>3.3476983345977311E-2</c:v>
                </c:pt>
                <c:pt idx="30">
                  <c:v>3.3258630460020505E-2</c:v>
                </c:pt>
                <c:pt idx="31">
                  <c:v>3.2999338334463287E-2</c:v>
                </c:pt>
                <c:pt idx="32">
                  <c:v>3.2738869204211277E-2</c:v>
                </c:pt>
                <c:pt idx="33">
                  <c:v>3.2451240009438637E-2</c:v>
                </c:pt>
                <c:pt idx="34">
                  <c:v>3.2273742415615626E-2</c:v>
                </c:pt>
                <c:pt idx="35">
                  <c:v>3.1977449207580937E-2</c:v>
                </c:pt>
                <c:pt idx="36">
                  <c:v>3.1499262540926165E-2</c:v>
                </c:pt>
                <c:pt idx="37">
                  <c:v>3.1071803138048207E-2</c:v>
                </c:pt>
                <c:pt idx="38">
                  <c:v>3.0723104329848417E-2</c:v>
                </c:pt>
                <c:pt idx="39">
                  <c:v>3.0277395787222824E-2</c:v>
                </c:pt>
                <c:pt idx="40">
                  <c:v>2.9893966581165367E-2</c:v>
                </c:pt>
                <c:pt idx="41">
                  <c:v>2.972614435117334E-2</c:v>
                </c:pt>
                <c:pt idx="42">
                  <c:v>2.9709174249804068E-2</c:v>
                </c:pt>
                <c:pt idx="43">
                  <c:v>2.9573078922848658E-2</c:v>
                </c:pt>
                <c:pt idx="44">
                  <c:v>2.8661889000837545E-2</c:v>
                </c:pt>
                <c:pt idx="45">
                  <c:v>2.8116134610534724E-2</c:v>
                </c:pt>
                <c:pt idx="46">
                  <c:v>2.6982854244422955E-2</c:v>
                </c:pt>
                <c:pt idx="47">
                  <c:v>2.6349790072302065E-2</c:v>
                </c:pt>
                <c:pt idx="48">
                  <c:v>2.5994671988731673E-2</c:v>
                </c:pt>
                <c:pt idx="49">
                  <c:v>2.5249697691427254E-2</c:v>
                </c:pt>
                <c:pt idx="50">
                  <c:v>2.4382188142113823E-2</c:v>
                </c:pt>
                <c:pt idx="51">
                  <c:v>2.3805513393747899E-2</c:v>
                </c:pt>
                <c:pt idx="52">
                  <c:v>2.3112600360158071E-2</c:v>
                </c:pt>
                <c:pt idx="53">
                  <c:v>2.228187095912364E-2</c:v>
                </c:pt>
                <c:pt idx="54">
                  <c:v>2.1511212801122951E-2</c:v>
                </c:pt>
                <c:pt idx="55">
                  <c:v>2.0709422560048457E-2</c:v>
                </c:pt>
                <c:pt idx="56">
                  <c:v>1.9999137839751709E-2</c:v>
                </c:pt>
                <c:pt idx="57">
                  <c:v>1.9113066754344293E-2</c:v>
                </c:pt>
                <c:pt idx="58">
                  <c:v>1.8179364435695584E-2</c:v>
                </c:pt>
                <c:pt idx="59">
                  <c:v>1.7344239895865341E-2</c:v>
                </c:pt>
                <c:pt idx="60">
                  <c:v>1.641043495837291E-2</c:v>
                </c:pt>
                <c:pt idx="61">
                  <c:v>1.5494343320561304E-2</c:v>
                </c:pt>
                <c:pt idx="62">
                  <c:v>1.4736520195116858E-2</c:v>
                </c:pt>
                <c:pt idx="63">
                  <c:v>1.3615231341960649E-2</c:v>
                </c:pt>
                <c:pt idx="64">
                  <c:v>1.2913969101744999E-2</c:v>
                </c:pt>
                <c:pt idx="65">
                  <c:v>1.2315935150215996E-2</c:v>
                </c:pt>
                <c:pt idx="66">
                  <c:v>1.155328026422469E-2</c:v>
                </c:pt>
                <c:pt idx="67">
                  <c:v>1.0773746055419677E-2</c:v>
                </c:pt>
                <c:pt idx="68">
                  <c:v>9.8929514339219839E-3</c:v>
                </c:pt>
                <c:pt idx="69">
                  <c:v>1.0457995790059182E-2</c:v>
                </c:pt>
                <c:pt idx="70">
                  <c:v>1.0002520580717813E-2</c:v>
                </c:pt>
                <c:pt idx="71">
                  <c:v>9.8622958932944853E-3</c:v>
                </c:pt>
                <c:pt idx="72">
                  <c:v>9.8479178685167562E-3</c:v>
                </c:pt>
                <c:pt idx="73">
                  <c:v>9.8267034644251468E-3</c:v>
                </c:pt>
                <c:pt idx="74">
                  <c:v>9.8112765423209319E-3</c:v>
                </c:pt>
                <c:pt idx="75">
                  <c:v>9.7990374166266533E-3</c:v>
                </c:pt>
                <c:pt idx="76">
                  <c:v>9.778650729325036E-3</c:v>
                </c:pt>
                <c:pt idx="77">
                  <c:v>9.7644683227983628E-3</c:v>
                </c:pt>
                <c:pt idx="78">
                  <c:v>9.74811419743629E-3</c:v>
                </c:pt>
                <c:pt idx="79">
                  <c:v>9.7278749257080147E-3</c:v>
                </c:pt>
                <c:pt idx="80">
                  <c:v>9.710577684363994E-3</c:v>
                </c:pt>
                <c:pt idx="81">
                  <c:v>9.6923022247083854E-3</c:v>
                </c:pt>
                <c:pt idx="82">
                  <c:v>9.6701502799930571E-3</c:v>
                </c:pt>
                <c:pt idx="83">
                  <c:v>9.6494138495005211E-3</c:v>
                </c:pt>
                <c:pt idx="84">
                  <c:v>9.6276278258755014E-3</c:v>
                </c:pt>
                <c:pt idx="85">
                  <c:v>9.6054786856249515E-3</c:v>
                </c:pt>
                <c:pt idx="86">
                  <c:v>9.5847031831887714E-3</c:v>
                </c:pt>
                <c:pt idx="87">
                  <c:v>9.5619912901563492E-3</c:v>
                </c:pt>
                <c:pt idx="88">
                  <c:v>9.5313520056141219E-3</c:v>
                </c:pt>
                <c:pt idx="89">
                  <c:v>9.5051903076589922E-3</c:v>
                </c:pt>
                <c:pt idx="90">
                  <c:v>9.4772593491754247E-3</c:v>
                </c:pt>
                <c:pt idx="91">
                  <c:v>9.4475355247768955E-3</c:v>
                </c:pt>
                <c:pt idx="92">
                  <c:v>9.4174828579439377E-3</c:v>
                </c:pt>
                <c:pt idx="93">
                  <c:v>9.3844823659819891E-3</c:v>
                </c:pt>
                <c:pt idx="94">
                  <c:v>9.3495346442840476E-3</c:v>
                </c:pt>
                <c:pt idx="95">
                  <c:v>9.3135270340162918E-3</c:v>
                </c:pt>
                <c:pt idx="96">
                  <c:v>9.2811129239815278E-3</c:v>
                </c:pt>
                <c:pt idx="97">
                  <c:v>9.2449288714948012E-3</c:v>
                </c:pt>
                <c:pt idx="98">
                  <c:v>9.1950161772426688E-3</c:v>
                </c:pt>
                <c:pt idx="99">
                  <c:v>9.1674204156841771E-3</c:v>
                </c:pt>
                <c:pt idx="100">
                  <c:v>9.1103499984500399E-3</c:v>
                </c:pt>
                <c:pt idx="101">
                  <c:v>9.084440175109048E-3</c:v>
                </c:pt>
                <c:pt idx="102">
                  <c:v>9.0172171088269588E-3</c:v>
                </c:pt>
                <c:pt idx="103">
                  <c:v>8.9622849660944554E-3</c:v>
                </c:pt>
                <c:pt idx="104">
                  <c:v>8.9103680755253083E-3</c:v>
                </c:pt>
                <c:pt idx="105">
                  <c:v>8.8626163102378912E-3</c:v>
                </c:pt>
                <c:pt idx="106">
                  <c:v>8.7964142799798594E-3</c:v>
                </c:pt>
                <c:pt idx="107">
                  <c:v>8.7355533609963353E-3</c:v>
                </c:pt>
                <c:pt idx="108">
                  <c:v>8.6772178423143356E-3</c:v>
                </c:pt>
                <c:pt idx="109">
                  <c:v>8.6132486402762005E-3</c:v>
                </c:pt>
                <c:pt idx="110">
                  <c:v>8.55521610782254E-3</c:v>
                </c:pt>
                <c:pt idx="111">
                  <c:v>8.4771326610416572E-3</c:v>
                </c:pt>
                <c:pt idx="112">
                  <c:v>8.4001279572076815E-3</c:v>
                </c:pt>
                <c:pt idx="113">
                  <c:v>8.3177868565176057E-3</c:v>
                </c:pt>
                <c:pt idx="114">
                  <c:v>8.2453852448769478E-3</c:v>
                </c:pt>
                <c:pt idx="115">
                  <c:v>8.1806665098908306E-3</c:v>
                </c:pt>
                <c:pt idx="116">
                  <c:v>8.1227297066527992E-3</c:v>
                </c:pt>
                <c:pt idx="117">
                  <c:v>8.0262495005451132E-3</c:v>
                </c:pt>
                <c:pt idx="118">
                  <c:v>7.9500476820611662E-3</c:v>
                </c:pt>
                <c:pt idx="119">
                  <c:v>7.9033605924227601E-3</c:v>
                </c:pt>
                <c:pt idx="120">
                  <c:v>7.768702551239598E-3</c:v>
                </c:pt>
                <c:pt idx="121">
                  <c:v>7.6656390420754292E-3</c:v>
                </c:pt>
                <c:pt idx="122">
                  <c:v>7.5352301693467601E-3</c:v>
                </c:pt>
                <c:pt idx="123">
                  <c:v>7.4499949927879019E-3</c:v>
                </c:pt>
                <c:pt idx="124">
                  <c:v>7.4061917494615045E-3</c:v>
                </c:pt>
                <c:pt idx="125">
                  <c:v>7.356252036515876E-3</c:v>
                </c:pt>
                <c:pt idx="126">
                  <c:v>7.358365342828581E-3</c:v>
                </c:pt>
                <c:pt idx="127">
                  <c:v>7.2225110632032127E-3</c:v>
                </c:pt>
                <c:pt idx="128">
                  <c:v>7.2298754014195402E-3</c:v>
                </c:pt>
                <c:pt idx="129">
                  <c:v>7.2186088950042821E-3</c:v>
                </c:pt>
                <c:pt idx="130">
                  <c:v>7.2153810475128147E-3</c:v>
                </c:pt>
                <c:pt idx="131">
                  <c:v>7.2129380765610695E-3</c:v>
                </c:pt>
                <c:pt idx="132">
                  <c:v>7.2110179004561785E-3</c:v>
                </c:pt>
                <c:pt idx="133">
                  <c:v>7.2091003356170849E-3</c:v>
                </c:pt>
                <c:pt idx="134">
                  <c:v>7.2070415457749859E-3</c:v>
                </c:pt>
                <c:pt idx="135">
                  <c:v>7.2048431918483608E-3</c:v>
                </c:pt>
                <c:pt idx="136">
                  <c:v>7.2024704449662625E-3</c:v>
                </c:pt>
                <c:pt idx="137">
                  <c:v>7.2002987590124136E-3</c:v>
                </c:pt>
                <c:pt idx="138">
                  <c:v>7.1980095431103059E-3</c:v>
                </c:pt>
                <c:pt idx="139">
                  <c:v>7.1957529593424533E-3</c:v>
                </c:pt>
                <c:pt idx="140">
                  <c:v>7.1933211455633963E-3</c:v>
                </c:pt>
                <c:pt idx="141">
                  <c:v>7.1907425145677365E-3</c:v>
                </c:pt>
                <c:pt idx="142">
                  <c:v>7.1882463303549662E-3</c:v>
                </c:pt>
                <c:pt idx="143">
                  <c:v>7.1855357702984715E-3</c:v>
                </c:pt>
                <c:pt idx="144">
                  <c:v>7.1827912956933049E-3</c:v>
                </c:pt>
                <c:pt idx="145">
                  <c:v>7.1798035208690044E-3</c:v>
                </c:pt>
                <c:pt idx="146">
                  <c:v>7.1767501351451208E-3</c:v>
                </c:pt>
                <c:pt idx="147">
                  <c:v>7.1735748722895482E-3</c:v>
                </c:pt>
                <c:pt idx="148">
                  <c:v>7.1700386549550131E-3</c:v>
                </c:pt>
                <c:pt idx="149">
                  <c:v>7.1663424804063579E-3</c:v>
                </c:pt>
                <c:pt idx="150">
                  <c:v>7.1625763545258509E-3</c:v>
                </c:pt>
                <c:pt idx="151">
                  <c:v>7.1585687681428563E-3</c:v>
                </c:pt>
                <c:pt idx="152">
                  <c:v>7.15434677314385E-3</c:v>
                </c:pt>
                <c:pt idx="153">
                  <c:v>7.1499301843712714E-3</c:v>
                </c:pt>
                <c:pt idx="154">
                  <c:v>7.145655766160843E-3</c:v>
                </c:pt>
                <c:pt idx="155">
                  <c:v>7.1405081740080036E-3</c:v>
                </c:pt>
                <c:pt idx="156">
                  <c:v>7.1355582549549306E-3</c:v>
                </c:pt>
                <c:pt idx="157">
                  <c:v>7.130144252279611E-3</c:v>
                </c:pt>
                <c:pt idx="158">
                  <c:v>7.1244247688777807E-3</c:v>
                </c:pt>
                <c:pt idx="159">
                  <c:v>7.1185759361902818E-3</c:v>
                </c:pt>
                <c:pt idx="160">
                  <c:v>7.1125024001042316E-3</c:v>
                </c:pt>
                <c:pt idx="161">
                  <c:v>7.1059914336735102E-3</c:v>
                </c:pt>
                <c:pt idx="162">
                  <c:v>7.0993938778041504E-3</c:v>
                </c:pt>
                <c:pt idx="163">
                  <c:v>7.0921522884988637E-3</c:v>
                </c:pt>
                <c:pt idx="164">
                  <c:v>7.0848968535608316E-3</c:v>
                </c:pt>
                <c:pt idx="165">
                  <c:v>7.0769949928515125E-3</c:v>
                </c:pt>
                <c:pt idx="166">
                  <c:v>7.0686555900227079E-3</c:v>
                </c:pt>
                <c:pt idx="167">
                  <c:v>7.0600611617515005E-3</c:v>
                </c:pt>
                <c:pt idx="168">
                  <c:v>7.0552037054726034E-3</c:v>
                </c:pt>
                <c:pt idx="169">
                  <c:v>7.0420097835698159E-3</c:v>
                </c:pt>
                <c:pt idx="170">
                  <c:v>7.0361701436852542E-3</c:v>
                </c:pt>
                <c:pt idx="171">
                  <c:v>7.0221757253936864E-3</c:v>
                </c:pt>
                <c:pt idx="172">
                  <c:v>7.0137134041043771E-3</c:v>
                </c:pt>
                <c:pt idx="173">
                  <c:v>7.0008163482648857E-3</c:v>
                </c:pt>
                <c:pt idx="174">
                  <c:v>6.9940677033262563E-3</c:v>
                </c:pt>
                <c:pt idx="175">
                  <c:v>6.9780101972716944E-3</c:v>
                </c:pt>
                <c:pt idx="176">
                  <c:v>6.9656370028167184E-3</c:v>
                </c:pt>
                <c:pt idx="177">
                  <c:v>6.9535944755738325E-3</c:v>
                </c:pt>
                <c:pt idx="178">
                  <c:v>6.9411044886007354E-3</c:v>
                </c:pt>
                <c:pt idx="179">
                  <c:v>6.9231201987180069E-3</c:v>
                </c:pt>
                <c:pt idx="180">
                  <c:v>6.9096048516883307E-3</c:v>
                </c:pt>
                <c:pt idx="181">
                  <c:v>6.8921780418200723E-3</c:v>
                </c:pt>
                <c:pt idx="182">
                  <c:v>6.8761810703589386E-3</c:v>
                </c:pt>
                <c:pt idx="183">
                  <c:v>6.8648264065985058E-3</c:v>
                </c:pt>
                <c:pt idx="184">
                  <c:v>6.8413844921643274E-3</c:v>
                </c:pt>
                <c:pt idx="185">
                  <c:v>6.8216922708850538E-3</c:v>
                </c:pt>
                <c:pt idx="186">
                  <c:v>6.8018871710330041E-3</c:v>
                </c:pt>
                <c:pt idx="187">
                  <c:v>6.7812917165775543E-3</c:v>
                </c:pt>
                <c:pt idx="188">
                  <c:v>6.7597876846891116E-3</c:v>
                </c:pt>
                <c:pt idx="189">
                  <c:v>6.7371524802530619E-3</c:v>
                </c:pt>
                <c:pt idx="190">
                  <c:v>6.7135720497188099E-3</c:v>
                </c:pt>
                <c:pt idx="191">
                  <c:v>6.6899297899709938E-3</c:v>
                </c:pt>
                <c:pt idx="192">
                  <c:v>6.6713242590429843E-3</c:v>
                </c:pt>
                <c:pt idx="193">
                  <c:v>6.6355651349987721E-3</c:v>
                </c:pt>
                <c:pt idx="194">
                  <c:v>6.6110553968440145E-3</c:v>
                </c:pt>
                <c:pt idx="195">
                  <c:v>6.5902822303888107E-3</c:v>
                </c:pt>
                <c:pt idx="196">
                  <c:v>6.5476445612395705E-3</c:v>
                </c:pt>
                <c:pt idx="197">
                  <c:v>6.5315143107442042E-3</c:v>
                </c:pt>
                <c:pt idx="198">
                  <c:v>6.5065825683831924E-3</c:v>
                </c:pt>
                <c:pt idx="199">
                  <c:v>6.4528162067624658E-3</c:v>
                </c:pt>
                <c:pt idx="200">
                  <c:v>6.413001426221112E-3</c:v>
                </c:pt>
                <c:pt idx="201">
                  <c:v>6.3793875149779061E-3</c:v>
                </c:pt>
                <c:pt idx="202">
                  <c:v>6.3548208652668709E-3</c:v>
                </c:pt>
                <c:pt idx="203">
                  <c:v>6.3036170947042584E-3</c:v>
                </c:pt>
                <c:pt idx="204">
                  <c:v>6.2585551602808371E-3</c:v>
                </c:pt>
                <c:pt idx="205">
                  <c:v>6.2246777999744223E-3</c:v>
                </c:pt>
                <c:pt idx="206">
                  <c:v>6.1729595596405756E-3</c:v>
                </c:pt>
                <c:pt idx="207">
                  <c:v>6.1279081830186077E-3</c:v>
                </c:pt>
                <c:pt idx="208">
                  <c:v>6.1078252787305906E-3</c:v>
                </c:pt>
                <c:pt idx="209">
                  <c:v>6.0533842118338258E-3</c:v>
                </c:pt>
                <c:pt idx="210">
                  <c:v>6.0440585060504894E-3</c:v>
                </c:pt>
                <c:pt idx="211">
                  <c:v>5.960959423942834E-3</c:v>
                </c:pt>
                <c:pt idx="212">
                  <c:v>5.9062668907825288E-3</c:v>
                </c:pt>
                <c:pt idx="213">
                  <c:v>5.8328204983426214E-3</c:v>
                </c:pt>
                <c:pt idx="214">
                  <c:v>5.8081285900092273E-3</c:v>
                </c:pt>
                <c:pt idx="215">
                  <c:v>5.8567466250895126E-3</c:v>
                </c:pt>
                <c:pt idx="216">
                  <c:v>5.7665748733078306E-3</c:v>
                </c:pt>
                <c:pt idx="217">
                  <c:v>5.770435296082105E-3</c:v>
                </c:pt>
                <c:pt idx="218">
                  <c:v>5.7633916167546878E-3</c:v>
                </c:pt>
                <c:pt idx="219">
                  <c:v>5.7621264487287792E-3</c:v>
                </c:pt>
                <c:pt idx="220">
                  <c:v>5.7612302936878752E-3</c:v>
                </c:pt>
                <c:pt idx="221">
                  <c:v>5.7603665877302467E-3</c:v>
                </c:pt>
                <c:pt idx="222">
                  <c:v>5.7595916402583972E-3</c:v>
                </c:pt>
                <c:pt idx="223">
                  <c:v>5.7586589951521723E-3</c:v>
                </c:pt>
                <c:pt idx="224">
                  <c:v>5.7577338426107166E-3</c:v>
                </c:pt>
                <c:pt idx="225">
                  <c:v>5.7567326261602119E-3</c:v>
                </c:pt>
                <c:pt idx="226">
                  <c:v>5.7556724954118893E-3</c:v>
                </c:pt>
                <c:pt idx="227">
                  <c:v>5.7545196500040849E-3</c:v>
                </c:pt>
                <c:pt idx="228">
                  <c:v>5.7533167782969543E-3</c:v>
                </c:pt>
                <c:pt idx="229">
                  <c:v>5.7520820934279298E-3</c:v>
                </c:pt>
                <c:pt idx="230">
                  <c:v>5.7507597629909207E-3</c:v>
                </c:pt>
                <c:pt idx="231">
                  <c:v>5.7493634497178796E-3</c:v>
                </c:pt>
                <c:pt idx="232">
                  <c:v>5.7479341935782729E-3</c:v>
                </c:pt>
                <c:pt idx="233">
                  <c:v>5.746422906949258E-3</c:v>
                </c:pt>
                <c:pt idx="234">
                  <c:v>5.7449422368977248E-3</c:v>
                </c:pt>
                <c:pt idx="235">
                  <c:v>5.7431568368589737E-3</c:v>
                </c:pt>
                <c:pt idx="236">
                  <c:v>5.7414951981244657E-3</c:v>
                </c:pt>
                <c:pt idx="237">
                  <c:v>5.7397124543363881E-3</c:v>
                </c:pt>
                <c:pt idx="238">
                  <c:v>5.7377137046689961E-3</c:v>
                </c:pt>
                <c:pt idx="239">
                  <c:v>5.7357404675754103E-3</c:v>
                </c:pt>
                <c:pt idx="240">
                  <c:v>5.7335554341576686E-3</c:v>
                </c:pt>
                <c:pt idx="241">
                  <c:v>5.7313614458097328E-3</c:v>
                </c:pt>
                <c:pt idx="242">
                  <c:v>5.72904241237458E-3</c:v>
                </c:pt>
                <c:pt idx="243">
                  <c:v>5.7265963907561935E-3</c:v>
                </c:pt>
                <c:pt idx="244">
                  <c:v>5.7241346264984613E-3</c:v>
                </c:pt>
                <c:pt idx="245">
                  <c:v>5.7212673709433198E-3</c:v>
                </c:pt>
                <c:pt idx="246">
                  <c:v>5.7187015193335654E-3</c:v>
                </c:pt>
                <c:pt idx="247">
                  <c:v>5.7161653162842285E-3</c:v>
                </c:pt>
                <c:pt idx="248">
                  <c:v>5.7124083638878291E-3</c:v>
                </c:pt>
                <c:pt idx="249">
                  <c:v>5.7092058269227631E-3</c:v>
                </c:pt>
                <c:pt idx="250">
                  <c:v>5.7057764795348008E-3</c:v>
                </c:pt>
                <c:pt idx="251">
                  <c:v>5.7022534699190412E-3</c:v>
                </c:pt>
                <c:pt idx="252">
                  <c:v>5.6985551506567493E-3</c:v>
                </c:pt>
                <c:pt idx="253">
                  <c:v>5.6944463673759523E-3</c:v>
                </c:pt>
                <c:pt idx="254">
                  <c:v>5.6911850422234804E-3</c:v>
                </c:pt>
                <c:pt idx="255">
                  <c:v>5.6860516123026471E-3</c:v>
                </c:pt>
                <c:pt idx="256">
                  <c:v>5.6827371911909686E-3</c:v>
                </c:pt>
                <c:pt idx="257">
                  <c:v>5.6771347597920508E-3</c:v>
                </c:pt>
                <c:pt idx="258">
                  <c:v>5.6724365401577687E-3</c:v>
                </c:pt>
                <c:pt idx="259">
                  <c:v>5.6687172737303979E-3</c:v>
                </c:pt>
                <c:pt idx="260">
                  <c:v>5.6611428220111944E-3</c:v>
                </c:pt>
                <c:pt idx="261">
                  <c:v>5.6599024948287661E-3</c:v>
                </c:pt>
                <c:pt idx="262">
                  <c:v>5.649559179778019E-3</c:v>
                </c:pt>
                <c:pt idx="263">
                  <c:v>5.6471731971641454E-3</c:v>
                </c:pt>
                <c:pt idx="264">
                  <c:v>5.6371027848657398E-3</c:v>
                </c:pt>
                <c:pt idx="265">
                  <c:v>5.6307176582505759E-3</c:v>
                </c:pt>
                <c:pt idx="266">
                  <c:v>5.6238456040035162E-3</c:v>
                </c:pt>
                <c:pt idx="267">
                  <c:v>5.6155575666790095E-3</c:v>
                </c:pt>
                <c:pt idx="268">
                  <c:v>5.6091230255790828E-3</c:v>
                </c:pt>
                <c:pt idx="269">
                  <c:v>5.6003387169667289E-3</c:v>
                </c:pt>
                <c:pt idx="270">
                  <c:v>5.5909965587469653E-3</c:v>
                </c:pt>
                <c:pt idx="271">
                  <c:v>5.5836974133601511E-3</c:v>
                </c:pt>
                <c:pt idx="272">
                  <c:v>5.5760650579174892E-3</c:v>
                </c:pt>
                <c:pt idx="273">
                  <c:v>5.5636788581510492E-3</c:v>
                </c:pt>
                <c:pt idx="274">
                  <c:v>5.5552389350816966E-3</c:v>
                </c:pt>
                <c:pt idx="275">
                  <c:v>5.5430214085152819E-3</c:v>
                </c:pt>
                <c:pt idx="276">
                  <c:v>5.5335079826389477E-3</c:v>
                </c:pt>
                <c:pt idx="277">
                  <c:v>5.5202820976773008E-3</c:v>
                </c:pt>
                <c:pt idx="278">
                  <c:v>5.5140996103002259E-3</c:v>
                </c:pt>
                <c:pt idx="279">
                  <c:v>5.5064042794116469E-3</c:v>
                </c:pt>
                <c:pt idx="280">
                  <c:v>5.4833728925641929E-3</c:v>
                </c:pt>
                <c:pt idx="281">
                  <c:v>5.4722247879765654E-3</c:v>
                </c:pt>
                <c:pt idx="282">
                  <c:v>5.4586012637167138E-3</c:v>
                </c:pt>
                <c:pt idx="283">
                  <c:v>5.4421683319314084E-3</c:v>
                </c:pt>
                <c:pt idx="284">
                  <c:v>5.4249192698751234E-3</c:v>
                </c:pt>
                <c:pt idx="285">
                  <c:v>5.411139967735846E-3</c:v>
                </c:pt>
                <c:pt idx="286">
                  <c:v>5.3925061598591208E-3</c:v>
                </c:pt>
                <c:pt idx="287">
                  <c:v>5.3778425645489734E-3</c:v>
                </c:pt>
                <c:pt idx="288">
                  <c:v>5.3690841679039118E-3</c:v>
                </c:pt>
                <c:pt idx="289">
                  <c:v>5.3391943813458969E-3</c:v>
                </c:pt>
                <c:pt idx="290">
                  <c:v>5.3211216956708289E-3</c:v>
                </c:pt>
                <c:pt idx="291">
                  <c:v>5.2996007402242289E-3</c:v>
                </c:pt>
                <c:pt idx="292">
                  <c:v>5.278613981326858E-3</c:v>
                </c:pt>
                <c:pt idx="293">
                  <c:v>5.255993884775257E-3</c:v>
                </c:pt>
                <c:pt idx="294">
                  <c:v>5.2323661267676177E-3</c:v>
                </c:pt>
                <c:pt idx="295">
                  <c:v>5.2102782323384823E-3</c:v>
                </c:pt>
                <c:pt idx="296">
                  <c:v>5.1862346857799073E-3</c:v>
                </c:pt>
                <c:pt idx="297">
                  <c:v>5.159612533281269E-3</c:v>
                </c:pt>
                <c:pt idx="298">
                  <c:v>5.1319117243619388E-3</c:v>
                </c:pt>
                <c:pt idx="299">
                  <c:v>5.1106934825369578E-3</c:v>
                </c:pt>
                <c:pt idx="300">
                  <c:v>5.0767717834027323E-3</c:v>
                </c:pt>
                <c:pt idx="301">
                  <c:v>5.0478398632130455E-3</c:v>
                </c:pt>
                <c:pt idx="302">
                  <c:v>5.0459214524123915E-3</c:v>
                </c:pt>
                <c:pt idx="303">
                  <c:v>5.010997068044535E-3</c:v>
                </c:pt>
                <c:pt idx="304">
                  <c:v>5.0052803568949224E-3</c:v>
                </c:pt>
                <c:pt idx="305">
                  <c:v>4.9423081194168925E-3</c:v>
                </c:pt>
                <c:pt idx="306">
                  <c:v>4.8874791803703204E-3</c:v>
                </c:pt>
                <c:pt idx="307">
                  <c:v>4.884221034084384E-3</c:v>
                </c:pt>
                <c:pt idx="308">
                  <c:v>4.9016968086480518E-3</c:v>
                </c:pt>
                <c:pt idx="309">
                  <c:v>4.8478261872953506E-3</c:v>
                </c:pt>
                <c:pt idx="310">
                  <c:v>4.844233189297051E-3</c:v>
                </c:pt>
                <c:pt idx="311">
                  <c:v>4.8366570609670633E-3</c:v>
                </c:pt>
                <c:pt idx="312">
                  <c:v>4.8321928591430266E-3</c:v>
                </c:pt>
                <c:pt idx="313">
                  <c:v>4.8268803340035128E-3</c:v>
                </c:pt>
                <c:pt idx="314">
                  <c:v>4.824032466901754E-3</c:v>
                </c:pt>
                <c:pt idx="315">
                  <c:v>4.8166445944416774E-3</c:v>
                </c:pt>
                <c:pt idx="316">
                  <c:v>4.8131357126854025E-3</c:v>
                </c:pt>
                <c:pt idx="317">
                  <c:v>4.8060347028990756E-3</c:v>
                </c:pt>
                <c:pt idx="318">
                  <c:v>4.8001752097007293E-3</c:v>
                </c:pt>
                <c:pt idx="319">
                  <c:v>4.795212651008361E-3</c:v>
                </c:pt>
                <c:pt idx="320">
                  <c:v>4.7876770284171919E-3</c:v>
                </c:pt>
                <c:pt idx="321">
                  <c:v>4.7811283814031026E-3</c:v>
                </c:pt>
                <c:pt idx="322">
                  <c:v>4.7743683995912717E-3</c:v>
                </c:pt>
                <c:pt idx="323">
                  <c:v>4.7676913351836579E-3</c:v>
                </c:pt>
                <c:pt idx="324">
                  <c:v>4.7591641390891757E-3</c:v>
                </c:pt>
                <c:pt idx="325">
                  <c:v>4.7535921407700641E-3</c:v>
                </c:pt>
                <c:pt idx="326">
                  <c:v>4.7400835587707831E-3</c:v>
                </c:pt>
                <c:pt idx="327">
                  <c:v>4.7311300379135925E-3</c:v>
                </c:pt>
                <c:pt idx="328">
                  <c:v>4.7229378571037031E-3</c:v>
                </c:pt>
                <c:pt idx="329">
                  <c:v>4.7137240013274163E-3</c:v>
                </c:pt>
                <c:pt idx="330">
                  <c:v>4.6998140996985125E-3</c:v>
                </c:pt>
                <c:pt idx="331">
                  <c:v>4.6886701626134659E-3</c:v>
                </c:pt>
                <c:pt idx="332">
                  <c:v>4.6812255786021573E-3</c:v>
                </c:pt>
                <c:pt idx="333">
                  <c:v>4.6663216797611894E-3</c:v>
                </c:pt>
                <c:pt idx="334">
                  <c:v>4.6521193824535963E-3</c:v>
                </c:pt>
                <c:pt idx="335">
                  <c:v>4.6378259519728173E-3</c:v>
                </c:pt>
                <c:pt idx="336">
                  <c:v>4.6269049071516431E-3</c:v>
                </c:pt>
                <c:pt idx="337">
                  <c:v>4.6069952407620119E-3</c:v>
                </c:pt>
                <c:pt idx="338">
                  <c:v>4.591315807719972E-3</c:v>
                </c:pt>
                <c:pt idx="339">
                  <c:v>4.5767511750305469E-3</c:v>
                </c:pt>
                <c:pt idx="340">
                  <c:v>4.569473993071135E-3</c:v>
                </c:pt>
                <c:pt idx="341">
                  <c:v>4.5643246572683862E-3</c:v>
                </c:pt>
                <c:pt idx="342">
                  <c:v>4.5531337732705917E-3</c:v>
                </c:pt>
                <c:pt idx="343">
                  <c:v>4.5373334685386985E-3</c:v>
                </c:pt>
                <c:pt idx="344">
                  <c:v>4.5126224081232695E-3</c:v>
                </c:pt>
                <c:pt idx="345">
                  <c:v>4.4805752903370501E-3</c:v>
                </c:pt>
                <c:pt idx="346">
                  <c:v>4.4489585448266858E-3</c:v>
                </c:pt>
                <c:pt idx="347">
                  <c:v>4.4293514652869676E-3</c:v>
                </c:pt>
                <c:pt idx="348">
                  <c:v>4.4078092055916448E-3</c:v>
                </c:pt>
                <c:pt idx="349">
                  <c:v>4.3995843665218613E-3</c:v>
                </c:pt>
                <c:pt idx="350">
                  <c:v>4.3637859163962889E-3</c:v>
                </c:pt>
                <c:pt idx="351">
                  <c:v>4.3497285532540795E-3</c:v>
                </c:pt>
                <c:pt idx="352">
                  <c:v>4.3202470726595235E-3</c:v>
                </c:pt>
                <c:pt idx="353">
                  <c:v>4.3007444620863497E-3</c:v>
                </c:pt>
                <c:pt idx="354">
                  <c:v>4.2773767966238496E-3</c:v>
                </c:pt>
                <c:pt idx="355">
                  <c:v>4.2693225276903739E-3</c:v>
                </c:pt>
                <c:pt idx="356">
                  <c:v>4.2068828637205173E-3</c:v>
                </c:pt>
                <c:pt idx="357">
                  <c:v>4.1877867583307599E-3</c:v>
                </c:pt>
                <c:pt idx="358">
                  <c:v>4.1664200738115087E-3</c:v>
                </c:pt>
                <c:pt idx="359">
                  <c:v>4.1159107009225634E-3</c:v>
                </c:pt>
                <c:pt idx="360">
                  <c:v>4.0995962486224157E-3</c:v>
                </c:pt>
                <c:pt idx="361">
                  <c:v>4.0867891989458879E-3</c:v>
                </c:pt>
                <c:pt idx="362">
                  <c:v>4.0123584112856684E-3</c:v>
                </c:pt>
                <c:pt idx="363">
                  <c:v>4.1285224329147777E-3</c:v>
                </c:pt>
                <c:pt idx="364">
                  <c:v>4.0150205782360513E-3</c:v>
                </c:pt>
                <c:pt idx="365">
                  <c:v>4.0113713993536809E-3</c:v>
                </c:pt>
                <c:pt idx="366">
                  <c:v>4.0103265058429724E-3</c:v>
                </c:pt>
                <c:pt idx="367">
                  <c:v>4.0098790816843043E-3</c:v>
                </c:pt>
                <c:pt idx="368">
                  <c:v>4.0093833100882954E-3</c:v>
                </c:pt>
                <c:pt idx="369">
                  <c:v>4.0087956868770014E-3</c:v>
                </c:pt>
                <c:pt idx="370">
                  <c:v>4.0082744877922849E-3</c:v>
                </c:pt>
                <c:pt idx="371">
                  <c:v>4.007721245064837E-3</c:v>
                </c:pt>
                <c:pt idx="372">
                  <c:v>4.0071299180820356E-3</c:v>
                </c:pt>
                <c:pt idx="373">
                  <c:v>4.0065163859060535E-3</c:v>
                </c:pt>
                <c:pt idx="374">
                  <c:v>4.005870603584356E-3</c:v>
                </c:pt>
                <c:pt idx="375">
                  <c:v>4.0051927077649156E-3</c:v>
                </c:pt>
                <c:pt idx="376">
                  <c:v>4.0044622630898488E-3</c:v>
                </c:pt>
                <c:pt idx="377">
                  <c:v>4.0037122180445238E-3</c:v>
                </c:pt>
                <c:pt idx="378">
                  <c:v>4.0029226869807621E-3</c:v>
                </c:pt>
                <c:pt idx="379">
                  <c:v>4.0021175353279464E-3</c:v>
                </c:pt>
                <c:pt idx="380">
                  <c:v>4.0013509331219737E-3</c:v>
                </c:pt>
                <c:pt idx="381">
                  <c:v>4.0003535591079777E-3</c:v>
                </c:pt>
                <c:pt idx="382">
                  <c:v>3.9994668085505799E-3</c:v>
                </c:pt>
                <c:pt idx="383">
                  <c:v>3.9985102636387691E-3</c:v>
                </c:pt>
                <c:pt idx="384">
                  <c:v>3.997502673952478E-3</c:v>
                </c:pt>
                <c:pt idx="385">
                  <c:v>3.9964441076321714E-3</c:v>
                </c:pt>
                <c:pt idx="386">
                  <c:v>3.995201360132962E-3</c:v>
                </c:pt>
                <c:pt idx="387">
                  <c:v>3.9939503909093279E-3</c:v>
                </c:pt>
                <c:pt idx="388">
                  <c:v>3.9929603294252408E-3</c:v>
                </c:pt>
                <c:pt idx="389">
                  <c:v>3.9913855147682828E-3</c:v>
                </c:pt>
                <c:pt idx="390">
                  <c:v>3.9905182240473798E-3</c:v>
                </c:pt>
                <c:pt idx="391">
                  <c:v>3.989397760042296E-3</c:v>
                </c:pt>
                <c:pt idx="392">
                  <c:v>3.9871064223875917E-3</c:v>
                </c:pt>
                <c:pt idx="393">
                  <c:v>3.9862203964103103E-3</c:v>
                </c:pt>
                <c:pt idx="394">
                  <c:v>3.9840386806073652E-3</c:v>
                </c:pt>
                <c:pt idx="395">
                  <c:v>3.9819231739471163E-3</c:v>
                </c:pt>
                <c:pt idx="396">
                  <c:v>3.9816808408911697E-3</c:v>
                </c:pt>
                <c:pt idx="397">
                  <c:v>3.9781468861258213E-3</c:v>
                </c:pt>
                <c:pt idx="398">
                  <c:v>3.9761133171674554E-3</c:v>
                </c:pt>
                <c:pt idx="399">
                  <c:v>3.9742479519744968E-3</c:v>
                </c:pt>
                <c:pt idx="400">
                  <c:v>3.9717526349539066E-3</c:v>
                </c:pt>
                <c:pt idx="401">
                  <c:v>3.9692158365208291E-3</c:v>
                </c:pt>
                <c:pt idx="402">
                  <c:v>3.9679122540325733E-3</c:v>
                </c:pt>
                <c:pt idx="403">
                  <c:v>3.964304984192534E-3</c:v>
                </c:pt>
                <c:pt idx="404">
                  <c:v>3.9617434936150267E-3</c:v>
                </c:pt>
                <c:pt idx="405">
                  <c:v>3.9587650219667699E-3</c:v>
                </c:pt>
                <c:pt idx="406">
                  <c:v>3.9555467870329378E-3</c:v>
                </c:pt>
                <c:pt idx="407">
                  <c:v>3.9530555468342667E-3</c:v>
                </c:pt>
                <c:pt idx="408">
                  <c:v>3.9502235700123343E-3</c:v>
                </c:pt>
                <c:pt idx="409">
                  <c:v>3.9472306792670215E-3</c:v>
                </c:pt>
                <c:pt idx="410">
                  <c:v>3.9428983660863021E-3</c:v>
                </c:pt>
                <c:pt idx="411">
                  <c:v>3.9390504015416996E-3</c:v>
                </c:pt>
                <c:pt idx="412">
                  <c:v>3.9340524396214568E-3</c:v>
                </c:pt>
                <c:pt idx="413">
                  <c:v>3.9314960505366699E-3</c:v>
                </c:pt>
                <c:pt idx="414">
                  <c:v>3.9252890939084255E-3</c:v>
                </c:pt>
                <c:pt idx="415">
                  <c:v>3.9223855131891435E-3</c:v>
                </c:pt>
                <c:pt idx="416">
                  <c:v>3.9166618940039673E-3</c:v>
                </c:pt>
                <c:pt idx="417">
                  <c:v>3.910674035822707E-3</c:v>
                </c:pt>
                <c:pt idx="418">
                  <c:v>3.9151142878358358E-3</c:v>
                </c:pt>
                <c:pt idx="419">
                  <c:v>3.9106849487486068E-3</c:v>
                </c:pt>
                <c:pt idx="420">
                  <c:v>3.9105955954859464E-3</c:v>
                </c:pt>
                <c:pt idx="421">
                  <c:v>3.9104966630533434E-3</c:v>
                </c:pt>
                <c:pt idx="422">
                  <c:v>3.9104028471403079E-3</c:v>
                </c:pt>
                <c:pt idx="423">
                  <c:v>3.910315931455857E-3</c:v>
                </c:pt>
                <c:pt idx="424">
                  <c:v>3.9102269246363269E-3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6A-432D-93A6-32384E6C8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</c:numCache>
            </c:numRef>
          </c:xVal>
          <c:yVal>
            <c:numRef>
              <c:f>Iris!$N$2:$N$501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1.1025000000000002E-4</c:v>
                </c:pt>
                <c:pt idx="4">
                  <c:v>1.1576250000000003E-4</c:v>
                </c:pt>
                <c:pt idx="5">
                  <c:v>1.2155062500000004E-4</c:v>
                </c:pt>
                <c:pt idx="6">
                  <c:v>1.2762815625000004E-4</c:v>
                </c:pt>
                <c:pt idx="7">
                  <c:v>1.3400956406250006E-4</c:v>
                </c:pt>
                <c:pt idx="8">
                  <c:v>1.4071004226562508E-4</c:v>
                </c:pt>
                <c:pt idx="9">
                  <c:v>1.4774554437890634E-4</c:v>
                </c:pt>
                <c:pt idx="10">
                  <c:v>1.5513282159785165E-4</c:v>
                </c:pt>
                <c:pt idx="11">
                  <c:v>1.6288946267774423E-4</c:v>
                </c:pt>
                <c:pt idx="12">
                  <c:v>1.7103393581163143E-4</c:v>
                </c:pt>
                <c:pt idx="13">
                  <c:v>1.79585632602213E-4</c:v>
                </c:pt>
                <c:pt idx="14">
                  <c:v>1.8856491423232367E-4</c:v>
                </c:pt>
                <c:pt idx="15">
                  <c:v>1.9799315994393986E-4</c:v>
                </c:pt>
                <c:pt idx="16">
                  <c:v>2.0789281794113685E-4</c:v>
                </c:pt>
                <c:pt idx="17">
                  <c:v>2.1828745883819371E-4</c:v>
                </c:pt>
                <c:pt idx="18">
                  <c:v>2.292018317801034E-4</c:v>
                </c:pt>
                <c:pt idx="19">
                  <c:v>2.4066192336910858E-4</c:v>
                </c:pt>
                <c:pt idx="20">
                  <c:v>2.52695019537564E-4</c:v>
                </c:pt>
                <c:pt idx="21">
                  <c:v>2.653297705144422E-4</c:v>
                </c:pt>
                <c:pt idx="22">
                  <c:v>2.7859625904016431E-4</c:v>
                </c:pt>
                <c:pt idx="23">
                  <c:v>2.9252607199217252E-4</c:v>
                </c:pt>
                <c:pt idx="24">
                  <c:v>3.0715237559178114E-4</c:v>
                </c:pt>
                <c:pt idx="25">
                  <c:v>3.225099943713702E-4</c:v>
                </c:pt>
                <c:pt idx="26">
                  <c:v>3.3863549408993872E-4</c:v>
                </c:pt>
                <c:pt idx="27">
                  <c:v>3.5556726879443565E-4</c:v>
                </c:pt>
                <c:pt idx="28">
                  <c:v>3.7334563223415747E-4</c:v>
                </c:pt>
                <c:pt idx="29">
                  <c:v>3.9201291384586537E-4</c:v>
                </c:pt>
                <c:pt idx="30">
                  <c:v>4.1161355953815866E-4</c:v>
                </c:pt>
                <c:pt idx="31">
                  <c:v>4.3219423751506659E-4</c:v>
                </c:pt>
                <c:pt idx="32">
                  <c:v>4.3219423751506663E-5</c:v>
                </c:pt>
                <c:pt idx="33">
                  <c:v>4.5380394939081997E-5</c:v>
                </c:pt>
                <c:pt idx="34">
                  <c:v>4.7649414686036097E-5</c:v>
                </c:pt>
                <c:pt idx="35">
                  <c:v>5.0031885420337901E-5</c:v>
                </c:pt>
                <c:pt idx="36">
                  <c:v>5.25334796913548E-5</c:v>
                </c:pt>
                <c:pt idx="37">
                  <c:v>5.516015367592254E-5</c:v>
                </c:pt>
                <c:pt idx="38">
                  <c:v>5.7918161359718667E-5</c:v>
                </c:pt>
                <c:pt idx="39">
                  <c:v>6.0814069427704604E-5</c:v>
                </c:pt>
                <c:pt idx="40">
                  <c:v>6.3854772899089838E-5</c:v>
                </c:pt>
                <c:pt idx="41">
                  <c:v>6.704751154404433E-5</c:v>
                </c:pt>
                <c:pt idx="42">
                  <c:v>7.0399887121246554E-5</c:v>
                </c:pt>
                <c:pt idx="43">
                  <c:v>7.3919881477308878E-5</c:v>
                </c:pt>
                <c:pt idx="44">
                  <c:v>7.7615875551174322E-5</c:v>
                </c:pt>
                <c:pt idx="45">
                  <c:v>8.1496669328733043E-5</c:v>
                </c:pt>
                <c:pt idx="46">
                  <c:v>8.55715027951697E-5</c:v>
                </c:pt>
                <c:pt idx="47">
                  <c:v>8.9850077934928193E-5</c:v>
                </c:pt>
                <c:pt idx="48">
                  <c:v>9.4342581831674609E-5</c:v>
                </c:pt>
                <c:pt idx="49">
                  <c:v>9.9059710923258347E-5</c:v>
                </c:pt>
                <c:pt idx="50">
                  <c:v>1.0401269646942127E-4</c:v>
                </c:pt>
                <c:pt idx="51">
                  <c:v>1.0921333129289234E-4</c:v>
                </c:pt>
                <c:pt idx="52">
                  <c:v>1.1467399785753696E-4</c:v>
                </c:pt>
                <c:pt idx="53">
                  <c:v>1.2040769775041382E-4</c:v>
                </c:pt>
                <c:pt idx="54">
                  <c:v>1.2642808263793452E-4</c:v>
                </c:pt>
                <c:pt idx="55">
                  <c:v>1.3274948676983124E-4</c:v>
                </c:pt>
                <c:pt idx="56">
                  <c:v>1.3938696110832281E-4</c:v>
                </c:pt>
                <c:pt idx="57">
                  <c:v>1.4635630916373895E-4</c:v>
                </c:pt>
                <c:pt idx="58">
                  <c:v>1.5367412462192592E-4</c:v>
                </c:pt>
                <c:pt idx="59">
                  <c:v>1.6135783085302223E-4</c:v>
                </c:pt>
                <c:pt idx="60">
                  <c:v>1.6942572239567335E-4</c:v>
                </c:pt>
                <c:pt idx="61">
                  <c:v>1.7789700851545702E-4</c:v>
                </c:pt>
                <c:pt idx="62">
                  <c:v>1.8679185894122989E-4</c:v>
                </c:pt>
                <c:pt idx="63">
                  <c:v>1.961314518882914E-4</c:v>
                </c:pt>
                <c:pt idx="64">
                  <c:v>2.0593802448270598E-4</c:v>
                </c:pt>
                <c:pt idx="65">
                  <c:v>2.1623492570684128E-4</c:v>
                </c:pt>
                <c:pt idx="66">
                  <c:v>2.2704667199218334E-4</c:v>
                </c:pt>
                <c:pt idx="67">
                  <c:v>2.3839900559179252E-4</c:v>
                </c:pt>
                <c:pt idx="68">
                  <c:v>2.5031895587138218E-4</c:v>
                </c:pt>
                <c:pt idx="69">
                  <c:v>2.6283490366495128E-4</c:v>
                </c:pt>
                <c:pt idx="70">
                  <c:v>2.7597664884819885E-4</c:v>
                </c:pt>
                <c:pt idx="71">
                  <c:v>2.897754812906088E-4</c:v>
                </c:pt>
                <c:pt idx="72">
                  <c:v>3.0426425535513927E-4</c:v>
                </c:pt>
                <c:pt idx="73">
                  <c:v>3.0426425535513927E-5</c:v>
                </c:pt>
                <c:pt idx="74">
                  <c:v>3.1947746812289626E-5</c:v>
                </c:pt>
                <c:pt idx="75">
                  <c:v>3.3545134152904109E-5</c:v>
                </c:pt>
                <c:pt idx="76">
                  <c:v>3.5222390860549319E-5</c:v>
                </c:pt>
                <c:pt idx="77">
                  <c:v>3.6983510403576786E-5</c:v>
                </c:pt>
                <c:pt idx="78">
                  <c:v>3.8832685923755624E-5</c:v>
                </c:pt>
                <c:pt idx="79">
                  <c:v>4.0774320219943409E-5</c:v>
                </c:pt>
                <c:pt idx="80">
                  <c:v>4.2813036230940582E-5</c:v>
                </c:pt>
                <c:pt idx="81">
                  <c:v>4.495368804248761E-5</c:v>
                </c:pt>
                <c:pt idx="82">
                  <c:v>4.7201372444611994E-5</c:v>
                </c:pt>
                <c:pt idx="83">
                  <c:v>4.9561441066842597E-5</c:v>
                </c:pt>
                <c:pt idx="84">
                  <c:v>5.203951312018473E-5</c:v>
                </c:pt>
                <c:pt idx="85">
                  <c:v>5.4641488776193972E-5</c:v>
                </c:pt>
                <c:pt idx="86">
                  <c:v>5.7373563215003675E-5</c:v>
                </c:pt>
                <c:pt idx="87">
                  <c:v>6.0242241375753861E-5</c:v>
                </c:pt>
                <c:pt idx="88">
                  <c:v>6.3254353444541553E-5</c:v>
                </c:pt>
                <c:pt idx="89">
                  <c:v>6.6417071116768627E-5</c:v>
                </c:pt>
                <c:pt idx="90">
                  <c:v>6.9737924672607065E-5</c:v>
                </c:pt>
                <c:pt idx="91">
                  <c:v>7.3224820906237425E-5</c:v>
                </c:pt>
                <c:pt idx="92">
                  <c:v>7.68860619515493E-5</c:v>
                </c:pt>
                <c:pt idx="93">
                  <c:v>8.0730365049126772E-5</c:v>
                </c:pt>
                <c:pt idx="94">
                  <c:v>8.4766883301583116E-5</c:v>
                </c:pt>
                <c:pt idx="95">
                  <c:v>8.9005227466662279E-5</c:v>
                </c:pt>
                <c:pt idx="96">
                  <c:v>9.3455488839995398E-5</c:v>
                </c:pt>
                <c:pt idx="97">
                  <c:v>9.812826328199517E-5</c:v>
                </c:pt>
                <c:pt idx="98">
                  <c:v>1.0303467644609493E-4</c:v>
                </c:pt>
                <c:pt idx="99">
                  <c:v>1.0818641026839968E-4</c:v>
                </c:pt>
                <c:pt idx="100">
                  <c:v>1.1359573078181967E-4</c:v>
                </c:pt>
                <c:pt idx="101">
                  <c:v>1.1927551732091066E-4</c:v>
                </c:pt>
                <c:pt idx="102">
                  <c:v>1.2523929318695621E-4</c:v>
                </c:pt>
                <c:pt idx="103">
                  <c:v>1.3150125784630403E-4</c:v>
                </c:pt>
                <c:pt idx="104">
                  <c:v>1.3807632073861923E-4</c:v>
                </c:pt>
                <c:pt idx="105">
                  <c:v>1.4498013677555021E-4</c:v>
                </c:pt>
                <c:pt idx="106">
                  <c:v>1.5222914361432771E-4</c:v>
                </c:pt>
                <c:pt idx="107">
                  <c:v>1.598406007950441E-4</c:v>
                </c:pt>
                <c:pt idx="108">
                  <c:v>1.6783263083479632E-4</c:v>
                </c:pt>
                <c:pt idx="109">
                  <c:v>1.7622426237653613E-4</c:v>
                </c:pt>
                <c:pt idx="110">
                  <c:v>1.8503547549536295E-4</c:v>
                </c:pt>
                <c:pt idx="111">
                  <c:v>1.9428724927013111E-4</c:v>
                </c:pt>
                <c:pt idx="112">
                  <c:v>2.0400161173363766E-4</c:v>
                </c:pt>
                <c:pt idx="113">
                  <c:v>2.1420169232031955E-4</c:v>
                </c:pt>
                <c:pt idx="114">
                  <c:v>2.2491177693633555E-4</c:v>
                </c:pt>
                <c:pt idx="115">
                  <c:v>2.3615736578315235E-4</c:v>
                </c:pt>
                <c:pt idx="116">
                  <c:v>2.4796523407230998E-4</c:v>
                </c:pt>
                <c:pt idx="117">
                  <c:v>2.6036349577592552E-4</c:v>
                </c:pt>
                <c:pt idx="118">
                  <c:v>2.6036349577592554E-5</c:v>
                </c:pt>
                <c:pt idx="119">
                  <c:v>2.7338167056472183E-5</c:v>
                </c:pt>
                <c:pt idx="120">
                  <c:v>2.8705075409295792E-5</c:v>
                </c:pt>
                <c:pt idx="121">
                  <c:v>3.0140329179760584E-5</c:v>
                </c:pt>
                <c:pt idx="122">
                  <c:v>3.1647345638748617E-5</c:v>
                </c:pt>
                <c:pt idx="123">
                  <c:v>3.3229712920686051E-5</c:v>
                </c:pt>
                <c:pt idx="124">
                  <c:v>3.4891198566720353E-5</c:v>
                </c:pt>
                <c:pt idx="125">
                  <c:v>3.6635758495056372E-5</c:v>
                </c:pt>
                <c:pt idx="126">
                  <c:v>3.846754641980919E-5</c:v>
                </c:pt>
                <c:pt idx="127">
                  <c:v>4.039092374079965E-5</c:v>
                </c:pt>
                <c:pt idx="128">
                  <c:v>4.2410469927839631E-5</c:v>
                </c:pt>
                <c:pt idx="129">
                  <c:v>4.4530993424231612E-5</c:v>
                </c:pt>
                <c:pt idx="130">
                  <c:v>4.6757543095443197E-5</c:v>
                </c:pt>
                <c:pt idx="131">
                  <c:v>4.9095420250215361E-5</c:v>
                </c:pt>
                <c:pt idx="132">
                  <c:v>5.1550191262726129E-5</c:v>
                </c:pt>
                <c:pt idx="133">
                  <c:v>5.4127700825862436E-5</c:v>
                </c:pt>
                <c:pt idx="134">
                  <c:v>5.6834085867155561E-5</c:v>
                </c:pt>
                <c:pt idx="135">
                  <c:v>5.9675790160513341E-5</c:v>
                </c:pt>
                <c:pt idx="136">
                  <c:v>6.265957966853901E-5</c:v>
                </c:pt>
                <c:pt idx="137">
                  <c:v>6.5792558651965965E-5</c:v>
                </c:pt>
                <c:pt idx="138">
                  <c:v>6.908218658456426E-5</c:v>
                </c:pt>
                <c:pt idx="139">
                  <c:v>7.2536295913792478E-5</c:v>
                </c:pt>
                <c:pt idx="140">
                  <c:v>7.6163110709482105E-5</c:v>
                </c:pt>
                <c:pt idx="141">
                  <c:v>7.9971266244956214E-5</c:v>
                </c:pt>
                <c:pt idx="142">
                  <c:v>8.3969829557204025E-5</c:v>
                </c:pt>
                <c:pt idx="143">
                  <c:v>8.8168321035064228E-5</c:v>
                </c:pt>
                <c:pt idx="144">
                  <c:v>9.2576737086817447E-5</c:v>
                </c:pt>
                <c:pt idx="145">
                  <c:v>9.7205573941158327E-5</c:v>
                </c:pt>
                <c:pt idx="146">
                  <c:v>1.0206585263821625E-4</c:v>
                </c:pt>
                <c:pt idx="147">
                  <c:v>1.0716914527012707E-4</c:v>
                </c:pt>
                <c:pt idx="148">
                  <c:v>1.1252760253363342E-4</c:v>
                </c:pt>
                <c:pt idx="149">
                  <c:v>1.181539826603151E-4</c:v>
                </c:pt>
                <c:pt idx="150">
                  <c:v>1.2406168179333088E-4</c:v>
                </c:pt>
                <c:pt idx="151">
                  <c:v>1.3026476588299743E-4</c:v>
                </c:pt>
                <c:pt idx="152">
                  <c:v>1.3677800417714731E-4</c:v>
                </c:pt>
                <c:pt idx="153">
                  <c:v>1.4361690438600467E-4</c:v>
                </c:pt>
                <c:pt idx="154">
                  <c:v>1.5079774960530492E-4</c:v>
                </c:pt>
                <c:pt idx="155">
                  <c:v>1.5833763708557018E-4</c:v>
                </c:pt>
                <c:pt idx="156">
                  <c:v>1.662545189398487E-4</c:v>
                </c:pt>
                <c:pt idx="157">
                  <c:v>1.7456724488684115E-4</c:v>
                </c:pt>
                <c:pt idx="158">
                  <c:v>1.832956071311832E-4</c:v>
                </c:pt>
                <c:pt idx="159">
                  <c:v>1.9246038748774237E-4</c:v>
                </c:pt>
                <c:pt idx="160">
                  <c:v>2.020834068621295E-4</c:v>
                </c:pt>
                <c:pt idx="161">
                  <c:v>2.0208340686212951E-5</c:v>
                </c:pt>
                <c:pt idx="162">
                  <c:v>2.1218757720523599E-5</c:v>
                </c:pt>
                <c:pt idx="163">
                  <c:v>2.2279695606549779E-5</c:v>
                </c:pt>
                <c:pt idx="164">
                  <c:v>2.3393680386877269E-5</c:v>
                </c:pt>
                <c:pt idx="165">
                  <c:v>2.4563364406221132E-5</c:v>
                </c:pt>
                <c:pt idx="166">
                  <c:v>2.5791532626532192E-5</c:v>
                </c:pt>
                <c:pt idx="167">
                  <c:v>2.7081109257858803E-5</c:v>
                </c:pt>
                <c:pt idx="168">
                  <c:v>2.8435164720751746E-5</c:v>
                </c:pt>
                <c:pt idx="169">
                  <c:v>2.9856922956789334E-5</c:v>
                </c:pt>
                <c:pt idx="170">
                  <c:v>3.1349769104628801E-5</c:v>
                </c:pt>
                <c:pt idx="171">
                  <c:v>3.2917257559860243E-5</c:v>
                </c:pt>
                <c:pt idx="172">
                  <c:v>3.4563120437853254E-5</c:v>
                </c:pt>
                <c:pt idx="173">
                  <c:v>3.629127645974592E-5</c:v>
                </c:pt>
                <c:pt idx="174">
                  <c:v>3.8105840282733214E-5</c:v>
                </c:pt>
                <c:pt idx="175">
                  <c:v>4.0011132296869877E-5</c:v>
                </c:pt>
                <c:pt idx="176">
                  <c:v>4.2011688911713376E-5</c:v>
                </c:pt>
                <c:pt idx="177">
                  <c:v>4.4112273357299043E-5</c:v>
                </c:pt>
                <c:pt idx="178">
                  <c:v>4.6317887025163997E-5</c:v>
                </c:pt>
                <c:pt idx="179">
                  <c:v>4.8633781376422197E-5</c:v>
                </c:pt>
                <c:pt idx="180">
                  <c:v>5.1065470445243308E-5</c:v>
                </c:pt>
                <c:pt idx="181">
                  <c:v>5.3618743967505474E-5</c:v>
                </c:pt>
                <c:pt idx="182">
                  <c:v>5.6299681165880751E-5</c:v>
                </c:pt>
                <c:pt idx="183">
                  <c:v>5.9114665224174794E-5</c:v>
                </c:pt>
                <c:pt idx="184">
                  <c:v>6.2070398485383532E-5</c:v>
                </c:pt>
                <c:pt idx="185">
                  <c:v>6.5173918409652711E-5</c:v>
                </c:pt>
                <c:pt idx="186">
                  <c:v>6.8432614330135344E-5</c:v>
                </c:pt>
                <c:pt idx="187">
                  <c:v>7.185424504664211E-5</c:v>
                </c:pt>
                <c:pt idx="188">
                  <c:v>7.5446957298974218E-5</c:v>
                </c:pt>
                <c:pt idx="189">
                  <c:v>7.9219305163922928E-5</c:v>
                </c:pt>
                <c:pt idx="190">
                  <c:v>8.3180270422119078E-5</c:v>
                </c:pt>
                <c:pt idx="191">
                  <c:v>8.7339283943225037E-5</c:v>
                </c:pt>
                <c:pt idx="192">
                  <c:v>9.1706248140386296E-5</c:v>
                </c:pt>
                <c:pt idx="193">
                  <c:v>9.6291560547405615E-5</c:v>
                </c:pt>
                <c:pt idx="194">
                  <c:v>1.011061385747759E-4</c:v>
                </c:pt>
                <c:pt idx="195">
                  <c:v>1.061614455035147E-4</c:v>
                </c:pt>
                <c:pt idx="196">
                  <c:v>1.1146951777869043E-4</c:v>
                </c:pt>
                <c:pt idx="197">
                  <c:v>1.1704299366762496E-4</c:v>
                </c:pt>
                <c:pt idx="198">
                  <c:v>1.228951433510062E-4</c:v>
                </c:pt>
                <c:pt idx="199">
                  <c:v>1.2903990051855652E-4</c:v>
                </c:pt>
                <c:pt idx="200">
                  <c:v>1.3549189554448433E-4</c:v>
                </c:pt>
                <c:pt idx="201">
                  <c:v>1.4226649032170855E-4</c:v>
                </c:pt>
                <c:pt idx="202">
                  <c:v>1.4226649032170856E-5</c:v>
                </c:pt>
                <c:pt idx="203">
                  <c:v>1.49379814837794E-5</c:v>
                </c:pt>
                <c:pt idx="204">
                  <c:v>1.568488055796837E-5</c:v>
                </c:pt>
                <c:pt idx="205">
                  <c:v>1.6469124585866788E-5</c:v>
                </c:pt>
                <c:pt idx="206">
                  <c:v>1.7292580815160127E-5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8-4D08-B429-E7E33464DCA1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Iris!$O$2:$O$501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Iris!$Q$2:$Q$501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4.1161355953815904E-4</c:v>
                </c:pt>
                <c:pt idx="31">
                  <c:v>4.3219423751506702E-4</c:v>
                </c:pt>
                <c:pt idx="32">
                  <c:v>4.5380394939082037E-4</c:v>
                </c:pt>
                <c:pt idx="33">
                  <c:v>4.7649414686036143E-4</c:v>
                </c:pt>
                <c:pt idx="34">
                  <c:v>5.003188542033795E-4</c:v>
                </c:pt>
                <c:pt idx="35">
                  <c:v>5.2533479691354852E-4</c:v>
                </c:pt>
                <c:pt idx="36">
                  <c:v>5.5160153675922602E-4</c:v>
                </c:pt>
                <c:pt idx="37">
                  <c:v>5.7918161359718739E-4</c:v>
                </c:pt>
                <c:pt idx="38">
                  <c:v>6.0814069427704684E-4</c:v>
                </c:pt>
                <c:pt idx="39">
                  <c:v>6.3854772899089916E-4</c:v>
                </c:pt>
                <c:pt idx="40">
                  <c:v>6.7047511544044412E-4</c:v>
                </c:pt>
                <c:pt idx="41">
                  <c:v>7.0399887121246638E-4</c:v>
                </c:pt>
                <c:pt idx="42">
                  <c:v>7.3919881477308976E-4</c:v>
                </c:pt>
                <c:pt idx="43">
                  <c:v>7.761587555117443E-4</c:v>
                </c:pt>
                <c:pt idx="44">
                  <c:v>8.149666932873316E-4</c:v>
                </c:pt>
                <c:pt idx="45">
                  <c:v>8.557150279516982E-4</c:v>
                </c:pt>
                <c:pt idx="46">
                  <c:v>8.9850077934928313E-4</c:v>
                </c:pt>
                <c:pt idx="47">
                  <c:v>9.4342581831674728E-4</c:v>
                </c:pt>
                <c:pt idx="48">
                  <c:v>9.9059710923258474E-4</c:v>
                </c:pt>
                <c:pt idx="49">
                  <c:v>1.040126964694214E-3</c:v>
                </c:pt>
                <c:pt idx="50">
                  <c:v>1.0921333129289246E-3</c:v>
                </c:pt>
                <c:pt idx="51">
                  <c:v>1.1467399785753708E-3</c:v>
                </c:pt>
                <c:pt idx="52">
                  <c:v>1.2040769775041394E-3</c:v>
                </c:pt>
                <c:pt idx="53">
                  <c:v>1.2642808263793465E-3</c:v>
                </c:pt>
                <c:pt idx="54">
                  <c:v>1.3274948676983138E-3</c:v>
                </c:pt>
                <c:pt idx="55">
                  <c:v>1.3274948676983138E-4</c:v>
                </c:pt>
                <c:pt idx="56">
                  <c:v>1.3938696110832294E-4</c:v>
                </c:pt>
                <c:pt idx="57">
                  <c:v>1.4635630916373909E-4</c:v>
                </c:pt>
                <c:pt idx="58">
                  <c:v>1.5367412462192605E-4</c:v>
                </c:pt>
                <c:pt idx="59">
                  <c:v>1.6135783085302236E-4</c:v>
                </c:pt>
                <c:pt idx="60">
                  <c:v>1.6942572239567348E-4</c:v>
                </c:pt>
                <c:pt idx="61">
                  <c:v>1.7789700851545716E-4</c:v>
                </c:pt>
                <c:pt idx="62">
                  <c:v>1.8679185894123003E-4</c:v>
                </c:pt>
                <c:pt idx="63">
                  <c:v>1.9613145188829154E-4</c:v>
                </c:pt>
                <c:pt idx="64">
                  <c:v>2.0593802448270614E-4</c:v>
                </c:pt>
                <c:pt idx="65">
                  <c:v>2.1623492570684147E-4</c:v>
                </c:pt>
                <c:pt idx="66">
                  <c:v>2.2704667199218356E-4</c:v>
                </c:pt>
                <c:pt idx="67">
                  <c:v>2.3839900559179274E-4</c:v>
                </c:pt>
                <c:pt idx="68">
                  <c:v>2.503189558713824E-4</c:v>
                </c:pt>
                <c:pt idx="69">
                  <c:v>2.6283490366495155E-4</c:v>
                </c:pt>
                <c:pt idx="70">
                  <c:v>2.7597664884819917E-4</c:v>
                </c:pt>
                <c:pt idx="71">
                  <c:v>2.8977548129060913E-4</c:v>
                </c:pt>
                <c:pt idx="72">
                  <c:v>3.0426425535513959E-4</c:v>
                </c:pt>
                <c:pt idx="73">
                  <c:v>3.194774681228966E-4</c:v>
                </c:pt>
                <c:pt idx="74">
                  <c:v>3.3545134152904144E-4</c:v>
                </c:pt>
                <c:pt idx="75">
                  <c:v>3.522239086054935E-4</c:v>
                </c:pt>
                <c:pt idx="76">
                  <c:v>3.6983510403576817E-4</c:v>
                </c:pt>
                <c:pt idx="77">
                  <c:v>3.8832685923755658E-4</c:v>
                </c:pt>
                <c:pt idx="78">
                  <c:v>4.077432021994344E-4</c:v>
                </c:pt>
                <c:pt idx="79">
                  <c:v>4.2813036230940615E-4</c:v>
                </c:pt>
                <c:pt idx="80">
                  <c:v>4.4953688042487645E-4</c:v>
                </c:pt>
                <c:pt idx="81">
                  <c:v>4.720137244461203E-4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1.4498013677555026E-3</c:v>
                </c:pt>
                <c:pt idx="105">
                  <c:v>1.5222914361432778E-3</c:v>
                </c:pt>
                <c:pt idx="106">
                  <c:v>1.5984060079504417E-3</c:v>
                </c:pt>
                <c:pt idx="107">
                  <c:v>1.6783263083479639E-3</c:v>
                </c:pt>
                <c:pt idx="108">
                  <c:v>1.7622426237653621E-3</c:v>
                </c:pt>
                <c:pt idx="109">
                  <c:v>1.8503547549536302E-3</c:v>
                </c:pt>
                <c:pt idx="110">
                  <c:v>1.9428724927013118E-3</c:v>
                </c:pt>
                <c:pt idx="111">
                  <c:v>2.0400161173363776E-3</c:v>
                </c:pt>
                <c:pt idx="112">
                  <c:v>2.1420169232031967E-3</c:v>
                </c:pt>
                <c:pt idx="113">
                  <c:v>2.2491177693633566E-3</c:v>
                </c:pt>
                <c:pt idx="114">
                  <c:v>2.2491177693633566E-4</c:v>
                </c:pt>
                <c:pt idx="115">
                  <c:v>2.3615736578315246E-4</c:v>
                </c:pt>
                <c:pt idx="116">
                  <c:v>2.4796523407231009E-4</c:v>
                </c:pt>
                <c:pt idx="117">
                  <c:v>2.6036349577592563E-4</c:v>
                </c:pt>
                <c:pt idx="118">
                  <c:v>2.7338167056472192E-4</c:v>
                </c:pt>
                <c:pt idx="119">
                  <c:v>2.8705075409295801E-4</c:v>
                </c:pt>
                <c:pt idx="120">
                  <c:v>3.0140329179760594E-4</c:v>
                </c:pt>
                <c:pt idx="121">
                  <c:v>3.1647345638748624E-4</c:v>
                </c:pt>
                <c:pt idx="122">
                  <c:v>3.3229712920686055E-4</c:v>
                </c:pt>
                <c:pt idx="123">
                  <c:v>3.489119856672036E-4</c:v>
                </c:pt>
                <c:pt idx="124">
                  <c:v>3.6635758495056378E-4</c:v>
                </c:pt>
                <c:pt idx="125">
                  <c:v>3.8467546419809198E-4</c:v>
                </c:pt>
                <c:pt idx="126">
                  <c:v>4.0390923740799662E-4</c:v>
                </c:pt>
                <c:pt idx="127">
                  <c:v>4.2410469927839649E-4</c:v>
                </c:pt>
                <c:pt idx="128">
                  <c:v>4.4530993424231634E-4</c:v>
                </c:pt>
                <c:pt idx="129">
                  <c:v>4.6757543095443216E-4</c:v>
                </c:pt>
                <c:pt idx="130">
                  <c:v>4.9095420250215376E-4</c:v>
                </c:pt>
                <c:pt idx="131">
                  <c:v>5.1550191262726144E-4</c:v>
                </c:pt>
                <c:pt idx="132">
                  <c:v>5.4127700825862453E-4</c:v>
                </c:pt>
                <c:pt idx="133">
                  <c:v>5.6834085867155581E-4</c:v>
                </c:pt>
                <c:pt idx="134">
                  <c:v>5.967579016051336E-4</c:v>
                </c:pt>
                <c:pt idx="135">
                  <c:v>6.2659579668539027E-4</c:v>
                </c:pt>
                <c:pt idx="136">
                  <c:v>6.5792558651965984E-4</c:v>
                </c:pt>
                <c:pt idx="137">
                  <c:v>6.908218658456429E-4</c:v>
                </c:pt>
                <c:pt idx="138">
                  <c:v>7.2536295913792502E-4</c:v>
                </c:pt>
                <c:pt idx="139">
                  <c:v>7.6163110709482132E-4</c:v>
                </c:pt>
                <c:pt idx="140">
                  <c:v>7.9971266244956239E-4</c:v>
                </c:pt>
                <c:pt idx="141">
                  <c:v>8.3969829557204053E-4</c:v>
                </c:pt>
                <c:pt idx="142">
                  <c:v>8.8168321035064258E-4</c:v>
                </c:pt>
                <c:pt idx="143">
                  <c:v>9.257673708681748E-4</c:v>
                </c:pt>
                <c:pt idx="144">
                  <c:v>9.720557394115836E-4</c:v>
                </c:pt>
                <c:pt idx="145">
                  <c:v>1.0206585263821629E-3</c:v>
                </c:pt>
                <c:pt idx="146">
                  <c:v>1.0716914527012711E-3</c:v>
                </c:pt>
                <c:pt idx="147">
                  <c:v>1.1252760253363347E-3</c:v>
                </c:pt>
                <c:pt idx="148">
                  <c:v>1.1815398266031515E-3</c:v>
                </c:pt>
                <c:pt idx="149">
                  <c:v>1.2406168179333091E-3</c:v>
                </c:pt>
                <c:pt idx="150">
                  <c:v>1.3026476588299746E-3</c:v>
                </c:pt>
                <c:pt idx="151">
                  <c:v>1.3677800417714733E-3</c:v>
                </c:pt>
                <c:pt idx="152">
                  <c:v>1.436169043860047E-3</c:v>
                </c:pt>
                <c:pt idx="153">
                  <c:v>1.5079774960530495E-3</c:v>
                </c:pt>
                <c:pt idx="154">
                  <c:v>1.5833763708557021E-3</c:v>
                </c:pt>
                <c:pt idx="155">
                  <c:v>1.6625451893984872E-3</c:v>
                </c:pt>
                <c:pt idx="156">
                  <c:v>1.7456724488684116E-3</c:v>
                </c:pt>
                <c:pt idx="157">
                  <c:v>1.7456724488684118E-4</c:v>
                </c:pt>
                <c:pt idx="158">
                  <c:v>1.8329560713118323E-4</c:v>
                </c:pt>
                <c:pt idx="159">
                  <c:v>1.924603874877424E-4</c:v>
                </c:pt>
                <c:pt idx="160">
                  <c:v>2.0208340686212953E-4</c:v>
                </c:pt>
                <c:pt idx="161">
                  <c:v>2.1218757720523602E-4</c:v>
                </c:pt>
                <c:pt idx="162">
                  <c:v>2.2279695606549783E-4</c:v>
                </c:pt>
                <c:pt idx="163">
                  <c:v>2.3393680386877273E-4</c:v>
                </c:pt>
                <c:pt idx="164">
                  <c:v>2.4563364406221137E-4</c:v>
                </c:pt>
                <c:pt idx="165">
                  <c:v>2.5791532626532194E-4</c:v>
                </c:pt>
                <c:pt idx="166">
                  <c:v>2.7081109257858806E-4</c:v>
                </c:pt>
                <c:pt idx="167">
                  <c:v>2.8435164720751747E-4</c:v>
                </c:pt>
                <c:pt idx="168">
                  <c:v>2.9856922956789333E-4</c:v>
                </c:pt>
                <c:pt idx="169">
                  <c:v>3.1349769104628799E-4</c:v>
                </c:pt>
                <c:pt idx="170">
                  <c:v>3.2917257559860239E-4</c:v>
                </c:pt>
                <c:pt idx="171">
                  <c:v>3.4563120437853254E-4</c:v>
                </c:pt>
                <c:pt idx="172">
                  <c:v>3.629127645974592E-4</c:v>
                </c:pt>
                <c:pt idx="173">
                  <c:v>3.8105840282733218E-4</c:v>
                </c:pt>
                <c:pt idx="174">
                  <c:v>4.001113229686988E-4</c:v>
                </c:pt>
                <c:pt idx="175">
                  <c:v>4.2011688911713376E-4</c:v>
                </c:pt>
                <c:pt idx="176">
                  <c:v>4.4112273357299045E-4</c:v>
                </c:pt>
                <c:pt idx="177">
                  <c:v>4.6317887025163997E-4</c:v>
                </c:pt>
                <c:pt idx="178">
                  <c:v>4.8633781376422201E-4</c:v>
                </c:pt>
                <c:pt idx="179">
                  <c:v>5.1065470445243316E-4</c:v>
                </c:pt>
                <c:pt idx="180">
                  <c:v>5.3618743967505486E-4</c:v>
                </c:pt>
                <c:pt idx="181">
                  <c:v>5.6299681165880762E-4</c:v>
                </c:pt>
                <c:pt idx="182">
                  <c:v>5.9114665224174799E-4</c:v>
                </c:pt>
                <c:pt idx="183">
                  <c:v>6.2070398485383543E-4</c:v>
                </c:pt>
                <c:pt idx="184">
                  <c:v>6.5173918409652722E-4</c:v>
                </c:pt>
                <c:pt idx="185">
                  <c:v>6.8432614330135361E-4</c:v>
                </c:pt>
                <c:pt idx="186">
                  <c:v>7.1854245046642129E-4</c:v>
                </c:pt>
                <c:pt idx="187">
                  <c:v>7.5446957298974237E-4</c:v>
                </c:pt>
                <c:pt idx="188">
                  <c:v>7.9219305163922952E-4</c:v>
                </c:pt>
                <c:pt idx="189">
                  <c:v>8.3180270422119099E-4</c:v>
                </c:pt>
                <c:pt idx="190">
                  <c:v>8.7339283943225056E-4</c:v>
                </c:pt>
                <c:pt idx="191">
                  <c:v>9.1706248140386313E-4</c:v>
                </c:pt>
                <c:pt idx="192">
                  <c:v>9.6291560547405637E-4</c:v>
                </c:pt>
                <c:pt idx="193">
                  <c:v>1.0110613857477592E-3</c:v>
                </c:pt>
                <c:pt idx="194">
                  <c:v>1.0616144550351472E-3</c:v>
                </c:pt>
                <c:pt idx="195">
                  <c:v>1.1146951777869045E-3</c:v>
                </c:pt>
                <c:pt idx="196">
                  <c:v>1.1704299366762498E-3</c:v>
                </c:pt>
                <c:pt idx="197">
                  <c:v>1.2289514335100623E-3</c:v>
                </c:pt>
                <c:pt idx="198">
                  <c:v>1.2903990051855655E-3</c:v>
                </c:pt>
                <c:pt idx="199">
                  <c:v>1.3549189554448438E-3</c:v>
                </c:pt>
                <c:pt idx="200">
                  <c:v>1.4226649032170861E-3</c:v>
                </c:pt>
                <c:pt idx="201">
                  <c:v>1.4937981483779405E-3</c:v>
                </c:pt>
                <c:pt idx="202">
                  <c:v>1.5684880557968377E-3</c:v>
                </c:pt>
                <c:pt idx="203">
                  <c:v>1.6469124585866796E-3</c:v>
                </c:pt>
                <c:pt idx="204">
                  <c:v>1.6469124585866796E-4</c:v>
                </c:pt>
                <c:pt idx="205">
                  <c:v>1.7292580815160137E-4</c:v>
                </c:pt>
                <c:pt idx="206">
                  <c:v>1.8157209855918145E-4</c:v>
                </c:pt>
                <c:pt idx="207">
                  <c:v>1.9065070348714053E-4</c:v>
                </c:pt>
                <c:pt idx="208">
                  <c:v>2.0018323866149756E-4</c:v>
                </c:pt>
                <c:pt idx="209">
                  <c:v>2.1019240059457246E-4</c:v>
                </c:pt>
                <c:pt idx="210">
                  <c:v>2.207020206243011E-4</c:v>
                </c:pt>
                <c:pt idx="211">
                  <c:v>2.3173712165551615E-4</c:v>
                </c:pt>
                <c:pt idx="212">
                  <c:v>2.4332397773829198E-4</c:v>
                </c:pt>
                <c:pt idx="213">
                  <c:v>2.5549017662520658E-4</c:v>
                </c:pt>
                <c:pt idx="214">
                  <c:v>2.6826468545646691E-4</c:v>
                </c:pt>
                <c:pt idx="215">
                  <c:v>2.8167791972929027E-4</c:v>
                </c:pt>
                <c:pt idx="216">
                  <c:v>2.9576181571575478E-4</c:v>
                </c:pt>
                <c:pt idx="217">
                  <c:v>3.1054990650154253E-4</c:v>
                </c:pt>
                <c:pt idx="218">
                  <c:v>3.260774018266197E-4</c:v>
                </c:pt>
                <c:pt idx="219">
                  <c:v>3.4238127191795072E-4</c:v>
                </c:pt>
                <c:pt idx="220">
                  <c:v>3.5950033551384827E-4</c:v>
                </c:pt>
                <c:pt idx="221">
                  <c:v>3.7747535228954069E-4</c:v>
                </c:pt>
                <c:pt idx="222">
                  <c:v>3.9634911990401775E-4</c:v>
                </c:pt>
                <c:pt idx="223">
                  <c:v>4.1616657589921865E-4</c:v>
                </c:pt>
                <c:pt idx="224">
                  <c:v>4.3697490469417962E-4</c:v>
                </c:pt>
                <c:pt idx="225">
                  <c:v>4.5882364992888862E-4</c:v>
                </c:pt>
                <c:pt idx="226">
                  <c:v>4.8176483242533307E-4</c:v>
                </c:pt>
                <c:pt idx="227">
                  <c:v>5.058530740465997E-4</c:v>
                </c:pt>
                <c:pt idx="228">
                  <c:v>5.3114572774892971E-4</c:v>
                </c:pt>
                <c:pt idx="229">
                  <c:v>5.577030141363762E-4</c:v>
                </c:pt>
                <c:pt idx="230">
                  <c:v>5.8558816484319503E-4</c:v>
                </c:pt>
                <c:pt idx="231">
                  <c:v>6.1486757308535484E-4</c:v>
                </c:pt>
                <c:pt idx="232">
                  <c:v>6.4561095173962257E-4</c:v>
                </c:pt>
                <c:pt idx="233">
                  <c:v>6.7789149932660374E-4</c:v>
                </c:pt>
                <c:pt idx="234">
                  <c:v>7.1178607429293395E-4</c:v>
                </c:pt>
                <c:pt idx="235">
                  <c:v>7.4737537800758063E-4</c:v>
                </c:pt>
                <c:pt idx="236">
                  <c:v>7.8474414690795974E-4</c:v>
                </c:pt>
                <c:pt idx="237">
                  <c:v>8.2398135425335777E-4</c:v>
                </c:pt>
                <c:pt idx="238">
                  <c:v>8.6518042196602571E-4</c:v>
                </c:pt>
                <c:pt idx="239">
                  <c:v>9.0843944306432702E-4</c:v>
                </c:pt>
                <c:pt idx="240">
                  <c:v>9.5386141521754337E-4</c:v>
                </c:pt>
                <c:pt idx="241">
                  <c:v>1.0015544859784205E-3</c:v>
                </c:pt>
                <c:pt idx="242">
                  <c:v>1.0516322102773416E-3</c:v>
                </c:pt>
                <c:pt idx="243">
                  <c:v>1.1042138207912088E-3</c:v>
                </c:pt>
                <c:pt idx="244">
                  <c:v>1.1594245118307692E-3</c:v>
                </c:pt>
                <c:pt idx="245">
                  <c:v>1.2173957374223077E-3</c:v>
                </c:pt>
                <c:pt idx="246">
                  <c:v>1.2782655242934231E-3</c:v>
                </c:pt>
                <c:pt idx="247">
                  <c:v>1.3421788005080944E-3</c:v>
                </c:pt>
                <c:pt idx="248">
                  <c:v>1.3421788005080944E-4</c:v>
                </c:pt>
                <c:pt idx="249">
                  <c:v>1.4092877405334992E-4</c:v>
                </c:pt>
                <c:pt idx="250">
                  <c:v>1.4797521275601743E-4</c:v>
                </c:pt>
                <c:pt idx="251">
                  <c:v>1.5537397339381831E-4</c:v>
                </c:pt>
                <c:pt idx="252">
                  <c:v>1.6314267206350925E-4</c:v>
                </c:pt>
                <c:pt idx="253">
                  <c:v>1.7129980566668471E-4</c:v>
                </c:pt>
                <c:pt idx="254">
                  <c:v>1.7986479595001896E-4</c:v>
                </c:pt>
                <c:pt idx="255">
                  <c:v>1.8885803574751991E-4</c:v>
                </c:pt>
                <c:pt idx="256">
                  <c:v>1.983009375348959E-4</c:v>
                </c:pt>
                <c:pt idx="257">
                  <c:v>2.082159844116407E-4</c:v>
                </c:pt>
                <c:pt idx="258">
                  <c:v>2.1862678363222275E-4</c:v>
                </c:pt>
                <c:pt idx="259">
                  <c:v>2.295581228138339E-4</c:v>
                </c:pt>
                <c:pt idx="260">
                  <c:v>2.410360289545256E-4</c:v>
                </c:pt>
                <c:pt idx="261">
                  <c:v>2.5308783040225188E-4</c:v>
                </c:pt>
                <c:pt idx="262">
                  <c:v>2.6574222192236451E-4</c:v>
                </c:pt>
                <c:pt idx="263">
                  <c:v>2.7902933301848277E-4</c:v>
                </c:pt>
                <c:pt idx="264">
                  <c:v>2.9298079966940695E-4</c:v>
                </c:pt>
                <c:pt idx="265">
                  <c:v>3.076298396528773E-4</c:v>
                </c:pt>
                <c:pt idx="266">
                  <c:v>3.2301133163552118E-4</c:v>
                </c:pt>
                <c:pt idx="267">
                  <c:v>3.3916189821729724E-4</c:v>
                </c:pt>
                <c:pt idx="268">
                  <c:v>3.5611999312816213E-4</c:v>
                </c:pt>
                <c:pt idx="269">
                  <c:v>3.7392599278457026E-4</c:v>
                </c:pt>
                <c:pt idx="270">
                  <c:v>3.9262229242379879E-4</c:v>
                </c:pt>
                <c:pt idx="271">
                  <c:v>4.1225340704498876E-4</c:v>
                </c:pt>
                <c:pt idx="272">
                  <c:v>4.3286607739723821E-4</c:v>
                </c:pt>
                <c:pt idx="273">
                  <c:v>4.5450938126710016E-4</c:v>
                </c:pt>
                <c:pt idx="274">
                  <c:v>4.7723485033045518E-4</c:v>
                </c:pt>
                <c:pt idx="275">
                  <c:v>5.0109659284697792E-4</c:v>
                </c:pt>
                <c:pt idx="276">
                  <c:v>5.2615142248932682E-4</c:v>
                </c:pt>
                <c:pt idx="277">
                  <c:v>5.5245899361379316E-4</c:v>
                </c:pt>
                <c:pt idx="278">
                  <c:v>5.8008194329448287E-4</c:v>
                </c:pt>
                <c:pt idx="279">
                  <c:v>6.0908604045920706E-4</c:v>
                </c:pt>
                <c:pt idx="280">
                  <c:v>6.3954034248216748E-4</c:v>
                </c:pt>
                <c:pt idx="281">
                  <c:v>6.7151735960627591E-4</c:v>
                </c:pt>
                <c:pt idx="282">
                  <c:v>7.0509322758658972E-4</c:v>
                </c:pt>
                <c:pt idx="283">
                  <c:v>7.4034788896591925E-4</c:v>
                </c:pt>
                <c:pt idx="284">
                  <c:v>7.773652834142153E-4</c:v>
                </c:pt>
                <c:pt idx="285">
                  <c:v>8.1623354758492605E-4</c:v>
                </c:pt>
                <c:pt idx="286">
                  <c:v>8.5704522496417236E-4</c:v>
                </c:pt>
                <c:pt idx="287">
                  <c:v>8.9989748621238099E-4</c:v>
                </c:pt>
                <c:pt idx="288">
                  <c:v>9.4489236052300004E-4</c:v>
                </c:pt>
                <c:pt idx="289">
                  <c:v>9.9213697854915015E-4</c:v>
                </c:pt>
                <c:pt idx="290">
                  <c:v>1.0417438274766078E-3</c:v>
                </c:pt>
                <c:pt idx="291">
                  <c:v>1.0938310188504381E-3</c:v>
                </c:pt>
                <c:pt idx="292">
                  <c:v>1.1485225697929601E-3</c:v>
                </c:pt>
                <c:pt idx="293">
                  <c:v>1.2059486982826083E-3</c:v>
                </c:pt>
                <c:pt idx="294">
                  <c:v>1.2662461331967387E-3</c:v>
                </c:pt>
                <c:pt idx="295">
                  <c:v>1.3295584398565756E-3</c:v>
                </c:pt>
                <c:pt idx="296">
                  <c:v>1.3295584398565757E-4</c:v>
                </c:pt>
                <c:pt idx="297">
                  <c:v>1.3960363618494045E-4</c:v>
                </c:pt>
                <c:pt idx="298">
                  <c:v>1.4658381799418748E-4</c:v>
                </c:pt>
                <c:pt idx="299">
                  <c:v>1.5391300889389686E-4</c:v>
                </c:pt>
                <c:pt idx="300">
                  <c:v>1.6160865933859171E-4</c:v>
                </c:pt>
                <c:pt idx="301">
                  <c:v>1.6968909230552132E-4</c:v>
                </c:pt>
                <c:pt idx="302">
                  <c:v>1.7817354692079739E-4</c:v>
                </c:pt>
                <c:pt idx="303">
                  <c:v>1.8708222426683726E-4</c:v>
                </c:pt>
                <c:pt idx="304">
                  <c:v>1.9643633548017912E-4</c:v>
                </c:pt>
                <c:pt idx="305">
                  <c:v>2.0625815225418809E-4</c:v>
                </c:pt>
                <c:pt idx="306">
                  <c:v>2.165710598668975E-4</c:v>
                </c:pt>
                <c:pt idx="307">
                  <c:v>2.2739961286024238E-4</c:v>
                </c:pt>
                <c:pt idx="308">
                  <c:v>2.3876959350325452E-4</c:v>
                </c:pt>
                <c:pt idx="309">
                  <c:v>2.5070807317841725E-4</c:v>
                </c:pt>
                <c:pt idx="310">
                  <c:v>2.6324347683733814E-4</c:v>
                </c:pt>
                <c:pt idx="311">
                  <c:v>2.7640565067920504E-4</c:v>
                </c:pt>
                <c:pt idx="312">
                  <c:v>2.9022593321316529E-4</c:v>
                </c:pt>
                <c:pt idx="313">
                  <c:v>3.0473722987382356E-4</c:v>
                </c:pt>
                <c:pt idx="314">
                  <c:v>3.1997409136751473E-4</c:v>
                </c:pt>
                <c:pt idx="315">
                  <c:v>3.3597279593589047E-4</c:v>
                </c:pt>
                <c:pt idx="316">
                  <c:v>3.52771435732685E-4</c:v>
                </c:pt>
                <c:pt idx="317">
                  <c:v>3.7041000751931926E-4</c:v>
                </c:pt>
                <c:pt idx="318">
                  <c:v>3.8893050789528524E-4</c:v>
                </c:pt>
                <c:pt idx="319">
                  <c:v>4.0837703329004951E-4</c:v>
                </c:pt>
                <c:pt idx="320">
                  <c:v>4.2879588495455201E-4</c:v>
                </c:pt>
                <c:pt idx="321">
                  <c:v>4.5023567920227965E-4</c:v>
                </c:pt>
                <c:pt idx="322">
                  <c:v>4.7274746316239367E-4</c:v>
                </c:pt>
                <c:pt idx="323">
                  <c:v>4.9638483632051338E-4</c:v>
                </c:pt>
                <c:pt idx="324">
                  <c:v>5.2120407813653906E-4</c:v>
                </c:pt>
                <c:pt idx="325">
                  <c:v>5.4726428204336609E-4</c:v>
                </c:pt>
                <c:pt idx="326">
                  <c:v>5.7462749614553446E-4</c:v>
                </c:pt>
                <c:pt idx="327">
                  <c:v>6.0335887095281119E-4</c:v>
                </c:pt>
                <c:pt idx="328">
                  <c:v>6.3352681450045182E-4</c:v>
                </c:pt>
                <c:pt idx="329">
                  <c:v>6.6520315522547446E-4</c:v>
                </c:pt>
                <c:pt idx="330">
                  <c:v>6.9846331298674825E-4</c:v>
                </c:pt>
                <c:pt idx="331">
                  <c:v>7.3338647863608567E-4</c:v>
                </c:pt>
                <c:pt idx="332">
                  <c:v>7.7005580256789003E-4</c:v>
                </c:pt>
                <c:pt idx="333">
                  <c:v>8.0855859269628454E-4</c:v>
                </c:pt>
                <c:pt idx="334">
                  <c:v>8.4898652233109876E-4</c:v>
                </c:pt>
                <c:pt idx="335">
                  <c:v>8.9143584844765371E-4</c:v>
                </c:pt>
                <c:pt idx="336">
                  <c:v>9.3600764087003639E-4</c:v>
                </c:pt>
                <c:pt idx="337">
                  <c:v>9.828080229135382E-4</c:v>
                </c:pt>
                <c:pt idx="338">
                  <c:v>1.0319484240592152E-3</c:v>
                </c:pt>
                <c:pt idx="339">
                  <c:v>1.083545845262176E-3</c:v>
                </c:pt>
                <c:pt idx="340">
                  <c:v>1.1377231375252848E-3</c:v>
                </c:pt>
                <c:pt idx="341">
                  <c:v>1.1946092944015491E-3</c:v>
                </c:pt>
                <c:pt idx="342">
                  <c:v>1.2543397591216266E-3</c:v>
                </c:pt>
                <c:pt idx="343">
                  <c:v>1.3170567470777079E-3</c:v>
                </c:pt>
                <c:pt idx="344">
                  <c:v>1.3829095844315933E-3</c:v>
                </c:pt>
                <c:pt idx="345">
                  <c:v>1.4520550636531731E-3</c:v>
                </c:pt>
                <c:pt idx="346">
                  <c:v>1.5246578168358318E-3</c:v>
                </c:pt>
                <c:pt idx="347">
                  <c:v>1.6008907076776235E-3</c:v>
                </c:pt>
                <c:pt idx="348">
                  <c:v>1.6809352430615047E-3</c:v>
                </c:pt>
                <c:pt idx="349">
                  <c:v>1.7649820052145801E-3</c:v>
                </c:pt>
                <c:pt idx="350">
                  <c:v>1.7649820052145803E-4</c:v>
                </c:pt>
                <c:pt idx="351">
                  <c:v>1.8532311054753094E-4</c:v>
                </c:pt>
                <c:pt idx="352">
                  <c:v>1.945892660749075E-4</c:v>
                </c:pt>
                <c:pt idx="353">
                  <c:v>2.0431872937865287E-4</c:v>
                </c:pt>
                <c:pt idx="354">
                  <c:v>2.1453466584758551E-4</c:v>
                </c:pt>
                <c:pt idx="355">
                  <c:v>2.252613991399648E-4</c:v>
                </c:pt>
                <c:pt idx="356">
                  <c:v>2.3652446909696304E-4</c:v>
                </c:pt>
                <c:pt idx="357">
                  <c:v>2.4835069255181119E-4</c:v>
                </c:pt>
                <c:pt idx="358">
                  <c:v>2.6076822717940179E-4</c:v>
                </c:pt>
                <c:pt idx="359">
                  <c:v>2.7380663853837189E-4</c:v>
                </c:pt>
                <c:pt idx="360">
                  <c:v>2.8749697046529047E-4</c:v>
                </c:pt>
                <c:pt idx="361">
                  <c:v>3.0187181898855503E-4</c:v>
                </c:pt>
                <c:pt idx="362">
                  <c:v>3.1696540993798281E-4</c:v>
                </c:pt>
                <c:pt idx="363">
                  <c:v>3.3281368043488194E-4</c:v>
                </c:pt>
                <c:pt idx="364">
                  <c:v>3.4945436445662603E-4</c:v>
                </c:pt>
                <c:pt idx="365">
                  <c:v>3.6692708267945732E-4</c:v>
                </c:pt>
                <c:pt idx="366">
                  <c:v>3.852734368134302E-4</c:v>
                </c:pt>
                <c:pt idx="367">
                  <c:v>4.0453710865410173E-4</c:v>
                </c:pt>
                <c:pt idx="368">
                  <c:v>4.2476396408680685E-4</c:v>
                </c:pt>
                <c:pt idx="369">
                  <c:v>4.4600216229114719E-4</c:v>
                </c:pt>
                <c:pt idx="370">
                  <c:v>4.6830227040570459E-4</c:v>
                </c:pt>
                <c:pt idx="371">
                  <c:v>4.9171738392598987E-4</c:v>
                </c:pt>
                <c:pt idx="372">
                  <c:v>5.1630325312228937E-4</c:v>
                </c:pt>
                <c:pt idx="373">
                  <c:v>5.4211841577840386E-4</c:v>
                </c:pt>
                <c:pt idx="374">
                  <c:v>5.6922433656732404E-4</c:v>
                </c:pt>
                <c:pt idx="375">
                  <c:v>5.9768555339569031E-4</c:v>
                </c:pt>
                <c:pt idx="376">
                  <c:v>6.2756983106547481E-4</c:v>
                </c:pt>
                <c:pt idx="377">
                  <c:v>6.5894832261874858E-4</c:v>
                </c:pt>
                <c:pt idx="378">
                  <c:v>6.9189573874968609E-4</c:v>
                </c:pt>
                <c:pt idx="379">
                  <c:v>7.2649052568717043E-4</c:v>
                </c:pt>
                <c:pt idx="380">
                  <c:v>7.6281505197152899E-4</c:v>
                </c:pt>
                <c:pt idx="381">
                  <c:v>8.0095580457010542E-4</c:v>
                </c:pt>
                <c:pt idx="382">
                  <c:v>8.4100359479861075E-4</c:v>
                </c:pt>
                <c:pt idx="383">
                  <c:v>8.8305377453854134E-4</c:v>
                </c:pt>
                <c:pt idx="384">
                  <c:v>9.2720646326546849E-4</c:v>
                </c:pt>
                <c:pt idx="385">
                  <c:v>9.7356678642874193E-4</c:v>
                </c:pt>
                <c:pt idx="386">
                  <c:v>1.0222451257501791E-3</c:v>
                </c:pt>
                <c:pt idx="387">
                  <c:v>1.0733573820376882E-3</c:v>
                </c:pt>
                <c:pt idx="388">
                  <c:v>1.1270252511395727E-3</c:v>
                </c:pt>
                <c:pt idx="389">
                  <c:v>1.1833765136965513E-3</c:v>
                </c:pt>
                <c:pt idx="390">
                  <c:v>1.242545339381379E-3</c:v>
                </c:pt>
                <c:pt idx="391">
                  <c:v>1.3046726063504479E-3</c:v>
                </c:pt>
                <c:pt idx="392">
                  <c:v>1.3699062366679703E-3</c:v>
                </c:pt>
                <c:pt idx="393">
                  <c:v>1.4384015485013688E-3</c:v>
                </c:pt>
                <c:pt idx="394">
                  <c:v>1.5103216259264374E-3</c:v>
                </c:pt>
                <c:pt idx="395">
                  <c:v>1.5858377072227594E-3</c:v>
                </c:pt>
                <c:pt idx="396">
                  <c:v>1.6651295925838975E-3</c:v>
                </c:pt>
                <c:pt idx="397">
                  <c:v>1.7483860722130925E-3</c:v>
                </c:pt>
                <c:pt idx="398">
                  <c:v>1.8358053758237472E-3</c:v>
                </c:pt>
                <c:pt idx="399">
                  <c:v>1.9275956446149346E-3</c:v>
                </c:pt>
                <c:pt idx="400">
                  <c:v>2.0239754268456815E-3</c:v>
                </c:pt>
                <c:pt idx="401">
                  <c:v>2.1251741981879657E-3</c:v>
                </c:pt>
                <c:pt idx="402">
                  <c:v>2.231432908097364E-3</c:v>
                </c:pt>
                <c:pt idx="403">
                  <c:v>2.3430045535022324E-3</c:v>
                </c:pt>
                <c:pt idx="404">
                  <c:v>2.4601547811773442E-3</c:v>
                </c:pt>
                <c:pt idx="405">
                  <c:v>2.5831625202362113E-3</c:v>
                </c:pt>
                <c:pt idx="406">
                  <c:v>2.5831625202362113E-4</c:v>
                </c:pt>
                <c:pt idx="407">
                  <c:v>2.7123206462480219E-4</c:v>
                </c:pt>
                <c:pt idx="408">
                  <c:v>2.8479366785604232E-4</c:v>
                </c:pt>
                <c:pt idx="409">
                  <c:v>2.9903335124884444E-4</c:v>
                </c:pt>
                <c:pt idx="410">
                  <c:v>3.139850188112867E-4</c:v>
                </c:pt>
                <c:pt idx="411">
                  <c:v>3.2968426975185107E-4</c:v>
                </c:pt>
                <c:pt idx="412">
                  <c:v>3.4616848323944363E-4</c:v>
                </c:pt>
                <c:pt idx="413">
                  <c:v>3.6347690740141583E-4</c:v>
                </c:pt>
                <c:pt idx="414">
                  <c:v>3.8165075277148662E-4</c:v>
                </c:pt>
                <c:pt idx="415">
                  <c:v>4.0073329041006098E-4</c:v>
                </c:pt>
                <c:pt idx="416">
                  <c:v>4.2076995493056402E-4</c:v>
                </c:pt>
                <c:pt idx="417">
                  <c:v>4.4180845267709223E-4</c:v>
                </c:pt>
                <c:pt idx="418">
                  <c:v>4.6389887531094685E-4</c:v>
                </c:pt>
                <c:pt idx="419">
                  <c:v>4.870938190764942E-4</c:v>
                </c:pt>
                <c:pt idx="420">
                  <c:v>5.1144851003031894E-4</c:v>
                </c:pt>
                <c:pt idx="421">
                  <c:v>5.3702093553183487E-4</c:v>
                </c:pt>
                <c:pt idx="422">
                  <c:v>5.6387198230842663E-4</c:v>
                </c:pt>
                <c:pt idx="423">
                  <c:v>5.92065581423848E-4</c:v>
                </c:pt>
                <c:pt idx="424">
                  <c:v>6.2166886049504037E-4</c:v>
                </c:pt>
                <c:pt idx="425">
                  <c:v>6.5275230351979246E-4</c:v>
                </c:pt>
                <c:pt idx="426">
                  <c:v>6.8538991869578211E-4</c:v>
                </c:pt>
                <c:pt idx="427">
                  <c:v>7.1965941463057129E-4</c:v>
                </c:pt>
                <c:pt idx="428">
                  <c:v>7.5564238536209992E-4</c:v>
                </c:pt>
                <c:pt idx="429">
                  <c:v>7.9342450463020496E-4</c:v>
                </c:pt>
                <c:pt idx="430">
                  <c:v>8.3309572986171529E-4</c:v>
                </c:pt>
                <c:pt idx="431">
                  <c:v>8.7475051635480113E-4</c:v>
                </c:pt>
                <c:pt idx="432">
                  <c:v>9.1848804217254125E-4</c:v>
                </c:pt>
                <c:pt idx="433">
                  <c:v>9.6441244428116838E-4</c:v>
                </c:pt>
                <c:pt idx="434">
                  <c:v>1.0126330664952268E-3</c:v>
                </c:pt>
                <c:pt idx="435">
                  <c:v>1.0632647198199883E-3</c:v>
                </c:pt>
                <c:pt idx="436">
                  <c:v>1.1164279558109878E-3</c:v>
                </c:pt>
                <c:pt idx="437">
                  <c:v>1.1722493536015371E-3</c:v>
                </c:pt>
                <c:pt idx="438">
                  <c:v>1.2308618212816141E-3</c:v>
                </c:pt>
                <c:pt idx="439">
                  <c:v>1.2924049123456949E-3</c:v>
                </c:pt>
                <c:pt idx="440">
                  <c:v>1.3570251579629797E-3</c:v>
                </c:pt>
                <c:pt idx="441">
                  <c:v>1.4248764158611288E-3</c:v>
                </c:pt>
                <c:pt idx="442">
                  <c:v>1.4961202366541853E-3</c:v>
                </c:pt>
                <c:pt idx="443">
                  <c:v>1.5709262484868945E-3</c:v>
                </c:pt>
                <c:pt idx="444">
                  <c:v>1.6494725609112392E-3</c:v>
                </c:pt>
                <c:pt idx="445">
                  <c:v>1.7319461889568012E-3</c:v>
                </c:pt>
                <c:pt idx="446">
                  <c:v>1.8185434984046413E-3</c:v>
                </c:pt>
                <c:pt idx="447">
                  <c:v>1.9094706733248734E-3</c:v>
                </c:pt>
                <c:pt idx="448">
                  <c:v>1.9094706733248736E-4</c:v>
                </c:pt>
                <c:pt idx="449">
                  <c:v>2.0049442069911173E-4</c:v>
                </c:pt>
                <c:pt idx="450">
                  <c:v>2.1051914173406732E-4</c:v>
                </c:pt>
                <c:pt idx="451">
                  <c:v>2.2104509882077069E-4</c:v>
                </c:pt>
                <c:pt idx="452">
                  <c:v>2.3209735376180925E-4</c:v>
                </c:pt>
                <c:pt idx="453">
                  <c:v>2.4370222144989972E-4</c:v>
                </c:pt>
                <c:pt idx="454">
                  <c:v>2.5588733252239471E-4</c:v>
                </c:pt>
                <c:pt idx="455">
                  <c:v>2.6868169914851447E-4</c:v>
                </c:pt>
                <c:pt idx="456">
                  <c:v>2.8211578410594022E-4</c:v>
                </c:pt>
                <c:pt idx="457">
                  <c:v>2.9622157331123724E-4</c:v>
                </c:pt>
                <c:pt idx="458">
                  <c:v>3.1103265197679909E-4</c:v>
                </c:pt>
                <c:pt idx="459">
                  <c:v>3.2658428457563903E-4</c:v>
                </c:pt>
                <c:pt idx="460">
                  <c:v>3.4291349880442097E-4</c:v>
                </c:pt>
                <c:pt idx="461">
                  <c:v>3.6005917374464202E-4</c:v>
                </c:pt>
                <c:pt idx="462">
                  <c:v>3.7806213243187414E-4</c:v>
                </c:pt>
                <c:pt idx="463">
                  <c:v>3.9696523905346788E-4</c:v>
                </c:pt>
                <c:pt idx="464">
                  <c:v>4.1681350100614129E-4</c:v>
                </c:pt>
                <c:pt idx="465">
                  <c:v>4.3765417605644839E-4</c:v>
                </c:pt>
                <c:pt idx="466">
                  <c:v>4.5953688485927084E-4</c:v>
                </c:pt>
                <c:pt idx="467">
                  <c:v>4.8251372910223443E-4</c:v>
                </c:pt>
                <c:pt idx="468">
                  <c:v>5.0663941555734616E-4</c:v>
                </c:pt>
                <c:pt idx="469">
                  <c:v>5.319713863352135E-4</c:v>
                </c:pt>
                <c:pt idx="470">
                  <c:v>5.5856995565197419E-4</c:v>
                </c:pt>
                <c:pt idx="471">
                  <c:v>5.8649845343457295E-4</c:v>
                </c:pt>
                <c:pt idx="472">
                  <c:v>6.1582337610630164E-4</c:v>
                </c:pt>
                <c:pt idx="473">
                  <c:v>6.466145449116167E-4</c:v>
                </c:pt>
                <c:pt idx="474">
                  <c:v>6.7894527215719752E-4</c:v>
                </c:pt>
                <c:pt idx="475">
                  <c:v>7.1289253576505745E-4</c:v>
                </c:pt>
                <c:pt idx="476">
                  <c:v>7.485371625533103E-4</c:v>
                </c:pt>
                <c:pt idx="477">
                  <c:v>7.8596402068097581E-4</c:v>
                </c:pt>
                <c:pt idx="478">
                  <c:v>8.252622217150246E-4</c:v>
                </c:pt>
                <c:pt idx="479">
                  <c:v>8.6652533280077591E-4</c:v>
                </c:pt>
                <c:pt idx="480">
                  <c:v>9.0985159944081474E-4</c:v>
                </c:pt>
                <c:pt idx="481">
                  <c:v>9.5534417941285556E-4</c:v>
                </c:pt>
                <c:pt idx="482">
                  <c:v>1.0031113883834984E-3</c:v>
                </c:pt>
                <c:pt idx="483">
                  <c:v>1.0532669578026733E-3</c:v>
                </c:pt>
                <c:pt idx="484">
                  <c:v>1.105930305692807E-3</c:v>
                </c:pt>
                <c:pt idx="485">
                  <c:v>1.1612268209774473E-3</c:v>
                </c:pt>
                <c:pt idx="486">
                  <c:v>1.2192881620263197E-3</c:v>
                </c:pt>
                <c:pt idx="487">
                  <c:v>1.2802525701276358E-3</c:v>
                </c:pt>
                <c:pt idx="488">
                  <c:v>1.3442651986340177E-3</c:v>
                </c:pt>
                <c:pt idx="489">
                  <c:v>1.4114784585657187E-3</c:v>
                </c:pt>
                <c:pt idx="490">
                  <c:v>1.4820523814940048E-3</c:v>
                </c:pt>
                <c:pt idx="491">
                  <c:v>1.5561550005687051E-3</c:v>
                </c:pt>
                <c:pt idx="492">
                  <c:v>1.6339627505971403E-3</c:v>
                </c:pt>
                <c:pt idx="493">
                  <c:v>1.7156608881269974E-3</c:v>
                </c:pt>
                <c:pt idx="494">
                  <c:v>1.8014439325333474E-3</c:v>
                </c:pt>
                <c:pt idx="495">
                  <c:v>1.8915161291600149E-3</c:v>
                </c:pt>
                <c:pt idx="496">
                  <c:v>1.9860919356180159E-3</c:v>
                </c:pt>
                <c:pt idx="497">
                  <c:v>2.0853965323989168E-3</c:v>
                </c:pt>
                <c:pt idx="498">
                  <c:v>2.1896663590188627E-3</c:v>
                </c:pt>
                <c:pt idx="499">
                  <c:v>2.2991496769698061E-3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8-4D08-B429-E7E33464DCA1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Iris!$R$2:$R$501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</c:numCache>
            </c:numRef>
          </c:xVal>
          <c:yVal>
            <c:numRef>
              <c:f>Iris!$T$2:$T$501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8.9850077934928285E-3</c:v>
                </c:pt>
                <c:pt idx="46">
                  <c:v>9.43425818316747E-3</c:v>
                </c:pt>
                <c:pt idx="47">
                  <c:v>9.9059710923258444E-3</c:v>
                </c:pt>
                <c:pt idx="48">
                  <c:v>1.0401269646942136E-2</c:v>
                </c:pt>
                <c:pt idx="49">
                  <c:v>1.0921333129289244E-2</c:v>
                </c:pt>
                <c:pt idx="50">
                  <c:v>1.1467399785753707E-2</c:v>
                </c:pt>
                <c:pt idx="51">
                  <c:v>1.2040769775041392E-2</c:v>
                </c:pt>
                <c:pt idx="52">
                  <c:v>1.2642808263793463E-2</c:v>
                </c:pt>
                <c:pt idx="53">
                  <c:v>1.3274948676983136E-2</c:v>
                </c:pt>
                <c:pt idx="54">
                  <c:v>1.3938696110832293E-2</c:v>
                </c:pt>
                <c:pt idx="55">
                  <c:v>1.4635630916373909E-2</c:v>
                </c:pt>
                <c:pt idx="56">
                  <c:v>1.5367412462192606E-2</c:v>
                </c:pt>
                <c:pt idx="57">
                  <c:v>1.6135783085302238E-2</c:v>
                </c:pt>
                <c:pt idx="58">
                  <c:v>1.6942572239567352E-2</c:v>
                </c:pt>
                <c:pt idx="59">
                  <c:v>1.7789700851545721E-2</c:v>
                </c:pt>
                <c:pt idx="60">
                  <c:v>1.8679185894123009E-2</c:v>
                </c:pt>
                <c:pt idx="61">
                  <c:v>1.9613145188829159E-2</c:v>
                </c:pt>
                <c:pt idx="62">
                  <c:v>2.0593802448270616E-2</c:v>
                </c:pt>
                <c:pt idx="63">
                  <c:v>2.1623492570684147E-2</c:v>
                </c:pt>
                <c:pt idx="64">
                  <c:v>2.2704667199218355E-2</c:v>
                </c:pt>
                <c:pt idx="65">
                  <c:v>2.3839900559179273E-2</c:v>
                </c:pt>
                <c:pt idx="66">
                  <c:v>2.5031895587138239E-2</c:v>
                </c:pt>
                <c:pt idx="67">
                  <c:v>2.6283490366495153E-2</c:v>
                </c:pt>
                <c:pt idx="68">
                  <c:v>2.7597664884819913E-2</c:v>
                </c:pt>
                <c:pt idx="69">
                  <c:v>2.897754812906091E-2</c:v>
                </c:pt>
                <c:pt idx="70">
                  <c:v>2.8977548129060912E-3</c:v>
                </c:pt>
                <c:pt idx="71">
                  <c:v>2.8977548129060913E-4</c:v>
                </c:pt>
                <c:pt idx="72">
                  <c:v>3.0426425535513959E-4</c:v>
                </c:pt>
                <c:pt idx="73">
                  <c:v>3.194774681228966E-4</c:v>
                </c:pt>
                <c:pt idx="74">
                  <c:v>3.3545134152904144E-4</c:v>
                </c:pt>
                <c:pt idx="75">
                  <c:v>3.522239086054935E-4</c:v>
                </c:pt>
                <c:pt idx="76">
                  <c:v>3.6983510403576817E-4</c:v>
                </c:pt>
                <c:pt idx="77">
                  <c:v>3.8832685923755658E-4</c:v>
                </c:pt>
                <c:pt idx="78">
                  <c:v>4.077432021994344E-4</c:v>
                </c:pt>
                <c:pt idx="79">
                  <c:v>4.2813036230940615E-4</c:v>
                </c:pt>
                <c:pt idx="80">
                  <c:v>4.4953688042487645E-4</c:v>
                </c:pt>
                <c:pt idx="81">
                  <c:v>4.720137244461203E-4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1.4498013677555026E-3</c:v>
                </c:pt>
                <c:pt idx="105">
                  <c:v>1.5222914361432778E-3</c:v>
                </c:pt>
                <c:pt idx="106">
                  <c:v>1.5984060079504417E-3</c:v>
                </c:pt>
                <c:pt idx="107">
                  <c:v>1.6783263083479639E-3</c:v>
                </c:pt>
                <c:pt idx="108">
                  <c:v>1.7622426237653621E-3</c:v>
                </c:pt>
                <c:pt idx="109">
                  <c:v>1.8503547549536302E-3</c:v>
                </c:pt>
                <c:pt idx="110">
                  <c:v>1.9428724927013118E-3</c:v>
                </c:pt>
                <c:pt idx="111">
                  <c:v>2.0400161173363776E-3</c:v>
                </c:pt>
                <c:pt idx="112">
                  <c:v>2.1420169232031967E-3</c:v>
                </c:pt>
                <c:pt idx="113">
                  <c:v>2.2491177693633566E-3</c:v>
                </c:pt>
                <c:pt idx="114">
                  <c:v>2.3615736578315246E-3</c:v>
                </c:pt>
                <c:pt idx="115">
                  <c:v>2.4796523407231009E-3</c:v>
                </c:pt>
                <c:pt idx="116">
                  <c:v>2.6036349577592561E-3</c:v>
                </c:pt>
                <c:pt idx="117">
                  <c:v>2.7338167056472191E-3</c:v>
                </c:pt>
                <c:pt idx="118">
                  <c:v>2.8705075409295802E-3</c:v>
                </c:pt>
                <c:pt idx="119">
                  <c:v>3.0140329179760591E-3</c:v>
                </c:pt>
                <c:pt idx="120">
                  <c:v>3.1647345638748624E-3</c:v>
                </c:pt>
                <c:pt idx="121">
                  <c:v>3.3229712920686055E-3</c:v>
                </c:pt>
                <c:pt idx="122">
                  <c:v>3.489119856672036E-3</c:v>
                </c:pt>
                <c:pt idx="123">
                  <c:v>3.6635758495056378E-3</c:v>
                </c:pt>
                <c:pt idx="124">
                  <c:v>3.8467546419809198E-3</c:v>
                </c:pt>
                <c:pt idx="125">
                  <c:v>4.039092374079966E-3</c:v>
                </c:pt>
                <c:pt idx="126">
                  <c:v>4.2410469927839645E-3</c:v>
                </c:pt>
                <c:pt idx="127">
                  <c:v>4.2410469927839649E-4</c:v>
                </c:pt>
                <c:pt idx="128">
                  <c:v>4.4530993424231634E-4</c:v>
                </c:pt>
                <c:pt idx="129">
                  <c:v>4.4530993424231639E-5</c:v>
                </c:pt>
                <c:pt idx="130">
                  <c:v>4.6757543095443224E-5</c:v>
                </c:pt>
                <c:pt idx="131">
                  <c:v>4.9095420250215388E-5</c:v>
                </c:pt>
                <c:pt idx="132">
                  <c:v>5.1550191262726163E-5</c:v>
                </c:pt>
                <c:pt idx="133">
                  <c:v>5.412770082586247E-5</c:v>
                </c:pt>
                <c:pt idx="134">
                  <c:v>5.6834085867155595E-5</c:v>
                </c:pt>
                <c:pt idx="135">
                  <c:v>5.9675790160513375E-5</c:v>
                </c:pt>
                <c:pt idx="136">
                  <c:v>6.2659579668539051E-5</c:v>
                </c:pt>
                <c:pt idx="137">
                  <c:v>6.5792558651966006E-5</c:v>
                </c:pt>
                <c:pt idx="138">
                  <c:v>6.9082186584564314E-5</c:v>
                </c:pt>
                <c:pt idx="139">
                  <c:v>7.2536295913792532E-5</c:v>
                </c:pt>
                <c:pt idx="140">
                  <c:v>7.6163110709482159E-5</c:v>
                </c:pt>
                <c:pt idx="141">
                  <c:v>7.9971266244956268E-5</c:v>
                </c:pt>
                <c:pt idx="142">
                  <c:v>8.396982955720408E-5</c:v>
                </c:pt>
                <c:pt idx="143">
                  <c:v>8.8168321035064282E-5</c:v>
                </c:pt>
                <c:pt idx="144">
                  <c:v>9.2576737086817501E-5</c:v>
                </c:pt>
                <c:pt idx="145">
                  <c:v>9.7205573941158382E-5</c:v>
                </c:pt>
                <c:pt idx="146">
                  <c:v>1.020658526382163E-4</c:v>
                </c:pt>
                <c:pt idx="147">
                  <c:v>1.0716914527012712E-4</c:v>
                </c:pt>
                <c:pt idx="148">
                  <c:v>1.1252760253363348E-4</c:v>
                </c:pt>
                <c:pt idx="149">
                  <c:v>1.1815398266031516E-4</c:v>
                </c:pt>
                <c:pt idx="150">
                  <c:v>1.2406168179333093E-4</c:v>
                </c:pt>
                <c:pt idx="151">
                  <c:v>1.3026476588299748E-4</c:v>
                </c:pt>
                <c:pt idx="152">
                  <c:v>1.3677800417714737E-4</c:v>
                </c:pt>
                <c:pt idx="153">
                  <c:v>1.4361690438600475E-4</c:v>
                </c:pt>
                <c:pt idx="154">
                  <c:v>1.5079774960530501E-4</c:v>
                </c:pt>
                <c:pt idx="155">
                  <c:v>1.5833763708557026E-4</c:v>
                </c:pt>
                <c:pt idx="156">
                  <c:v>1.6625451893984879E-4</c:v>
                </c:pt>
                <c:pt idx="157">
                  <c:v>1.7456724488684123E-4</c:v>
                </c:pt>
                <c:pt idx="158">
                  <c:v>1.8329560713118331E-4</c:v>
                </c:pt>
                <c:pt idx="159">
                  <c:v>1.9246038748774248E-4</c:v>
                </c:pt>
                <c:pt idx="160">
                  <c:v>2.0208340686212961E-4</c:v>
                </c:pt>
                <c:pt idx="161">
                  <c:v>2.121875772052361E-4</c:v>
                </c:pt>
                <c:pt idx="162">
                  <c:v>2.2279695606549791E-4</c:v>
                </c:pt>
                <c:pt idx="163">
                  <c:v>2.3393680386877281E-4</c:v>
                </c:pt>
                <c:pt idx="164">
                  <c:v>2.4563364406221148E-4</c:v>
                </c:pt>
                <c:pt idx="165">
                  <c:v>2.5791532626532205E-4</c:v>
                </c:pt>
                <c:pt idx="166">
                  <c:v>2.7081109257858817E-4</c:v>
                </c:pt>
                <c:pt idx="167">
                  <c:v>2.8435164720751758E-4</c:v>
                </c:pt>
                <c:pt idx="168">
                  <c:v>2.9856922956789344E-4</c:v>
                </c:pt>
                <c:pt idx="169">
                  <c:v>3.134976910462881E-4</c:v>
                </c:pt>
                <c:pt idx="170">
                  <c:v>3.291725755986025E-4</c:v>
                </c:pt>
                <c:pt idx="171">
                  <c:v>3.4563120437853265E-4</c:v>
                </c:pt>
                <c:pt idx="172">
                  <c:v>3.629127645974593E-4</c:v>
                </c:pt>
                <c:pt idx="173">
                  <c:v>3.8105840282733229E-4</c:v>
                </c:pt>
                <c:pt idx="174">
                  <c:v>4.0011132296869891E-4</c:v>
                </c:pt>
                <c:pt idx="175">
                  <c:v>4.2011688911713387E-4</c:v>
                </c:pt>
                <c:pt idx="176">
                  <c:v>4.4112273357299056E-4</c:v>
                </c:pt>
                <c:pt idx="177">
                  <c:v>4.6317887025164008E-4</c:v>
                </c:pt>
                <c:pt idx="178">
                  <c:v>4.8633781376422212E-4</c:v>
                </c:pt>
                <c:pt idx="179">
                  <c:v>5.1065470445243327E-4</c:v>
                </c:pt>
                <c:pt idx="180">
                  <c:v>5.3618743967505497E-4</c:v>
                </c:pt>
                <c:pt idx="181">
                  <c:v>5.6299681165880773E-4</c:v>
                </c:pt>
                <c:pt idx="182">
                  <c:v>5.911466522417481E-4</c:v>
                </c:pt>
                <c:pt idx="183">
                  <c:v>6.2070398485383554E-4</c:v>
                </c:pt>
                <c:pt idx="184">
                  <c:v>6.5173918409652733E-4</c:v>
                </c:pt>
                <c:pt idx="185">
                  <c:v>6.8432614330135371E-4</c:v>
                </c:pt>
                <c:pt idx="186">
                  <c:v>7.185424504664214E-4</c:v>
                </c:pt>
                <c:pt idx="187">
                  <c:v>7.5446957298974248E-4</c:v>
                </c:pt>
                <c:pt idx="188">
                  <c:v>7.9219305163922963E-4</c:v>
                </c:pt>
                <c:pt idx="189">
                  <c:v>8.318027042211911E-4</c:v>
                </c:pt>
                <c:pt idx="190">
                  <c:v>8.7339283943225067E-4</c:v>
                </c:pt>
                <c:pt idx="191">
                  <c:v>9.1706248140386323E-4</c:v>
                </c:pt>
                <c:pt idx="192">
                  <c:v>9.6291560547405648E-4</c:v>
                </c:pt>
                <c:pt idx="193">
                  <c:v>1.0110613857477594E-3</c:v>
                </c:pt>
                <c:pt idx="194">
                  <c:v>1.0616144550351474E-3</c:v>
                </c:pt>
                <c:pt idx="195">
                  <c:v>1.1146951777869047E-3</c:v>
                </c:pt>
                <c:pt idx="196">
                  <c:v>1.17042993667625E-3</c:v>
                </c:pt>
                <c:pt idx="197">
                  <c:v>1.2289514335100625E-3</c:v>
                </c:pt>
                <c:pt idx="198">
                  <c:v>1.2903990051855658E-3</c:v>
                </c:pt>
                <c:pt idx="199">
                  <c:v>1.354918955444844E-3</c:v>
                </c:pt>
                <c:pt idx="200">
                  <c:v>1.4226649032170863E-3</c:v>
                </c:pt>
                <c:pt idx="201">
                  <c:v>1.4937981483779408E-3</c:v>
                </c:pt>
                <c:pt idx="202">
                  <c:v>1.5684880557968379E-3</c:v>
                </c:pt>
                <c:pt idx="203">
                  <c:v>1.6469124585866799E-3</c:v>
                </c:pt>
                <c:pt idx="204">
                  <c:v>1.729258081516014E-3</c:v>
                </c:pt>
                <c:pt idx="205">
                  <c:v>1.8157209855918148E-3</c:v>
                </c:pt>
                <c:pt idx="206">
                  <c:v>1.9065070348714057E-3</c:v>
                </c:pt>
                <c:pt idx="207">
                  <c:v>2.001832386614976E-3</c:v>
                </c:pt>
                <c:pt idx="208">
                  <c:v>2.1019240059457251E-3</c:v>
                </c:pt>
                <c:pt idx="209">
                  <c:v>2.2070202062430115E-3</c:v>
                </c:pt>
                <c:pt idx="210">
                  <c:v>2.3173712165551622E-3</c:v>
                </c:pt>
                <c:pt idx="211">
                  <c:v>2.4332397773829204E-3</c:v>
                </c:pt>
                <c:pt idx="212">
                  <c:v>2.5549017662520666E-3</c:v>
                </c:pt>
                <c:pt idx="213">
                  <c:v>2.6826468545646702E-3</c:v>
                </c:pt>
                <c:pt idx="214">
                  <c:v>2.816779197292904E-3</c:v>
                </c:pt>
                <c:pt idx="215">
                  <c:v>2.9576181571575491E-3</c:v>
                </c:pt>
                <c:pt idx="216">
                  <c:v>2.9576181571575494E-4</c:v>
                </c:pt>
                <c:pt idx="217">
                  <c:v>3.1054990650154269E-4</c:v>
                </c:pt>
                <c:pt idx="218">
                  <c:v>3.1054990650154273E-5</c:v>
                </c:pt>
                <c:pt idx="219">
                  <c:v>3.260774018266199E-5</c:v>
                </c:pt>
                <c:pt idx="220">
                  <c:v>3.4238127191795094E-5</c:v>
                </c:pt>
                <c:pt idx="221">
                  <c:v>3.5950033551384849E-5</c:v>
                </c:pt>
                <c:pt idx="222">
                  <c:v>3.774753522895409E-5</c:v>
                </c:pt>
                <c:pt idx="223">
                  <c:v>3.9634911990401797E-5</c:v>
                </c:pt>
                <c:pt idx="224">
                  <c:v>4.161665758992189E-5</c:v>
                </c:pt>
                <c:pt idx="225">
                  <c:v>4.3697490469417988E-5</c:v>
                </c:pt>
                <c:pt idx="226">
                  <c:v>4.5882364992888891E-5</c:v>
                </c:pt>
                <c:pt idx="227">
                  <c:v>4.8176483242533338E-5</c:v>
                </c:pt>
                <c:pt idx="228">
                  <c:v>5.0585307404660007E-5</c:v>
                </c:pt>
                <c:pt idx="229">
                  <c:v>5.3114572774893006E-5</c:v>
                </c:pt>
                <c:pt idx="230">
                  <c:v>5.5770301413637657E-5</c:v>
                </c:pt>
                <c:pt idx="231">
                  <c:v>5.8558816484319544E-5</c:v>
                </c:pt>
                <c:pt idx="232">
                  <c:v>6.148675730853553E-5</c:v>
                </c:pt>
                <c:pt idx="233">
                  <c:v>6.4561095173962306E-5</c:v>
                </c:pt>
                <c:pt idx="234">
                  <c:v>6.7789149932660428E-5</c:v>
                </c:pt>
                <c:pt idx="235">
                  <c:v>7.1178607429293458E-5</c:v>
                </c:pt>
                <c:pt idx="236">
                  <c:v>7.4737537800758136E-5</c:v>
                </c:pt>
                <c:pt idx="237">
                  <c:v>7.8474414690796047E-5</c:v>
                </c:pt>
                <c:pt idx="238">
                  <c:v>8.2398135425335855E-5</c:v>
                </c:pt>
                <c:pt idx="239">
                  <c:v>8.6518042196602658E-5</c:v>
                </c:pt>
                <c:pt idx="240">
                  <c:v>9.0843944306432796E-5</c:v>
                </c:pt>
                <c:pt idx="241">
                  <c:v>9.5386141521754437E-5</c:v>
                </c:pt>
                <c:pt idx="242">
                  <c:v>1.0015544859784216E-4</c:v>
                </c:pt>
                <c:pt idx="243">
                  <c:v>1.0516322102773428E-4</c:v>
                </c:pt>
                <c:pt idx="244">
                  <c:v>1.1042138207912099E-4</c:v>
                </c:pt>
                <c:pt idx="245">
                  <c:v>1.1594245118307705E-4</c:v>
                </c:pt>
                <c:pt idx="246">
                  <c:v>1.217395737422309E-4</c:v>
                </c:pt>
                <c:pt idx="247">
                  <c:v>1.2782655242934244E-4</c:v>
                </c:pt>
                <c:pt idx="248">
                  <c:v>1.3421788005080958E-4</c:v>
                </c:pt>
                <c:pt idx="249">
                  <c:v>1.4092877405335005E-4</c:v>
                </c:pt>
                <c:pt idx="250">
                  <c:v>1.4797521275601756E-4</c:v>
                </c:pt>
                <c:pt idx="251">
                  <c:v>1.5537397339381845E-4</c:v>
                </c:pt>
                <c:pt idx="252">
                  <c:v>1.6314267206350938E-4</c:v>
                </c:pt>
                <c:pt idx="253">
                  <c:v>1.7129980566668487E-4</c:v>
                </c:pt>
                <c:pt idx="254">
                  <c:v>1.7986479595001912E-4</c:v>
                </c:pt>
                <c:pt idx="255">
                  <c:v>1.888580357475201E-4</c:v>
                </c:pt>
                <c:pt idx="256">
                  <c:v>1.9830093753489612E-4</c:v>
                </c:pt>
                <c:pt idx="257">
                  <c:v>2.0821598441164095E-4</c:v>
                </c:pt>
                <c:pt idx="258">
                  <c:v>2.18626783632223E-4</c:v>
                </c:pt>
                <c:pt idx="259">
                  <c:v>2.2955812281383415E-4</c:v>
                </c:pt>
                <c:pt idx="260">
                  <c:v>2.4103602895452587E-4</c:v>
                </c:pt>
                <c:pt idx="261">
                  <c:v>2.5308783040225215E-4</c:v>
                </c:pt>
                <c:pt idx="262">
                  <c:v>2.6574222192236478E-4</c:v>
                </c:pt>
                <c:pt idx="263">
                  <c:v>2.7902933301848304E-4</c:v>
                </c:pt>
                <c:pt idx="264">
                  <c:v>2.9298079966940722E-4</c:v>
                </c:pt>
                <c:pt idx="265">
                  <c:v>3.0762983965287757E-4</c:v>
                </c:pt>
                <c:pt idx="266">
                  <c:v>3.2301133163552145E-4</c:v>
                </c:pt>
                <c:pt idx="267">
                  <c:v>3.3916189821729757E-4</c:v>
                </c:pt>
                <c:pt idx="268">
                  <c:v>3.5611999312816245E-4</c:v>
                </c:pt>
                <c:pt idx="269">
                  <c:v>3.7392599278457059E-4</c:v>
                </c:pt>
                <c:pt idx="270">
                  <c:v>3.9262229242379912E-4</c:v>
                </c:pt>
                <c:pt idx="271">
                  <c:v>4.1225340704498909E-4</c:v>
                </c:pt>
                <c:pt idx="272">
                  <c:v>4.3286607739723859E-4</c:v>
                </c:pt>
                <c:pt idx="273">
                  <c:v>4.5450938126710054E-4</c:v>
                </c:pt>
                <c:pt idx="274">
                  <c:v>4.7723485033045556E-4</c:v>
                </c:pt>
                <c:pt idx="275">
                  <c:v>5.0109659284697835E-4</c:v>
                </c:pt>
                <c:pt idx="276">
                  <c:v>5.2615142248932725E-4</c:v>
                </c:pt>
                <c:pt idx="277">
                  <c:v>5.5245899361379359E-4</c:v>
                </c:pt>
                <c:pt idx="278">
                  <c:v>5.800819432944833E-4</c:v>
                </c:pt>
                <c:pt idx="279">
                  <c:v>6.0908604045920749E-4</c:v>
                </c:pt>
                <c:pt idx="280">
                  <c:v>6.3954034248216792E-4</c:v>
                </c:pt>
                <c:pt idx="281">
                  <c:v>6.7151735960627634E-4</c:v>
                </c:pt>
                <c:pt idx="282">
                  <c:v>7.0509322758659015E-4</c:v>
                </c:pt>
                <c:pt idx="283">
                  <c:v>7.4034788896591968E-4</c:v>
                </c:pt>
                <c:pt idx="284">
                  <c:v>7.7736528341421573E-4</c:v>
                </c:pt>
                <c:pt idx="285">
                  <c:v>8.162335475849266E-4</c:v>
                </c:pt>
                <c:pt idx="286">
                  <c:v>8.5704522496417301E-4</c:v>
                </c:pt>
                <c:pt idx="287">
                  <c:v>8.9989748621238175E-4</c:v>
                </c:pt>
                <c:pt idx="288">
                  <c:v>9.448923605230009E-4</c:v>
                </c:pt>
                <c:pt idx="289">
                  <c:v>9.9213697854915101E-4</c:v>
                </c:pt>
                <c:pt idx="290">
                  <c:v>1.0417438274766086E-3</c:v>
                </c:pt>
                <c:pt idx="291">
                  <c:v>1.0938310188504392E-3</c:v>
                </c:pt>
                <c:pt idx="292">
                  <c:v>1.1485225697929612E-3</c:v>
                </c:pt>
                <c:pt idx="293">
                  <c:v>1.2059486982826093E-3</c:v>
                </c:pt>
                <c:pt idx="294">
                  <c:v>1.2662461331967398E-3</c:v>
                </c:pt>
                <c:pt idx="295">
                  <c:v>1.3295584398565769E-3</c:v>
                </c:pt>
                <c:pt idx="296">
                  <c:v>1.3960363618494059E-3</c:v>
                </c:pt>
                <c:pt idx="297">
                  <c:v>1.4658381799418762E-3</c:v>
                </c:pt>
                <c:pt idx="298">
                  <c:v>1.53913008893897E-3</c:v>
                </c:pt>
                <c:pt idx="299">
                  <c:v>1.6160865933859186E-3</c:v>
                </c:pt>
                <c:pt idx="300">
                  <c:v>1.6968909230552147E-3</c:v>
                </c:pt>
                <c:pt idx="301">
                  <c:v>1.7817354692079754E-3</c:v>
                </c:pt>
                <c:pt idx="302">
                  <c:v>1.8708222426683742E-3</c:v>
                </c:pt>
                <c:pt idx="303">
                  <c:v>1.9643633548017928E-3</c:v>
                </c:pt>
                <c:pt idx="304">
                  <c:v>2.0625815225418826E-3</c:v>
                </c:pt>
                <c:pt idx="305">
                  <c:v>2.1657105986689767E-3</c:v>
                </c:pt>
                <c:pt idx="306">
                  <c:v>2.2739961286024255E-3</c:v>
                </c:pt>
                <c:pt idx="307">
                  <c:v>2.3876959350325471E-3</c:v>
                </c:pt>
                <c:pt idx="308">
                  <c:v>2.5070807317841746E-3</c:v>
                </c:pt>
                <c:pt idx="309">
                  <c:v>2.5070807317841747E-4</c:v>
                </c:pt>
                <c:pt idx="310">
                  <c:v>2.6324347683733836E-4</c:v>
                </c:pt>
                <c:pt idx="311">
                  <c:v>2.7640565067920531E-4</c:v>
                </c:pt>
                <c:pt idx="312">
                  <c:v>2.9022593321316556E-4</c:v>
                </c:pt>
                <c:pt idx="313">
                  <c:v>3.0473722987382388E-4</c:v>
                </c:pt>
                <c:pt idx="314">
                  <c:v>3.1997409136751511E-4</c:v>
                </c:pt>
                <c:pt idx="315">
                  <c:v>3.359727959358909E-4</c:v>
                </c:pt>
                <c:pt idx="316">
                  <c:v>3.5277143573268543E-4</c:v>
                </c:pt>
                <c:pt idx="317">
                  <c:v>3.7041000751931975E-4</c:v>
                </c:pt>
                <c:pt idx="318">
                  <c:v>3.8893050789528573E-4</c:v>
                </c:pt>
                <c:pt idx="319">
                  <c:v>4.0837703329005005E-4</c:v>
                </c:pt>
                <c:pt idx="320">
                  <c:v>4.2879588495455255E-4</c:v>
                </c:pt>
                <c:pt idx="321">
                  <c:v>4.5023567920228019E-4</c:v>
                </c:pt>
                <c:pt idx="322">
                  <c:v>4.7274746316239421E-4</c:v>
                </c:pt>
                <c:pt idx="323">
                  <c:v>4.9638483632051392E-4</c:v>
                </c:pt>
                <c:pt idx="324">
                  <c:v>5.212040781365396E-4</c:v>
                </c:pt>
                <c:pt idx="325">
                  <c:v>5.4726428204336663E-4</c:v>
                </c:pt>
                <c:pt idx="326">
                  <c:v>5.74627496145535E-4</c:v>
                </c:pt>
                <c:pt idx="327">
                  <c:v>6.0335887095281174E-4</c:v>
                </c:pt>
                <c:pt idx="328">
                  <c:v>6.3352681450045236E-4</c:v>
                </c:pt>
                <c:pt idx="329">
                  <c:v>6.65203155225475E-4</c:v>
                </c:pt>
                <c:pt idx="330">
                  <c:v>6.9846331298674879E-4</c:v>
                </c:pt>
                <c:pt idx="331">
                  <c:v>7.3338647863608621E-4</c:v>
                </c:pt>
                <c:pt idx="332">
                  <c:v>7.7005580256789058E-4</c:v>
                </c:pt>
                <c:pt idx="333">
                  <c:v>8.0855859269628519E-4</c:v>
                </c:pt>
                <c:pt idx="334">
                  <c:v>8.4898652233109952E-4</c:v>
                </c:pt>
                <c:pt idx="335">
                  <c:v>8.9143584844765457E-4</c:v>
                </c:pt>
                <c:pt idx="336">
                  <c:v>9.3600764087003736E-4</c:v>
                </c:pt>
                <c:pt idx="337">
                  <c:v>9.8280802291353928E-4</c:v>
                </c:pt>
                <c:pt idx="338">
                  <c:v>1.0319484240592163E-3</c:v>
                </c:pt>
                <c:pt idx="339">
                  <c:v>1.0835458452621771E-3</c:v>
                </c:pt>
                <c:pt idx="340">
                  <c:v>1.1377231375252861E-3</c:v>
                </c:pt>
                <c:pt idx="341">
                  <c:v>1.1946092944015504E-3</c:v>
                </c:pt>
                <c:pt idx="342">
                  <c:v>1.2543397591216279E-3</c:v>
                </c:pt>
                <c:pt idx="343">
                  <c:v>1.3170567470777094E-3</c:v>
                </c:pt>
                <c:pt idx="344">
                  <c:v>1.382909584431595E-3</c:v>
                </c:pt>
                <c:pt idx="345">
                  <c:v>1.4520550636531748E-3</c:v>
                </c:pt>
                <c:pt idx="346">
                  <c:v>1.5246578168358336E-3</c:v>
                </c:pt>
                <c:pt idx="347">
                  <c:v>1.6008907076776253E-3</c:v>
                </c:pt>
                <c:pt idx="348">
                  <c:v>1.6809352430615066E-3</c:v>
                </c:pt>
                <c:pt idx="349">
                  <c:v>1.764982005214582E-3</c:v>
                </c:pt>
                <c:pt idx="350">
                  <c:v>1.8532311054753113E-3</c:v>
                </c:pt>
                <c:pt idx="351">
                  <c:v>1.945892660749077E-3</c:v>
                </c:pt>
                <c:pt idx="352">
                  <c:v>2.0431872937865308E-3</c:v>
                </c:pt>
                <c:pt idx="353">
                  <c:v>2.1453466584758574E-3</c:v>
                </c:pt>
                <c:pt idx="354">
                  <c:v>2.2526139913996504E-3</c:v>
                </c:pt>
                <c:pt idx="355">
                  <c:v>2.3652446909696329E-3</c:v>
                </c:pt>
                <c:pt idx="356">
                  <c:v>2.4835069255181147E-3</c:v>
                </c:pt>
                <c:pt idx="357">
                  <c:v>2.6076822717940205E-3</c:v>
                </c:pt>
                <c:pt idx="358">
                  <c:v>2.7380663853837218E-3</c:v>
                </c:pt>
                <c:pt idx="359">
                  <c:v>2.8749697046529079E-3</c:v>
                </c:pt>
                <c:pt idx="360">
                  <c:v>3.0187181898855536E-3</c:v>
                </c:pt>
                <c:pt idx="361">
                  <c:v>3.1696540993798312E-3</c:v>
                </c:pt>
                <c:pt idx="362">
                  <c:v>3.328136804348823E-3</c:v>
                </c:pt>
                <c:pt idx="363">
                  <c:v>3.4945436445662642E-3</c:v>
                </c:pt>
                <c:pt idx="364">
                  <c:v>3.4945436445662646E-4</c:v>
                </c:pt>
                <c:pt idx="365">
                  <c:v>3.4945436445662649E-5</c:v>
                </c:pt>
                <c:pt idx="366">
                  <c:v>3.6692708267945785E-5</c:v>
                </c:pt>
                <c:pt idx="367">
                  <c:v>3.8527343681343075E-5</c:v>
                </c:pt>
                <c:pt idx="368">
                  <c:v>4.0453710865410231E-5</c:v>
                </c:pt>
                <c:pt idx="369">
                  <c:v>4.2476396408680747E-5</c:v>
                </c:pt>
                <c:pt idx="370">
                  <c:v>4.4600216229114786E-5</c:v>
                </c:pt>
                <c:pt idx="371">
                  <c:v>4.6830227040570525E-5</c:v>
                </c:pt>
                <c:pt idx="372">
                  <c:v>4.9171738392599052E-5</c:v>
                </c:pt>
                <c:pt idx="373">
                  <c:v>5.163032531222901E-5</c:v>
                </c:pt>
                <c:pt idx="374">
                  <c:v>5.4211841577840463E-5</c:v>
                </c:pt>
                <c:pt idx="375">
                  <c:v>5.6922433656732487E-5</c:v>
                </c:pt>
                <c:pt idx="376">
                  <c:v>5.9768555339569111E-5</c:v>
                </c:pt>
                <c:pt idx="377">
                  <c:v>6.2756983106547565E-5</c:v>
                </c:pt>
                <c:pt idx="378">
                  <c:v>6.5894832261874953E-5</c:v>
                </c:pt>
                <c:pt idx="379">
                  <c:v>6.9189573874968709E-5</c:v>
                </c:pt>
                <c:pt idx="380">
                  <c:v>7.2649052568717149E-5</c:v>
                </c:pt>
                <c:pt idx="381">
                  <c:v>7.6281505197153015E-5</c:v>
                </c:pt>
                <c:pt idx="382">
                  <c:v>8.0095580457010675E-5</c:v>
                </c:pt>
                <c:pt idx="383">
                  <c:v>8.4100359479861214E-5</c:v>
                </c:pt>
                <c:pt idx="384">
                  <c:v>8.830537745385428E-5</c:v>
                </c:pt>
                <c:pt idx="385">
                  <c:v>9.2720646326547004E-5</c:v>
                </c:pt>
                <c:pt idx="386">
                  <c:v>9.7356678642874353E-5</c:v>
                </c:pt>
                <c:pt idx="387">
                  <c:v>1.0222451257501808E-4</c:v>
                </c:pt>
                <c:pt idx="388">
                  <c:v>1.0733573820376899E-4</c:v>
                </c:pt>
                <c:pt idx="389">
                  <c:v>1.1270252511395744E-4</c:v>
                </c:pt>
                <c:pt idx="390">
                  <c:v>1.1833765136965532E-4</c:v>
                </c:pt>
                <c:pt idx="391">
                  <c:v>1.2425453393813808E-4</c:v>
                </c:pt>
                <c:pt idx="392">
                  <c:v>1.3046726063504498E-4</c:v>
                </c:pt>
                <c:pt idx="393">
                  <c:v>1.3699062366679724E-4</c:v>
                </c:pt>
                <c:pt idx="394">
                  <c:v>1.4384015485013711E-4</c:v>
                </c:pt>
                <c:pt idx="395">
                  <c:v>1.5103216259264397E-4</c:v>
                </c:pt>
                <c:pt idx="396">
                  <c:v>1.5858377072227616E-4</c:v>
                </c:pt>
                <c:pt idx="397">
                  <c:v>1.6651295925838996E-4</c:v>
                </c:pt>
                <c:pt idx="398">
                  <c:v>1.7483860722130947E-4</c:v>
                </c:pt>
                <c:pt idx="399">
                  <c:v>1.8358053758237496E-4</c:v>
                </c:pt>
                <c:pt idx="400">
                  <c:v>1.9275956446149372E-4</c:v>
                </c:pt>
                <c:pt idx="401">
                  <c:v>2.0239754268456842E-4</c:v>
                </c:pt>
                <c:pt idx="402">
                  <c:v>2.1251741981879684E-4</c:v>
                </c:pt>
                <c:pt idx="403">
                  <c:v>2.231432908097367E-4</c:v>
                </c:pt>
                <c:pt idx="404">
                  <c:v>2.3430045535022354E-4</c:v>
                </c:pt>
                <c:pt idx="405">
                  <c:v>2.4601547811773473E-4</c:v>
                </c:pt>
                <c:pt idx="406">
                  <c:v>2.5831625202362145E-4</c:v>
                </c:pt>
                <c:pt idx="407">
                  <c:v>2.7123206462480252E-4</c:v>
                </c:pt>
                <c:pt idx="408">
                  <c:v>2.8479366785604264E-4</c:v>
                </c:pt>
                <c:pt idx="409">
                  <c:v>2.9903335124884477E-4</c:v>
                </c:pt>
                <c:pt idx="410">
                  <c:v>3.1398501881128702E-4</c:v>
                </c:pt>
                <c:pt idx="411">
                  <c:v>3.296842697518514E-4</c:v>
                </c:pt>
                <c:pt idx="412">
                  <c:v>3.4616848323944401E-4</c:v>
                </c:pt>
                <c:pt idx="413">
                  <c:v>3.6347690740141621E-4</c:v>
                </c:pt>
                <c:pt idx="414">
                  <c:v>3.8165075277148705E-4</c:v>
                </c:pt>
                <c:pt idx="415">
                  <c:v>4.0073329041006141E-4</c:v>
                </c:pt>
                <c:pt idx="416">
                  <c:v>4.2076995493056451E-4</c:v>
                </c:pt>
                <c:pt idx="417">
                  <c:v>4.4180845267709277E-4</c:v>
                </c:pt>
                <c:pt idx="418">
                  <c:v>4.6389887531094744E-4</c:v>
                </c:pt>
                <c:pt idx="419">
                  <c:v>4.6389887531094746E-5</c:v>
                </c:pt>
                <c:pt idx="420">
                  <c:v>4.6389887531094749E-6</c:v>
                </c:pt>
                <c:pt idx="421">
                  <c:v>4.8709381907649487E-6</c:v>
                </c:pt>
                <c:pt idx="422">
                  <c:v>5.1144851003031968E-6</c:v>
                </c:pt>
                <c:pt idx="423">
                  <c:v>5.3702093553183565E-6</c:v>
                </c:pt>
                <c:pt idx="424">
                  <c:v>5.6387198230842742E-6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8-4D08-B429-E7E33464D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Iris!$AF$2:$AF$102</c:f>
              <c:numCache>
                <c:formatCode>General</c:formatCode>
                <c:ptCount val="101"/>
                <c:pt idx="0">
                  <c:v>-1.5544548452760956</c:v>
                </c:pt>
                <c:pt idx="1">
                  <c:v>-0.61591384657191028</c:v>
                </c:pt>
                <c:pt idx="2">
                  <c:v>-1.3950444955108732</c:v>
                </c:pt>
                <c:pt idx="3">
                  <c:v>-0.33048813093575308</c:v>
                </c:pt>
                <c:pt idx="4">
                  <c:v>1.8300546105888296</c:v>
                </c:pt>
                <c:pt idx="5">
                  <c:v>1.8186485634698273</c:v>
                </c:pt>
                <c:pt idx="6">
                  <c:v>-0.52533593784832744</c:v>
                </c:pt>
                <c:pt idx="7">
                  <c:v>-0.6037830797493724</c:v>
                </c:pt>
                <c:pt idx="8">
                  <c:v>1.3769698209020529</c:v>
                </c:pt>
                <c:pt idx="9">
                  <c:v>0.14729107929989191</c:v>
                </c:pt>
                <c:pt idx="10">
                  <c:v>-0.76994757281236981</c:v>
                </c:pt>
                <c:pt idx="11">
                  <c:v>0.72027335086141797</c:v>
                </c:pt>
                <c:pt idx="12">
                  <c:v>0.96598388666438073</c:v>
                </c:pt>
                <c:pt idx="13">
                  <c:v>-1.7852379687657634</c:v>
                </c:pt>
                <c:pt idx="14">
                  <c:v>-0.93376245019082815</c:v>
                </c:pt>
                <c:pt idx="15">
                  <c:v>8.0485212916618656E-2</c:v>
                </c:pt>
                <c:pt idx="16">
                  <c:v>-0.67682087855348982</c:v>
                </c:pt>
                <c:pt idx="17">
                  <c:v>-0.39290869424875774</c:v>
                </c:pt>
                <c:pt idx="18">
                  <c:v>-0.98681875190269575</c:v>
                </c:pt>
                <c:pt idx="19">
                  <c:v>6.4308257905106248E-2</c:v>
                </c:pt>
                <c:pt idx="20">
                  <c:v>-1.3902450054933866</c:v>
                </c:pt>
                <c:pt idx="21">
                  <c:v>-3.0530543833434357E-2</c:v>
                </c:pt>
                <c:pt idx="22">
                  <c:v>-7.1093975163189244E-2</c:v>
                </c:pt>
                <c:pt idx="23">
                  <c:v>1.3791795964365074</c:v>
                </c:pt>
                <c:pt idx="24">
                  <c:v>-0.3905952026984042</c:v>
                </c:pt>
                <c:pt idx="25">
                  <c:v>1.3144000807026794</c:v>
                </c:pt>
                <c:pt idx="26">
                  <c:v>-1.7027509056411636</c:v>
                </c:pt>
                <c:pt idx="27">
                  <c:v>-1.3668948913591217</c:v>
                </c:pt>
                <c:pt idx="28">
                  <c:v>-1.2056769958121596</c:v>
                </c:pt>
                <c:pt idx="29">
                  <c:v>-1.1538808626920265</c:v>
                </c:pt>
                <c:pt idx="30">
                  <c:v>-0.66020255830828056</c:v>
                </c:pt>
                <c:pt idx="31">
                  <c:v>-4.1548989416199569E-2</c:v>
                </c:pt>
                <c:pt idx="32">
                  <c:v>0.89150683846706236</c:v>
                </c:pt>
                <c:pt idx="33">
                  <c:v>-0.39809084462793204</c:v>
                </c:pt>
                <c:pt idx="34">
                  <c:v>0.89803675613146738</c:v>
                </c:pt>
                <c:pt idx="35">
                  <c:v>-1.7917624268449821</c:v>
                </c:pt>
                <c:pt idx="36">
                  <c:v>-0.87528665264445038</c:v>
                </c:pt>
                <c:pt idx="37">
                  <c:v>-0.42527060030863312</c:v>
                </c:pt>
                <c:pt idx="38">
                  <c:v>-0.85076431090730442</c:v>
                </c:pt>
                <c:pt idx="39">
                  <c:v>-0.9709511362109251</c:v>
                </c:pt>
                <c:pt idx="40">
                  <c:v>0.26751905927586772</c:v>
                </c:pt>
                <c:pt idx="41">
                  <c:v>-0.96662666902966632</c:v>
                </c:pt>
                <c:pt idx="42">
                  <c:v>-1.5462311780104703</c:v>
                </c:pt>
                <c:pt idx="43">
                  <c:v>-1.329852558034371</c:v>
                </c:pt>
                <c:pt idx="44">
                  <c:v>0.48957904940925523</c:v>
                </c:pt>
                <c:pt idx="45">
                  <c:v>0.98760010564206324</c:v>
                </c:pt>
                <c:pt idx="46">
                  <c:v>-0.43597909668473295</c:v>
                </c:pt>
                <c:pt idx="47">
                  <c:v>-0.5545597777602792</c:v>
                </c:pt>
                <c:pt idx="48">
                  <c:v>-1.3188145780024696</c:v>
                </c:pt>
                <c:pt idx="49">
                  <c:v>-1.0060189757556215E-2</c:v>
                </c:pt>
                <c:pt idx="50">
                  <c:v>-0.91869269247967678</c:v>
                </c:pt>
                <c:pt idx="51">
                  <c:v>1.1976128997196374</c:v>
                </c:pt>
                <c:pt idx="52">
                  <c:v>-3.0053910885582177E-2</c:v>
                </c:pt>
                <c:pt idx="53">
                  <c:v>-0.84917424085816084</c:v>
                </c:pt>
                <c:pt idx="54">
                  <c:v>-0.2156831358240911</c:v>
                </c:pt>
                <c:pt idx="55">
                  <c:v>0.41370488461690746</c:v>
                </c:pt>
                <c:pt idx="56">
                  <c:v>0.42984606124468022</c:v>
                </c:pt>
                <c:pt idx="57">
                  <c:v>-0.44143875995841897</c:v>
                </c:pt>
                <c:pt idx="58">
                  <c:v>1.2355467670262945</c:v>
                </c:pt>
                <c:pt idx="59">
                  <c:v>1.5375939510159269</c:v>
                </c:pt>
                <c:pt idx="60">
                  <c:v>0.12162433168497017</c:v>
                </c:pt>
                <c:pt idx="61">
                  <c:v>1.157200219025156</c:v>
                </c:pt>
                <c:pt idx="62">
                  <c:v>-0.57596623077615894</c:v>
                </c:pt>
                <c:pt idx="63">
                  <c:v>1.1377651354458445</c:v>
                </c:pt>
                <c:pt idx="64">
                  <c:v>2.1165246071389476</c:v>
                </c:pt>
                <c:pt idx="65">
                  <c:v>0.59559107452490845</c:v>
                </c:pt>
                <c:pt idx="66">
                  <c:v>-0.78690256730685904</c:v>
                </c:pt>
                <c:pt idx="67">
                  <c:v>-0.66792027056516245</c:v>
                </c:pt>
                <c:pt idx="68">
                  <c:v>0.3376514676773516</c:v>
                </c:pt>
                <c:pt idx="69">
                  <c:v>-0.17463688069501462</c:v>
                </c:pt>
                <c:pt idx="70">
                  <c:v>1.3158098266487348</c:v>
                </c:pt>
                <c:pt idx="71">
                  <c:v>1.1995894221033272</c:v>
                </c:pt>
                <c:pt idx="72">
                  <c:v>-0.13060897886401746</c:v>
                </c:pt>
                <c:pt idx="73">
                  <c:v>0.80788342254245038</c:v>
                </c:pt>
                <c:pt idx="74">
                  <c:v>0.75806957588300194</c:v>
                </c:pt>
                <c:pt idx="75">
                  <c:v>2.0639404483020409</c:v>
                </c:pt>
                <c:pt idx="76">
                  <c:v>1.2542920509944651</c:v>
                </c:pt>
                <c:pt idx="77">
                  <c:v>1.4584598186017315</c:v>
                </c:pt>
                <c:pt idx="78">
                  <c:v>-1.5553137207229291</c:v>
                </c:pt>
                <c:pt idx="79">
                  <c:v>-1.212424388548184</c:v>
                </c:pt>
                <c:pt idx="80">
                  <c:v>0.56207505153349846</c:v>
                </c:pt>
                <c:pt idx="81">
                  <c:v>-1.2042841006390772</c:v>
                </c:pt>
                <c:pt idx="82">
                  <c:v>0.51571860204728837</c:v>
                </c:pt>
                <c:pt idx="83">
                  <c:v>-0.46602817895844928</c:v>
                </c:pt>
                <c:pt idx="84">
                  <c:v>-0.52895814143836328</c:v>
                </c:pt>
                <c:pt idx="85">
                  <c:v>-0.26263623426867927</c:v>
                </c:pt>
                <c:pt idx="86">
                  <c:v>0.57703042287198059</c:v>
                </c:pt>
                <c:pt idx="87">
                  <c:v>0.495428709292761</c:v>
                </c:pt>
                <c:pt idx="88">
                  <c:v>-0.12711987240511324</c:v>
                </c:pt>
                <c:pt idx="89">
                  <c:v>0.51834428671943988</c:v>
                </c:pt>
                <c:pt idx="90">
                  <c:v>1.8008686691338132</c:v>
                </c:pt>
                <c:pt idx="91">
                  <c:v>-3.0333782777252235E-2</c:v>
                </c:pt>
                <c:pt idx="92">
                  <c:v>0.37766253965129049</c:v>
                </c:pt>
                <c:pt idx="93">
                  <c:v>1.1610505397741118</c:v>
                </c:pt>
                <c:pt idx="94">
                  <c:v>-0.38025752111090411</c:v>
                </c:pt>
                <c:pt idx="95">
                  <c:v>0.77187959722011201</c:v>
                </c:pt>
                <c:pt idx="96">
                  <c:v>-0.72111719830586707</c:v>
                </c:pt>
                <c:pt idx="97">
                  <c:v>1.7813480288249628</c:v>
                </c:pt>
                <c:pt idx="98">
                  <c:v>1.3759563371840533</c:v>
                </c:pt>
                <c:pt idx="99">
                  <c:v>3.9628386015104572E-2</c:v>
                </c:pt>
                <c:pt idx="100">
                  <c:v>-1.0097959941424843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25A-A693-4A567B4989AD}"/>
            </c:ext>
          </c:extLst>
        </c:ser>
        <c:ser>
          <c:idx val="1"/>
          <c:order val="1"/>
          <c:tx>
            <c:strRef>
              <c:f>Iris!$AG$1</c:f>
              <c:strCache>
                <c:ptCount val="1"/>
                <c:pt idx="0">
                  <c:v>y_fit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Iris!$AG$2:$AG$102</c:f>
              <c:numCache>
                <c:formatCode>General</c:formatCode>
                <c:ptCount val="101"/>
                <c:pt idx="0">
                  <c:v>-1.4558236679977412</c:v>
                </c:pt>
                <c:pt idx="1">
                  <c:v>-0.9210520935476012</c:v>
                </c:pt>
                <c:pt idx="2">
                  <c:v>-1.3841542292137561</c:v>
                </c:pt>
                <c:pt idx="3">
                  <c:v>-0.24311524669102624</c:v>
                </c:pt>
                <c:pt idx="4">
                  <c:v>1.5253949755958374</c:v>
                </c:pt>
                <c:pt idx="5">
                  <c:v>1.6146694557157559</c:v>
                </c:pt>
                <c:pt idx="6">
                  <c:v>-0.73668454097527203</c:v>
                </c:pt>
                <c:pt idx="7">
                  <c:v>-0.31692757704641394</c:v>
                </c:pt>
                <c:pt idx="8">
                  <c:v>1.4903621555633357</c:v>
                </c:pt>
                <c:pt idx="9">
                  <c:v>-0.12304626329003199</c:v>
                </c:pt>
                <c:pt idx="10">
                  <c:v>-0.83930723382306027</c:v>
                </c:pt>
                <c:pt idx="11">
                  <c:v>0.6345916056496641</c:v>
                </c:pt>
                <c:pt idx="12">
                  <c:v>0.74542674930938801</c:v>
                </c:pt>
                <c:pt idx="13">
                  <c:v>-1.4096494139797109</c:v>
                </c:pt>
                <c:pt idx="14">
                  <c:v>-1.2933375547109911</c:v>
                </c:pt>
                <c:pt idx="15">
                  <c:v>0.62669323299762425</c:v>
                </c:pt>
                <c:pt idx="16">
                  <c:v>-0.65280704166029579</c:v>
                </c:pt>
                <c:pt idx="17">
                  <c:v>-0.54750378797343657</c:v>
                </c:pt>
                <c:pt idx="18">
                  <c:v>-0.58925669340023035</c:v>
                </c:pt>
                <c:pt idx="19">
                  <c:v>-0.2968723536840443</c:v>
                </c:pt>
                <c:pt idx="20">
                  <c:v>-1.5075568008959799</c:v>
                </c:pt>
                <c:pt idx="21">
                  <c:v>-5.878010891873231E-2</c:v>
                </c:pt>
                <c:pt idx="22">
                  <c:v>0.30623826188883285</c:v>
                </c:pt>
                <c:pt idx="23">
                  <c:v>1.3732875869127419</c:v>
                </c:pt>
                <c:pt idx="24">
                  <c:v>6.3695420236584255E-2</c:v>
                </c:pt>
                <c:pt idx="25">
                  <c:v>1.0336453999822481</c:v>
                </c:pt>
                <c:pt idx="26">
                  <c:v>-1.5151017341552659</c:v>
                </c:pt>
                <c:pt idx="27">
                  <c:v>-1.2457277337753609</c:v>
                </c:pt>
                <c:pt idx="28">
                  <c:v>-1.3341627386884198</c:v>
                </c:pt>
                <c:pt idx="29">
                  <c:v>-0.67424174603760179</c:v>
                </c:pt>
                <c:pt idx="30">
                  <c:v>-0.61212527801764338</c:v>
                </c:pt>
                <c:pt idx="31">
                  <c:v>0.20635700496333698</c:v>
                </c:pt>
                <c:pt idx="32">
                  <c:v>0.8526713086266291</c:v>
                </c:pt>
                <c:pt idx="33">
                  <c:v>-0.41202218653224065</c:v>
                </c:pt>
                <c:pt idx="34">
                  <c:v>1.174663245628274</c:v>
                </c:pt>
                <c:pt idx="35">
                  <c:v>-1.5503834709794688</c:v>
                </c:pt>
                <c:pt idx="36">
                  <c:v>-0.80900467468094917</c:v>
                </c:pt>
                <c:pt idx="37">
                  <c:v>-0.54004227814044725</c:v>
                </c:pt>
                <c:pt idx="38">
                  <c:v>-0.85392702637914297</c:v>
                </c:pt>
                <c:pt idx="39">
                  <c:v>-1.037288590701138</c:v>
                </c:pt>
                <c:pt idx="40">
                  <c:v>0.47402422285413337</c:v>
                </c:pt>
                <c:pt idx="41">
                  <c:v>-0.4477947771033115</c:v>
                </c:pt>
                <c:pt idx="42">
                  <c:v>-1.059824705666184</c:v>
                </c:pt>
                <c:pt idx="43">
                  <c:v>-1.1846461669063331</c:v>
                </c:pt>
                <c:pt idx="44">
                  <c:v>0.49672548093245794</c:v>
                </c:pt>
                <c:pt idx="45">
                  <c:v>1.3307820660457992</c:v>
                </c:pt>
                <c:pt idx="46">
                  <c:v>4.4789926877705E-2</c:v>
                </c:pt>
                <c:pt idx="47">
                  <c:v>-0.92106389852841986</c:v>
                </c:pt>
                <c:pt idx="48">
                  <c:v>-1.5421180907214627</c:v>
                </c:pt>
                <c:pt idx="49">
                  <c:v>-0.28092780651916271</c:v>
                </c:pt>
                <c:pt idx="50">
                  <c:v>-0.42109165989409902</c:v>
                </c:pt>
                <c:pt idx="51">
                  <c:v>1.2844061969143254</c:v>
                </c:pt>
                <c:pt idx="52">
                  <c:v>-0.17666396172072751</c:v>
                </c:pt>
                <c:pt idx="53">
                  <c:v>-0.86926994711357608</c:v>
                </c:pt>
                <c:pt idx="54">
                  <c:v>0.14999123435722339</c:v>
                </c:pt>
                <c:pt idx="55">
                  <c:v>0.14280033552667959</c:v>
                </c:pt>
                <c:pt idx="56">
                  <c:v>0.22932336556499777</c:v>
                </c:pt>
                <c:pt idx="57">
                  <c:v>-0.40354250228389077</c:v>
                </c:pt>
                <c:pt idx="58">
                  <c:v>0.94857705310488072</c:v>
                </c:pt>
                <c:pt idx="59">
                  <c:v>1.2328133684566005</c:v>
                </c:pt>
                <c:pt idx="60">
                  <c:v>-2.7893352522582404E-2</c:v>
                </c:pt>
                <c:pt idx="61">
                  <c:v>1.4518759406947801</c:v>
                </c:pt>
                <c:pt idx="62">
                  <c:v>-0.21999218187472991</c:v>
                </c:pt>
                <c:pt idx="63">
                  <c:v>1.2078868430287031</c:v>
                </c:pt>
                <c:pt idx="64">
                  <c:v>1.6616238062629627</c:v>
                </c:pt>
                <c:pt idx="65">
                  <c:v>0.36929346226081705</c:v>
                </c:pt>
                <c:pt idx="66">
                  <c:v>-1.1461466312808462</c:v>
                </c:pt>
                <c:pt idx="67">
                  <c:v>-0.79940336848082083</c:v>
                </c:pt>
                <c:pt idx="68">
                  <c:v>0.36084447245290008</c:v>
                </c:pt>
                <c:pt idx="69">
                  <c:v>0.14924412772165141</c:v>
                </c:pt>
                <c:pt idx="70">
                  <c:v>1.7122504615719158</c:v>
                </c:pt>
                <c:pt idx="71">
                  <c:v>1.5297374964370611</c:v>
                </c:pt>
                <c:pt idx="72">
                  <c:v>0.23037600190196983</c:v>
                </c:pt>
                <c:pt idx="73">
                  <c:v>0.47952961626129564</c:v>
                </c:pt>
                <c:pt idx="74">
                  <c:v>0.45369861786738852</c:v>
                </c:pt>
                <c:pt idx="75">
                  <c:v>1.8256379499434985</c:v>
                </c:pt>
                <c:pt idx="76">
                  <c:v>1.1086680369408199</c:v>
                </c:pt>
                <c:pt idx="77">
                  <c:v>1.8621658200121374</c:v>
                </c:pt>
                <c:pt idx="78">
                  <c:v>-1.5390358743323773</c:v>
                </c:pt>
                <c:pt idx="79">
                  <c:v>-1.4704843891590968</c:v>
                </c:pt>
                <c:pt idx="80">
                  <c:v>0.35622387841764791</c:v>
                </c:pt>
                <c:pt idx="81">
                  <c:v>-0.88271822016332635</c:v>
                </c:pt>
                <c:pt idx="82">
                  <c:v>0.41021278423991347</c:v>
                </c:pt>
                <c:pt idx="83">
                  <c:v>-0.77087650640291727</c:v>
                </c:pt>
                <c:pt idx="84">
                  <c:v>-0.50342267710723121</c:v>
                </c:pt>
                <c:pt idx="85">
                  <c:v>-6.221985238968486E-2</c:v>
                </c:pt>
                <c:pt idx="86">
                  <c:v>0.38055616690814631</c:v>
                </c:pt>
                <c:pt idx="87">
                  <c:v>0.30010154953209067</c:v>
                </c:pt>
                <c:pt idx="88">
                  <c:v>-0.6676394596998243</c:v>
                </c:pt>
                <c:pt idx="89">
                  <c:v>0.44704408457233313</c:v>
                </c:pt>
                <c:pt idx="90">
                  <c:v>1.4132362844439292</c:v>
                </c:pt>
                <c:pt idx="91">
                  <c:v>4.8761000845551905E-2</c:v>
                </c:pt>
                <c:pt idx="92">
                  <c:v>0.47038677624742675</c:v>
                </c:pt>
                <c:pt idx="93">
                  <c:v>0.9106440306741348</c:v>
                </c:pt>
                <c:pt idx="94">
                  <c:v>-0.79451960917065634</c:v>
                </c:pt>
                <c:pt idx="95">
                  <c:v>0.41866093000124849</c:v>
                </c:pt>
                <c:pt idx="96">
                  <c:v>-0.74224941866827976</c:v>
                </c:pt>
                <c:pt idx="97">
                  <c:v>1.7668669722729575</c:v>
                </c:pt>
                <c:pt idx="98">
                  <c:v>1.5709155778494512</c:v>
                </c:pt>
                <c:pt idx="99">
                  <c:v>-0.11448772875428759</c:v>
                </c:pt>
                <c:pt idx="100">
                  <c:v>-0.87807959084749143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25A-A693-4A567B498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valAx>
        <c:axId val="170377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</c:numCache>
            </c:numRef>
          </c:xVal>
          <c:yVal>
            <c:numRef>
              <c:f>Iris!$AJ$2:$AJ$5002</c:f>
              <c:numCache>
                <c:formatCode>General</c:formatCode>
                <c:ptCount val="5001"/>
                <c:pt idx="0">
                  <c:v>0.49815405777454513</c:v>
                </c:pt>
                <c:pt idx="1">
                  <c:v>0.49668835387151411</c:v>
                </c:pt>
                <c:pt idx="2">
                  <c:v>0.48398948905650729</c:v>
                </c:pt>
                <c:pt idx="3">
                  <c:v>0.47344847192677347</c:v>
                </c:pt>
                <c:pt idx="4">
                  <c:v>0.45954454987704352</c:v>
                </c:pt>
                <c:pt idx="5">
                  <c:v>0.4528444597754897</c:v>
                </c:pt>
                <c:pt idx="6">
                  <c:v>0.45032720577100349</c:v>
                </c:pt>
                <c:pt idx="7">
                  <c:v>0.44666979675525459</c:v>
                </c:pt>
                <c:pt idx="8">
                  <c:v>0.44466521714021395</c:v>
                </c:pt>
                <c:pt idx="9">
                  <c:v>0.44320206787690336</c:v>
                </c:pt>
                <c:pt idx="10">
                  <c:v>0.441239079741439</c:v>
                </c:pt>
                <c:pt idx="11">
                  <c:v>0.42397199828439219</c:v>
                </c:pt>
                <c:pt idx="12">
                  <c:v>0.39698530621093631</c:v>
                </c:pt>
                <c:pt idx="13">
                  <c:v>0.37347417351463791</c:v>
                </c:pt>
                <c:pt idx="14">
                  <c:v>0.31790555700633544</c:v>
                </c:pt>
                <c:pt idx="15">
                  <c:v>0.26822174977598889</c:v>
                </c:pt>
                <c:pt idx="16">
                  <c:v>0.24791043328618023</c:v>
                </c:pt>
                <c:pt idx="17">
                  <c:v>0.23750069416832345</c:v>
                </c:pt>
                <c:pt idx="18">
                  <c:v>0.23150947968285129</c:v>
                </c:pt>
                <c:pt idx="19">
                  <c:v>0.23026536766018652</c:v>
                </c:pt>
                <c:pt idx="20">
                  <c:v>0.23021098736535256</c:v>
                </c:pt>
                <c:pt idx="21">
                  <c:v>0.23001668880509227</c:v>
                </c:pt>
                <c:pt idx="22">
                  <c:v>0.22960797013299863</c:v>
                </c:pt>
                <c:pt idx="23">
                  <c:v>0.22874463179348739</c:v>
                </c:pt>
                <c:pt idx="24">
                  <c:v>0.22764753768641202</c:v>
                </c:pt>
                <c:pt idx="25">
                  <c:v>0.22745451150413595</c:v>
                </c:pt>
                <c:pt idx="26">
                  <c:v>0.22741745419094875</c:v>
                </c:pt>
                <c:pt idx="27">
                  <c:v>0.22739346037645922</c:v>
                </c:pt>
                <c:pt idx="28">
                  <c:v>0.22734686646065252</c:v>
                </c:pt>
                <c:pt idx="29">
                  <c:v>0.2272954593714458</c:v>
                </c:pt>
                <c:pt idx="30">
                  <c:v>0.22714837284492487</c:v>
                </c:pt>
                <c:pt idx="31">
                  <c:v>0.22684115719107475</c:v>
                </c:pt>
                <c:pt idx="32">
                  <c:v>0.22626943804909797</c:v>
                </c:pt>
                <c:pt idx="33">
                  <c:v>0.2254510164578678</c:v>
                </c:pt>
                <c:pt idx="34">
                  <c:v>0.22357970356064322</c:v>
                </c:pt>
                <c:pt idx="35">
                  <c:v>0.22099501855123721</c:v>
                </c:pt>
                <c:pt idx="36">
                  <c:v>0.21995573438929295</c:v>
                </c:pt>
                <c:pt idx="37">
                  <c:v>0.21774467283193538</c:v>
                </c:pt>
                <c:pt idx="38">
                  <c:v>0.21632783884134885</c:v>
                </c:pt>
                <c:pt idx="39">
                  <c:v>0.21553635846066455</c:v>
                </c:pt>
                <c:pt idx="40">
                  <c:v>0.21443085724161118</c:v>
                </c:pt>
                <c:pt idx="41">
                  <c:v>0.21281393351839906</c:v>
                </c:pt>
                <c:pt idx="42">
                  <c:v>0.21186252807809697</c:v>
                </c:pt>
                <c:pt idx="43">
                  <c:v>0.21041350552332991</c:v>
                </c:pt>
                <c:pt idx="44">
                  <c:v>0.20805389361656165</c:v>
                </c:pt>
                <c:pt idx="45">
                  <c:v>0.2063942671437268</c:v>
                </c:pt>
                <c:pt idx="46">
                  <c:v>0.20416050125209159</c:v>
                </c:pt>
                <c:pt idx="47">
                  <c:v>0.20037781284269898</c:v>
                </c:pt>
                <c:pt idx="48">
                  <c:v>0.19775967895403607</c:v>
                </c:pt>
                <c:pt idx="49">
                  <c:v>0.19199203245516691</c:v>
                </c:pt>
                <c:pt idx="50">
                  <c:v>0.18832503875589862</c:v>
                </c:pt>
                <c:pt idx="51">
                  <c:v>0.18494703624380263</c:v>
                </c:pt>
                <c:pt idx="52">
                  <c:v>0.18220186949885564</c:v>
                </c:pt>
                <c:pt idx="53">
                  <c:v>0.18014771577760283</c:v>
                </c:pt>
                <c:pt idx="54">
                  <c:v>0.17886675801879579</c:v>
                </c:pt>
                <c:pt idx="55">
                  <c:v>0.17835151872971561</c:v>
                </c:pt>
                <c:pt idx="56">
                  <c:v>0.17803211488576773</c:v>
                </c:pt>
                <c:pt idx="57">
                  <c:v>0.17772296948830865</c:v>
                </c:pt>
                <c:pt idx="58">
                  <c:v>0.17741185012675714</c:v>
                </c:pt>
                <c:pt idx="59">
                  <c:v>0.17732185956116758</c:v>
                </c:pt>
                <c:pt idx="60">
                  <c:v>0.17731594126072239</c:v>
                </c:pt>
                <c:pt idx="61">
                  <c:v>0.17731337348131856</c:v>
                </c:pt>
                <c:pt idx="62">
                  <c:v>0.17730507941633758</c:v>
                </c:pt>
                <c:pt idx="63">
                  <c:v>0.17727919589138749</c:v>
                </c:pt>
                <c:pt idx="64">
                  <c:v>0.17721315361239828</c:v>
                </c:pt>
                <c:pt idx="65">
                  <c:v>0.1770487355476727</c:v>
                </c:pt>
                <c:pt idx="66">
                  <c:v>0.17668530469369317</c:v>
                </c:pt>
                <c:pt idx="67">
                  <c:v>0.17599951659431534</c:v>
                </c:pt>
                <c:pt idx="68">
                  <c:v>0.17480796745392779</c:v>
                </c:pt>
                <c:pt idx="69">
                  <c:v>0.17317227901966478</c:v>
                </c:pt>
                <c:pt idx="70">
                  <c:v>0.17222625667290573</c:v>
                </c:pt>
                <c:pt idx="71">
                  <c:v>0.17151833156096039</c:v>
                </c:pt>
                <c:pt idx="72">
                  <c:v>0.17125830480123128</c:v>
                </c:pt>
                <c:pt idx="73">
                  <c:v>0.17095967672307225</c:v>
                </c:pt>
                <c:pt idx="74">
                  <c:v>0.17074209514675068</c:v>
                </c:pt>
                <c:pt idx="75">
                  <c:v>0.1706816014733295</c:v>
                </c:pt>
                <c:pt idx="76">
                  <c:v>0.16805251490817766</c:v>
                </c:pt>
                <c:pt idx="77">
                  <c:v>0.16804827879738185</c:v>
                </c:pt>
                <c:pt idx="78">
                  <c:v>0.16766640993804294</c:v>
                </c:pt>
                <c:pt idx="79">
                  <c:v>0.16595009787219153</c:v>
                </c:pt>
                <c:pt idx="80">
                  <c:v>0.16430827500930548</c:v>
                </c:pt>
                <c:pt idx="81">
                  <c:v>0.16340645475603854</c:v>
                </c:pt>
                <c:pt idx="82">
                  <c:v>0.16211355135200842</c:v>
                </c:pt>
                <c:pt idx="83">
                  <c:v>0.16066082937244147</c:v>
                </c:pt>
                <c:pt idx="84">
                  <c:v>0.15959197619206639</c:v>
                </c:pt>
                <c:pt idx="85">
                  <c:v>0.15920627169853221</c:v>
                </c:pt>
                <c:pt idx="86">
                  <c:v>0.15904874615448089</c:v>
                </c:pt>
                <c:pt idx="87">
                  <c:v>0.15839632758982314</c:v>
                </c:pt>
                <c:pt idx="88">
                  <c:v>0.15748273647751404</c:v>
                </c:pt>
                <c:pt idx="89">
                  <c:v>0.15603949645088425</c:v>
                </c:pt>
                <c:pt idx="90">
                  <c:v>0.15341769522946586</c:v>
                </c:pt>
                <c:pt idx="91">
                  <c:v>0.1516059513547437</c:v>
                </c:pt>
                <c:pt idx="92">
                  <c:v>0.15024977228730399</c:v>
                </c:pt>
                <c:pt idx="93">
                  <c:v>0.14928234001808161</c:v>
                </c:pt>
                <c:pt idx="94">
                  <c:v>0.14783118611929569</c:v>
                </c:pt>
                <c:pt idx="95">
                  <c:v>0.14405304757015547</c:v>
                </c:pt>
                <c:pt idx="96">
                  <c:v>0.13512139503859083</c:v>
                </c:pt>
                <c:pt idx="97">
                  <c:v>0.12113595870554666</c:v>
                </c:pt>
                <c:pt idx="98">
                  <c:v>0.11608605251216648</c:v>
                </c:pt>
                <c:pt idx="99">
                  <c:v>0.10693292970301271</c:v>
                </c:pt>
                <c:pt idx="100">
                  <c:v>9.7758531368826215E-2</c:v>
                </c:pt>
                <c:pt idx="101">
                  <c:v>8.2980000072456719E-2</c:v>
                </c:pt>
                <c:pt idx="102">
                  <c:v>7.3455895727568887E-2</c:v>
                </c:pt>
                <c:pt idx="103">
                  <c:v>7.214791558190442E-2</c:v>
                </c:pt>
                <c:pt idx="104">
                  <c:v>6.9019684241379803E-2</c:v>
                </c:pt>
                <c:pt idx="105">
                  <c:v>6.7535074230195169E-2</c:v>
                </c:pt>
                <c:pt idx="106">
                  <c:v>6.7125973232409125E-2</c:v>
                </c:pt>
                <c:pt idx="107">
                  <c:v>6.6921168317684715E-2</c:v>
                </c:pt>
                <c:pt idx="108">
                  <c:v>6.6591079081931334E-2</c:v>
                </c:pt>
                <c:pt idx="109">
                  <c:v>6.5035273161397483E-2</c:v>
                </c:pt>
                <c:pt idx="110">
                  <c:v>6.3709703067302476E-2</c:v>
                </c:pt>
                <c:pt idx="111">
                  <c:v>6.2213432466605718E-2</c:v>
                </c:pt>
                <c:pt idx="112">
                  <c:v>6.1607637955986914E-2</c:v>
                </c:pt>
                <c:pt idx="113">
                  <c:v>6.0906292597967732E-2</c:v>
                </c:pt>
                <c:pt idx="114">
                  <c:v>6.0445994516638228E-2</c:v>
                </c:pt>
                <c:pt idx="115">
                  <c:v>5.9598092405598997E-2</c:v>
                </c:pt>
                <c:pt idx="116">
                  <c:v>5.9009696449528609E-2</c:v>
                </c:pt>
                <c:pt idx="117">
                  <c:v>5.7389540643348072E-2</c:v>
                </c:pt>
                <c:pt idx="118">
                  <c:v>5.5653524343172216E-2</c:v>
                </c:pt>
                <c:pt idx="119">
                  <c:v>5.2977619180078116E-2</c:v>
                </c:pt>
                <c:pt idx="120">
                  <c:v>5.019897315900991E-2</c:v>
                </c:pt>
                <c:pt idx="121">
                  <c:v>4.5968745905381372E-2</c:v>
                </c:pt>
                <c:pt idx="122">
                  <c:v>4.5101592107930084E-2</c:v>
                </c:pt>
                <c:pt idx="123">
                  <c:v>4.4144901347734036E-2</c:v>
                </c:pt>
                <c:pt idx="124">
                  <c:v>4.2111233835080059E-2</c:v>
                </c:pt>
                <c:pt idx="125">
                  <c:v>4.1160851580927298E-2</c:v>
                </c:pt>
                <c:pt idx="126">
                  <c:v>3.9900878925659064E-2</c:v>
                </c:pt>
                <c:pt idx="127">
                  <c:v>3.912440603989293E-2</c:v>
                </c:pt>
                <c:pt idx="128">
                  <c:v>3.8789347483638E-2</c:v>
                </c:pt>
                <c:pt idx="129">
                  <c:v>3.7722148069409128E-2</c:v>
                </c:pt>
                <c:pt idx="130">
                  <c:v>3.749212622904359E-2</c:v>
                </c:pt>
                <c:pt idx="131">
                  <c:v>3.7275521228495916E-2</c:v>
                </c:pt>
                <c:pt idx="132">
                  <c:v>3.7132537697946728E-2</c:v>
                </c:pt>
                <c:pt idx="133">
                  <c:v>3.6936345920743227E-2</c:v>
                </c:pt>
                <c:pt idx="134">
                  <c:v>3.6886127751770935E-2</c:v>
                </c:pt>
                <c:pt idx="135">
                  <c:v>3.6856192416944308E-2</c:v>
                </c:pt>
                <c:pt idx="136">
                  <c:v>3.6836362785193456E-2</c:v>
                </c:pt>
                <c:pt idx="137">
                  <c:v>3.6831039416513466E-2</c:v>
                </c:pt>
                <c:pt idx="138">
                  <c:v>3.6824475632589455E-2</c:v>
                </c:pt>
                <c:pt idx="139">
                  <c:v>3.6818942864582288E-2</c:v>
                </c:pt>
                <c:pt idx="140">
                  <c:v>3.6814425715832447E-2</c:v>
                </c:pt>
                <c:pt idx="141">
                  <c:v>3.6806448687706078E-2</c:v>
                </c:pt>
                <c:pt idx="142">
                  <c:v>3.6803100403816798E-2</c:v>
                </c:pt>
                <c:pt idx="143">
                  <c:v>3.6801717445790229E-2</c:v>
                </c:pt>
                <c:pt idx="144">
                  <c:v>3.6800587859235956E-2</c:v>
                </c:pt>
                <c:pt idx="145">
                  <c:v>3.6797859913239958E-2</c:v>
                </c:pt>
                <c:pt idx="146">
                  <c:v>3.6790998867512734E-2</c:v>
                </c:pt>
                <c:pt idx="147">
                  <c:v>3.6773303118551794E-2</c:v>
                </c:pt>
                <c:pt idx="148">
                  <c:v>3.6733943783064334E-2</c:v>
                </c:pt>
                <c:pt idx="149">
                  <c:v>3.6679939855966404E-2</c:v>
                </c:pt>
                <c:pt idx="150">
                  <c:v>3.6593010124184852E-2</c:v>
                </c:pt>
                <c:pt idx="151">
                  <c:v>3.6456271140174731E-2</c:v>
                </c:pt>
                <c:pt idx="152">
                  <c:v>3.6274385262006104E-2</c:v>
                </c:pt>
                <c:pt idx="153">
                  <c:v>3.6185277907533848E-2</c:v>
                </c:pt>
                <c:pt idx="154">
                  <c:v>3.6131572034181186E-2</c:v>
                </c:pt>
                <c:pt idx="155">
                  <c:v>3.6105043891722241E-2</c:v>
                </c:pt>
                <c:pt idx="156">
                  <c:v>3.6075845123792909E-2</c:v>
                </c:pt>
                <c:pt idx="157">
                  <c:v>3.6070115743962891E-2</c:v>
                </c:pt>
                <c:pt idx="158">
                  <c:v>3.6068190267652026E-2</c:v>
                </c:pt>
                <c:pt idx="159">
                  <c:v>3.6066810132576503E-2</c:v>
                </c:pt>
                <c:pt idx="160">
                  <c:v>3.606578231599953E-2</c:v>
                </c:pt>
                <c:pt idx="161">
                  <c:v>3.6065289757867262E-2</c:v>
                </c:pt>
                <c:pt idx="162">
                  <c:v>3.6065051419216634E-2</c:v>
                </c:pt>
                <c:pt idx="163">
                  <c:v>3.6064104268371443E-2</c:v>
                </c:pt>
                <c:pt idx="164">
                  <c:v>3.6061966830465239E-2</c:v>
                </c:pt>
                <c:pt idx="165">
                  <c:v>3.6056087172995216E-2</c:v>
                </c:pt>
                <c:pt idx="166">
                  <c:v>3.6047501889092948E-2</c:v>
                </c:pt>
                <c:pt idx="167">
                  <c:v>3.6026330877993895E-2</c:v>
                </c:pt>
                <c:pt idx="168">
                  <c:v>3.5996153889316256E-2</c:v>
                </c:pt>
                <c:pt idx="169">
                  <c:v>3.5961887852203986E-2</c:v>
                </c:pt>
                <c:pt idx="170">
                  <c:v>3.5948715770466086E-2</c:v>
                </c:pt>
                <c:pt idx="171">
                  <c:v>3.5939581008216599E-2</c:v>
                </c:pt>
                <c:pt idx="172">
                  <c:v>3.5929004133800367E-2</c:v>
                </c:pt>
                <c:pt idx="173">
                  <c:v>3.5913439456789709E-2</c:v>
                </c:pt>
                <c:pt idx="174">
                  <c:v>3.5895150311959056E-2</c:v>
                </c:pt>
                <c:pt idx="175">
                  <c:v>3.5882085452456629E-2</c:v>
                </c:pt>
                <c:pt idx="176">
                  <c:v>3.5867891859990245E-2</c:v>
                </c:pt>
                <c:pt idx="177">
                  <c:v>3.5850910466346871E-2</c:v>
                </c:pt>
                <c:pt idx="178">
                  <c:v>3.5824434119552551E-2</c:v>
                </c:pt>
                <c:pt idx="179">
                  <c:v>3.5806513298686449E-2</c:v>
                </c:pt>
                <c:pt idx="180">
                  <c:v>3.5780929545837434E-2</c:v>
                </c:pt>
                <c:pt idx="181">
                  <c:v>3.5739592000694757E-2</c:v>
                </c:pt>
                <c:pt idx="182">
                  <c:v>3.5695611202604088E-2</c:v>
                </c:pt>
                <c:pt idx="183">
                  <c:v>3.5670936743884128E-2</c:v>
                </c:pt>
                <c:pt idx="184">
                  <c:v>3.564105117649731E-2</c:v>
                </c:pt>
                <c:pt idx="185">
                  <c:v>3.5627985036187297E-2</c:v>
                </c:pt>
                <c:pt idx="186">
                  <c:v>3.5616255457939477E-2</c:v>
                </c:pt>
                <c:pt idx="187">
                  <c:v>3.5605453859266542E-2</c:v>
                </c:pt>
                <c:pt idx="188">
                  <c:v>3.5584036967616778E-2</c:v>
                </c:pt>
                <c:pt idx="189">
                  <c:v>3.5536533384634306E-2</c:v>
                </c:pt>
                <c:pt idx="190">
                  <c:v>3.5518234084739204E-2</c:v>
                </c:pt>
                <c:pt idx="191">
                  <c:v>3.5500122626066485E-2</c:v>
                </c:pt>
                <c:pt idx="192">
                  <c:v>3.5494968719406494E-2</c:v>
                </c:pt>
                <c:pt idx="193">
                  <c:v>3.5486479339958431E-2</c:v>
                </c:pt>
                <c:pt idx="194">
                  <c:v>3.5482619349062119E-2</c:v>
                </c:pt>
                <c:pt idx="195">
                  <c:v>3.5478088666034337E-2</c:v>
                </c:pt>
                <c:pt idx="196">
                  <c:v>3.5465512857900693E-2</c:v>
                </c:pt>
                <c:pt idx="197">
                  <c:v>3.5460460403663671E-2</c:v>
                </c:pt>
                <c:pt idx="198">
                  <c:v>3.5459330275777724E-2</c:v>
                </c:pt>
                <c:pt idx="199">
                  <c:v>3.5458681686480781E-2</c:v>
                </c:pt>
                <c:pt idx="200">
                  <c:v>3.545833203608114E-2</c:v>
                </c:pt>
                <c:pt idx="201">
                  <c:v>3.5458191201645686E-2</c:v>
                </c:pt>
                <c:pt idx="202">
                  <c:v>3.5458030743800266E-2</c:v>
                </c:pt>
                <c:pt idx="203">
                  <c:v>3.5457918227788036E-2</c:v>
                </c:pt>
                <c:pt idx="204">
                  <c:v>3.5457723530719576E-2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scatterChart>
        <c:scatterStyle val="lineMarker"/>
        <c:varyColors val="0"/>
        <c:ser>
          <c:idx val="1"/>
          <c:order val="1"/>
          <c:tx>
            <c:strRef>
              <c:f>Iris!$AK$1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</c:numCache>
            </c:numRef>
          </c:xVal>
          <c:yVal>
            <c:numRef>
              <c:f>Iris!$AK$2:$AK$5002</c:f>
              <c:numCache>
                <c:formatCode>General</c:formatCode>
                <c:ptCount val="5001"/>
                <c:pt idx="0">
                  <c:v>1</c:v>
                </c:pt>
                <c:pt idx="1">
                  <c:v>7.75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0.25</c:v>
                </c:pt>
                <c:pt idx="9">
                  <c:v>0.5</c:v>
                </c:pt>
                <c:pt idx="10">
                  <c:v>1</c:v>
                </c:pt>
                <c:pt idx="11">
                  <c:v>5.5</c:v>
                </c:pt>
                <c:pt idx="12">
                  <c:v>0.25</c:v>
                </c:pt>
                <c:pt idx="13">
                  <c:v>6.25E-2</c:v>
                </c:pt>
                <c:pt idx="14">
                  <c:v>0.5</c:v>
                </c:pt>
                <c:pt idx="15">
                  <c:v>0.5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0.5</c:v>
                </c:pt>
                <c:pt idx="37">
                  <c:v>1</c:v>
                </c:pt>
                <c:pt idx="38">
                  <c:v>1</c:v>
                </c:pt>
                <c:pt idx="39">
                  <c:v>0.25</c:v>
                </c:pt>
                <c:pt idx="40">
                  <c:v>0.5</c:v>
                </c:pt>
                <c:pt idx="41">
                  <c:v>1</c:v>
                </c:pt>
                <c:pt idx="42">
                  <c:v>0.25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0.25</c:v>
                </c:pt>
                <c:pt idx="71">
                  <c:v>0.5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3.0078125</c:v>
                </c:pt>
                <c:pt idx="77">
                  <c:v>4.8828125E-4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6.25E-2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0.5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0.5</c:v>
                </c:pt>
                <c:pt idx="121">
                  <c:v>1</c:v>
                </c:pt>
                <c:pt idx="122">
                  <c:v>0.5</c:v>
                </c:pt>
                <c:pt idx="123">
                  <c:v>0.25</c:v>
                </c:pt>
                <c:pt idx="124">
                  <c:v>0.5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0.125</c:v>
                </c:pt>
                <c:pt idx="169">
                  <c:v>0.125</c:v>
                </c:pt>
                <c:pt idx="170">
                  <c:v>0.5</c:v>
                </c:pt>
                <c:pt idx="171">
                  <c:v>0.5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0.5</c:v>
                </c:pt>
                <c:pt idx="177">
                  <c:v>1</c:v>
                </c:pt>
                <c:pt idx="178">
                  <c:v>1</c:v>
                </c:pt>
                <c:pt idx="179">
                  <c:v>0.25</c:v>
                </c:pt>
                <c:pt idx="180">
                  <c:v>0.5</c:v>
                </c:pt>
                <c:pt idx="181">
                  <c:v>1</c:v>
                </c:pt>
                <c:pt idx="182">
                  <c:v>1</c:v>
                </c:pt>
                <c:pt idx="183">
                  <c:v>0.5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0.5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0.5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98175"/>
        <c:axId val="1703783775"/>
      </c:scatterChart>
      <c:valAx>
        <c:axId val="170377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valAx>
        <c:axId val="1703783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98175"/>
        <c:crosses val="max"/>
        <c:crossBetween val="midCat"/>
      </c:valAx>
      <c:valAx>
        <c:axId val="170379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37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5</xdr:row>
      <xdr:rowOff>38100</xdr:rowOff>
    </xdr:from>
    <xdr:to>
      <xdr:col>16</xdr:col>
      <xdr:colOff>558600</xdr:colOff>
      <xdr:row>17</xdr:row>
      <xdr:rowOff>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328612</xdr:colOff>
      <xdr:row>1</xdr:row>
      <xdr:rowOff>95250</xdr:rowOff>
    </xdr:from>
    <xdr:to>
      <xdr:col>38</xdr:col>
      <xdr:colOff>23812</xdr:colOff>
      <xdr:row>15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47625</xdr:rowOff>
        </xdr:from>
        <xdr:to>
          <xdr:col>14</xdr:col>
          <xdr:colOff>123825</xdr:colOff>
          <xdr:row>21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219075</xdr:colOff>
      <xdr:row>5</xdr:row>
      <xdr:rowOff>0</xdr:rowOff>
    </xdr:from>
    <xdr:to>
      <xdr:col>15</xdr:col>
      <xdr:colOff>120675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38950" y="37242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6838950" y="37242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001125" y="4019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2977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5</xdr:row>
      <xdr:rowOff>0</xdr:rowOff>
    </xdr:from>
    <xdr:to>
      <xdr:col>16</xdr:col>
      <xdr:colOff>549075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15</xdr:col>
      <xdr:colOff>302400</xdr:colOff>
      <xdr:row>17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219075</xdr:colOff>
      <xdr:row>6</xdr:row>
      <xdr:rowOff>0</xdr:rowOff>
    </xdr:from>
    <xdr:to>
      <xdr:col>21</xdr:col>
      <xdr:colOff>521475</xdr:colOff>
      <xdr:row>17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2</xdr:row>
      <xdr:rowOff>152400</xdr:rowOff>
    </xdr:from>
    <xdr:to>
      <xdr:col>15</xdr:col>
      <xdr:colOff>502425</xdr:colOff>
      <xdr:row>14</xdr:row>
      <xdr:rowOff>26400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15</xdr:col>
      <xdr:colOff>302400</xdr:colOff>
      <xdr:row>26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28</xdr:col>
      <xdr:colOff>52800</xdr:colOff>
      <xdr:row>13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0</xdr:rowOff>
    </xdr:from>
    <xdr:to>
      <xdr:col>28</xdr:col>
      <xdr:colOff>52800</xdr:colOff>
      <xdr:row>24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0</xdr:colOff>
      <xdr:row>2</xdr:row>
      <xdr:rowOff>0</xdr:rowOff>
    </xdr:from>
    <xdr:to>
      <xdr:col>44</xdr:col>
      <xdr:colOff>482400</xdr:colOff>
      <xdr:row>13</xdr:row>
      <xdr:rowOff>64500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9525</xdr:colOff>
      <xdr:row>13</xdr:row>
      <xdr:rowOff>85725</xdr:rowOff>
    </xdr:from>
    <xdr:to>
      <xdr:col>44</xdr:col>
      <xdr:colOff>491925</xdr:colOff>
      <xdr:row>24</xdr:row>
      <xdr:rowOff>150225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EB90-1DCD-4F83-902E-4B746ADCC875}">
  <sheetPr codeName="Sheet8">
    <tabColor rgb="FFFFFF00"/>
  </sheetPr>
  <dimension ref="B1:AD25"/>
  <sheetViews>
    <sheetView topLeftCell="B1" workbookViewId="0">
      <selection activeCell="B3" sqref="B3"/>
    </sheetView>
  </sheetViews>
  <sheetFormatPr defaultRowHeight="15" x14ac:dyDescent="0.25"/>
  <cols>
    <col min="2" max="10" width="3.42578125" customWidth="1"/>
  </cols>
  <sheetData>
    <row r="1" spans="2:30" x14ac:dyDescent="0.25">
      <c r="U1" t="s">
        <v>35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36</v>
      </c>
    </row>
    <row r="2" spans="2:30" x14ac:dyDescent="0.25">
      <c r="K2" s="12" t="s">
        <v>19</v>
      </c>
      <c r="L2" s="16" t="s">
        <v>21</v>
      </c>
      <c r="M2" s="2"/>
      <c r="N2" s="2"/>
      <c r="O2" s="2"/>
      <c r="P2" s="2"/>
      <c r="Q2" s="2"/>
    </row>
    <row r="3" spans="2:30" x14ac:dyDescent="0.25">
      <c r="B3" t="s">
        <v>0</v>
      </c>
      <c r="E3" t="s">
        <v>16</v>
      </c>
      <c r="H3" t="s">
        <v>17</v>
      </c>
      <c r="K3" s="12" t="s">
        <v>3</v>
      </c>
      <c r="L3" s="16">
        <v>30</v>
      </c>
      <c r="M3" s="13" t="s">
        <v>4</v>
      </c>
      <c r="N3" s="2"/>
      <c r="O3" s="2"/>
      <c r="P3" s="2"/>
      <c r="Q3" s="2"/>
    </row>
    <row r="4" spans="2:30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30" x14ac:dyDescent="0.25">
      <c r="B5">
        <v>0</v>
      </c>
      <c r="C5" s="1">
        <v>0</v>
      </c>
      <c r="E5" s="1">
        <v>30</v>
      </c>
      <c r="F5">
        <v>10</v>
      </c>
      <c r="H5">
        <v>15</v>
      </c>
      <c r="I5">
        <v>30</v>
      </c>
      <c r="K5" s="3" t="s">
        <v>38</v>
      </c>
      <c r="L5" s="4"/>
      <c r="M5" s="4"/>
      <c r="N5" s="4"/>
      <c r="O5" s="4"/>
      <c r="P5" s="4"/>
      <c r="Q5" s="5"/>
    </row>
    <row r="6" spans="2:30" x14ac:dyDescent="0.25">
      <c r="B6">
        <f>B5-4</f>
        <v>-4</v>
      </c>
      <c r="C6">
        <f>C5+8</f>
        <v>8</v>
      </c>
      <c r="E6">
        <f>E$5+10</f>
        <v>40</v>
      </c>
      <c r="F6">
        <f>$F$5</f>
        <v>10</v>
      </c>
      <c r="K6" s="6"/>
      <c r="L6" s="7"/>
      <c r="M6" s="7"/>
      <c r="N6" s="7"/>
      <c r="O6" s="7"/>
      <c r="P6" s="7"/>
      <c r="Q6" s="8"/>
    </row>
    <row r="7" spans="2:30" x14ac:dyDescent="0.25">
      <c r="B7">
        <f>B5</f>
        <v>0</v>
      </c>
      <c r="C7">
        <f>C6+8</f>
        <v>16</v>
      </c>
      <c r="E7">
        <f>E$5+12</f>
        <v>42</v>
      </c>
      <c r="F7">
        <v>0</v>
      </c>
      <c r="K7" s="6"/>
      <c r="L7" s="7"/>
      <c r="M7" s="7"/>
      <c r="N7" s="7"/>
      <c r="O7" s="7"/>
      <c r="P7" s="7"/>
      <c r="Q7" s="8"/>
    </row>
    <row r="8" spans="2:30" x14ac:dyDescent="0.25">
      <c r="B8">
        <f>B7+4</f>
        <v>4</v>
      </c>
      <c r="C8">
        <f>C6</f>
        <v>8</v>
      </c>
      <c r="E8">
        <f>E$5-2</f>
        <v>28</v>
      </c>
      <c r="F8">
        <v>0</v>
      </c>
      <c r="K8" s="6"/>
      <c r="L8" s="7"/>
      <c r="M8" s="7"/>
      <c r="N8" s="7"/>
      <c r="O8" s="7"/>
      <c r="P8" s="7"/>
      <c r="Q8" s="8"/>
    </row>
    <row r="9" spans="2:30" x14ac:dyDescent="0.25">
      <c r="B9">
        <f>B5</f>
        <v>0</v>
      </c>
      <c r="C9">
        <f>C5</f>
        <v>0</v>
      </c>
      <c r="E9">
        <f>E$5</f>
        <v>30</v>
      </c>
      <c r="F9">
        <f>$F$5</f>
        <v>10</v>
      </c>
      <c r="K9" s="6"/>
      <c r="L9" s="7"/>
      <c r="M9" s="7"/>
      <c r="N9" s="7"/>
      <c r="O9" s="7"/>
      <c r="P9" s="7"/>
      <c r="Q9" s="8"/>
    </row>
    <row r="10" spans="2:30" x14ac:dyDescent="0.25">
      <c r="K10" s="6"/>
      <c r="L10" s="7"/>
      <c r="M10" s="7"/>
      <c r="N10" s="7"/>
      <c r="O10" s="7"/>
      <c r="P10" s="7"/>
      <c r="Q10" s="8"/>
    </row>
    <row r="11" spans="2:30" x14ac:dyDescent="0.25">
      <c r="K11" s="6"/>
      <c r="L11" s="7"/>
      <c r="M11" s="7"/>
      <c r="N11" s="7"/>
      <c r="O11" s="7"/>
      <c r="P11" s="7"/>
      <c r="Q11" s="8"/>
    </row>
    <row r="12" spans="2:30" x14ac:dyDescent="0.25">
      <c r="B12">
        <v>0</v>
      </c>
      <c r="C12">
        <f>C5+8</f>
        <v>8</v>
      </c>
      <c r="D12" t="s">
        <v>18</v>
      </c>
      <c r="E12">
        <f>$E$5+5</f>
        <v>35</v>
      </c>
      <c r="F12">
        <v>5</v>
      </c>
      <c r="G12" t="s">
        <v>16</v>
      </c>
      <c r="K12" s="6"/>
      <c r="L12" s="7"/>
      <c r="M12" s="7"/>
      <c r="N12" s="7"/>
      <c r="O12" s="7"/>
      <c r="P12" s="7"/>
      <c r="Q12" s="8"/>
    </row>
    <row r="13" spans="2:30" x14ac:dyDescent="0.25">
      <c r="K13" s="6"/>
      <c r="L13" s="7"/>
      <c r="M13" s="7"/>
      <c r="N13" s="7"/>
      <c r="O13" s="7"/>
      <c r="P13" s="7"/>
      <c r="Q13" s="8"/>
    </row>
    <row r="14" spans="2:30" x14ac:dyDescent="0.25">
      <c r="K14" s="6"/>
      <c r="L14" s="7"/>
      <c r="M14" s="7"/>
      <c r="N14" s="7"/>
      <c r="O14" s="7"/>
      <c r="P14" s="7"/>
      <c r="Q14" s="8"/>
    </row>
    <row r="15" spans="2:30" x14ac:dyDescent="0.25">
      <c r="K15" s="6"/>
      <c r="L15" s="7"/>
      <c r="M15" s="7"/>
      <c r="N15" s="7"/>
      <c r="O15" s="7"/>
      <c r="P15" s="7"/>
      <c r="Q15" s="8"/>
    </row>
    <row r="16" spans="2:30" x14ac:dyDescent="0.25">
      <c r="K16" s="6"/>
      <c r="L16" s="7"/>
      <c r="M16" s="7"/>
      <c r="N16" s="7"/>
      <c r="O16" s="7"/>
      <c r="P16" s="7"/>
      <c r="Q16" s="8"/>
    </row>
    <row r="17" spans="11:17" x14ac:dyDescent="0.25">
      <c r="K17" s="6"/>
      <c r="L17" s="7"/>
      <c r="M17" s="7"/>
      <c r="N17" s="7"/>
      <c r="O17" s="7"/>
      <c r="P17" s="7"/>
      <c r="Q17" s="8"/>
    </row>
    <row r="18" spans="11:17" x14ac:dyDescent="0.25">
      <c r="K18" s="6"/>
      <c r="L18" s="7"/>
      <c r="M18" s="7"/>
      <c r="N18" s="7"/>
      <c r="O18" s="7"/>
      <c r="P18" s="7"/>
      <c r="Q18" s="8"/>
    </row>
    <row r="19" spans="11:17" x14ac:dyDescent="0.25">
      <c r="K19" s="6"/>
      <c r="L19" s="7"/>
      <c r="M19" s="7"/>
      <c r="N19" s="7"/>
      <c r="O19" s="7"/>
      <c r="P19" s="7"/>
      <c r="Q19" s="8"/>
    </row>
    <row r="20" spans="11:17" x14ac:dyDescent="0.25">
      <c r="K20" s="6"/>
      <c r="L20" s="7"/>
      <c r="M20" s="7"/>
      <c r="N20" s="7"/>
      <c r="O20" s="7"/>
      <c r="P20" s="7"/>
      <c r="Q20" s="8"/>
    </row>
    <row r="21" spans="11:17" x14ac:dyDescent="0.25">
      <c r="K21" s="6"/>
      <c r="L21" s="7"/>
      <c r="M21" s="7"/>
      <c r="N21" s="7"/>
      <c r="O21" s="7"/>
      <c r="P21" s="7"/>
      <c r="Q21" s="8"/>
    </row>
    <row r="22" spans="11:17" x14ac:dyDescent="0.25">
      <c r="K22" s="6"/>
      <c r="L22" s="7"/>
      <c r="M22" s="7"/>
      <c r="N22" s="7"/>
      <c r="O22" s="7"/>
      <c r="P22" s="7"/>
      <c r="Q22" s="8"/>
    </row>
    <row r="23" spans="11:17" x14ac:dyDescent="0.25">
      <c r="K23" s="6"/>
      <c r="L23" s="7"/>
      <c r="M23" s="7"/>
      <c r="N23" s="7"/>
      <c r="O23" s="7"/>
      <c r="P23" s="7"/>
      <c r="Q23" s="8"/>
    </row>
    <row r="24" spans="11:17" x14ac:dyDescent="0.25">
      <c r="K24" s="6"/>
      <c r="L24" s="7"/>
      <c r="M24" s="7"/>
      <c r="N24" s="7"/>
      <c r="O24" s="7"/>
      <c r="P24" s="7"/>
      <c r="Q24" s="8"/>
    </row>
    <row r="25" spans="11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28D0302-D0FD-4F15-B59C-3373CE7EF431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47625</xdr:rowOff>
                  </from>
                  <to>
                    <xdr:col>14</xdr:col>
                    <xdr:colOff>123825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ED7C-F1D2-4530-9248-1E307884DE02}">
  <sheetPr codeName="Sheet1">
    <tabColor rgb="FFFFFF00"/>
  </sheetPr>
  <dimension ref="B2:Q25"/>
  <sheetViews>
    <sheetView workbookViewId="0">
      <selection activeCell="L4" sqref="L4"/>
    </sheetView>
  </sheetViews>
  <sheetFormatPr defaultRowHeight="15" x14ac:dyDescent="0.25"/>
  <cols>
    <col min="2" max="10" width="3.42578125" customWidth="1"/>
  </cols>
  <sheetData>
    <row r="2" spans="2:17" x14ac:dyDescent="0.25">
      <c r="K2" s="12" t="s">
        <v>19</v>
      </c>
      <c r="L2" s="16" t="s">
        <v>9</v>
      </c>
      <c r="M2" s="2"/>
      <c r="N2" s="2"/>
      <c r="O2" s="2"/>
      <c r="P2" s="2"/>
      <c r="Q2" s="2"/>
    </row>
    <row r="3" spans="2:17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17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17" x14ac:dyDescent="0.25">
      <c r="B5" s="1">
        <v>7</v>
      </c>
      <c r="C5" s="1">
        <v>1</v>
      </c>
      <c r="D5" t="s">
        <v>18</v>
      </c>
      <c r="E5">
        <v>1</v>
      </c>
      <c r="F5">
        <v>5</v>
      </c>
      <c r="H5">
        <v>7</v>
      </c>
      <c r="I5">
        <v>1</v>
      </c>
      <c r="J5" t="s">
        <v>41</v>
      </c>
      <c r="K5" s="3" t="s">
        <v>38</v>
      </c>
      <c r="L5" s="4"/>
      <c r="M5" s="49" t="s">
        <v>61</v>
      </c>
      <c r="N5" s="50"/>
      <c r="O5" s="50"/>
      <c r="P5" s="4"/>
      <c r="Q5" s="5"/>
    </row>
    <row r="6" spans="2:17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</row>
    <row r="7" spans="2:17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</row>
    <row r="8" spans="2:17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17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17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</row>
    <row r="11" spans="2:17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</row>
    <row r="12" spans="2:17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</row>
    <row r="13" spans="2:17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</row>
    <row r="14" spans="2:17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17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17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K20" s="6"/>
      <c r="L20" s="7"/>
      <c r="M20" s="7"/>
      <c r="N20" s="7"/>
      <c r="O20" s="7"/>
      <c r="P20" s="7"/>
      <c r="Q20" s="8"/>
    </row>
    <row r="21" spans="5:17" x14ac:dyDescent="0.25">
      <c r="K21" s="6"/>
      <c r="L21" s="7"/>
      <c r="M21" s="7"/>
      <c r="N21" s="7"/>
      <c r="O21" s="7"/>
      <c r="P21" s="7"/>
      <c r="Q21" s="8"/>
    </row>
    <row r="22" spans="5:17" x14ac:dyDescent="0.25">
      <c r="K22" s="6"/>
      <c r="L22" s="7"/>
      <c r="M22" s="7"/>
      <c r="N22" s="7"/>
      <c r="O22" s="7"/>
      <c r="P22" s="7"/>
      <c r="Q22" s="8"/>
    </row>
    <row r="23" spans="5:17" x14ac:dyDescent="0.25">
      <c r="K23" s="6"/>
      <c r="L23" s="7"/>
      <c r="M23" s="7"/>
      <c r="N23" s="7"/>
      <c r="O23" s="7"/>
      <c r="P23" s="7"/>
      <c r="Q23" s="8"/>
    </row>
    <row r="24" spans="5:17" x14ac:dyDescent="0.25">
      <c r="K24" s="6"/>
      <c r="L24" s="7"/>
      <c r="M24" s="7"/>
      <c r="N24" s="7"/>
      <c r="O24" s="7"/>
      <c r="P24" s="7"/>
      <c r="Q24" s="8"/>
    </row>
    <row r="25" spans="5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BE1D0A3-074D-46EE-AB76-01D49BB338D5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F5AD-59FC-4B82-BDBE-FBE01B58E86E}">
  <sheetPr codeName="Sheet12">
    <tabColor rgb="FFFFFF00"/>
  </sheetPr>
  <dimension ref="B2:Y31"/>
  <sheetViews>
    <sheetView tabSelected="1" workbookViewId="0">
      <selection activeCell="B5" sqref="B5"/>
    </sheetView>
  </sheetViews>
  <sheetFormatPr defaultRowHeight="15" x14ac:dyDescent="0.25"/>
  <cols>
    <col min="2" max="10" width="3.42578125" customWidth="1"/>
    <col min="23" max="23" width="9.140625" customWidth="1"/>
  </cols>
  <sheetData>
    <row r="2" spans="2:25" x14ac:dyDescent="0.25">
      <c r="K2" s="12" t="s">
        <v>19</v>
      </c>
      <c r="L2" s="16" t="s">
        <v>40</v>
      </c>
      <c r="M2" s="2"/>
      <c r="N2" s="2"/>
      <c r="O2" s="2"/>
      <c r="P2" s="2"/>
      <c r="Q2" s="2"/>
    </row>
    <row r="3" spans="2:25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25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  <c r="W4">
        <v>-1</v>
      </c>
      <c r="X4">
        <v>0</v>
      </c>
      <c r="Y4">
        <v>1</v>
      </c>
    </row>
    <row r="5" spans="2:25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13</v>
      </c>
      <c r="I5">
        <v>6</v>
      </c>
      <c r="J5" t="s">
        <v>41</v>
      </c>
      <c r="K5" s="3" t="s">
        <v>38</v>
      </c>
      <c r="L5" s="4"/>
      <c r="M5" s="49"/>
      <c r="N5" s="50"/>
      <c r="O5" s="50"/>
      <c r="P5" s="4"/>
      <c r="Q5" s="5"/>
      <c r="V5">
        <v>1</v>
      </c>
      <c r="W5">
        <v>10</v>
      </c>
      <c r="X5">
        <v>11</v>
      </c>
      <c r="Y5">
        <v>12</v>
      </c>
    </row>
    <row r="6" spans="2:25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  <c r="V6">
        <v>0</v>
      </c>
      <c r="W6">
        <v>8</v>
      </c>
      <c r="Y6">
        <v>9</v>
      </c>
    </row>
    <row r="7" spans="2:25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  <c r="V7">
        <v>-1</v>
      </c>
      <c r="W7">
        <v>5</v>
      </c>
      <c r="X7">
        <v>6</v>
      </c>
      <c r="Y7">
        <v>7</v>
      </c>
    </row>
    <row r="8" spans="2:25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25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25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  <c r="W10">
        <v>-1</v>
      </c>
      <c r="X10">
        <v>0</v>
      </c>
      <c r="Y10">
        <v>1</v>
      </c>
    </row>
    <row r="11" spans="2:25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  <c r="V11">
        <v>1</v>
      </c>
      <c r="W11">
        <v>18</v>
      </c>
      <c r="X11">
        <v>19</v>
      </c>
      <c r="Y11">
        <v>20</v>
      </c>
    </row>
    <row r="12" spans="2:25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  <c r="V12">
        <v>0</v>
      </c>
      <c r="W12">
        <v>16</v>
      </c>
      <c r="Y12">
        <v>17</v>
      </c>
    </row>
    <row r="13" spans="2:25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  <c r="V13">
        <v>-1</v>
      </c>
      <c r="W13">
        <v>13</v>
      </c>
      <c r="X13">
        <v>14</v>
      </c>
      <c r="Y13">
        <v>15</v>
      </c>
    </row>
    <row r="14" spans="2:25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25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25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E20">
        <v>7</v>
      </c>
      <c r="F20">
        <v>7</v>
      </c>
      <c r="K20" s="6"/>
      <c r="L20" s="7"/>
      <c r="M20" s="7"/>
      <c r="N20" s="7"/>
      <c r="O20" s="7"/>
      <c r="P20" s="7"/>
      <c r="Q20" s="8"/>
    </row>
    <row r="21" spans="5:17" x14ac:dyDescent="0.25">
      <c r="E21">
        <v>8</v>
      </c>
      <c r="F21">
        <v>2</v>
      </c>
      <c r="K21" s="6"/>
      <c r="L21" s="7"/>
      <c r="M21" s="7"/>
      <c r="N21" s="7"/>
      <c r="O21" s="7"/>
      <c r="P21" s="7"/>
      <c r="Q21" s="8"/>
    </row>
    <row r="22" spans="5:17" x14ac:dyDescent="0.25">
      <c r="E22">
        <v>9</v>
      </c>
      <c r="F22">
        <v>2</v>
      </c>
      <c r="K22" s="6"/>
      <c r="L22" s="7"/>
      <c r="M22" s="7"/>
      <c r="N22" s="7"/>
      <c r="O22" s="7"/>
      <c r="P22" s="7"/>
      <c r="Q22" s="8"/>
    </row>
    <row r="23" spans="5:17" x14ac:dyDescent="0.25">
      <c r="E23">
        <v>10</v>
      </c>
      <c r="F23">
        <v>2</v>
      </c>
      <c r="K23" s="6"/>
      <c r="L23" s="7"/>
      <c r="M23" s="7"/>
      <c r="N23" s="7"/>
      <c r="O23" s="7"/>
      <c r="P23" s="7"/>
      <c r="Q23" s="8"/>
    </row>
    <row r="24" spans="5:17" x14ac:dyDescent="0.25">
      <c r="E24">
        <v>11</v>
      </c>
      <c r="F24">
        <v>2</v>
      </c>
      <c r="K24" s="6"/>
      <c r="L24" s="7"/>
      <c r="M24" s="7"/>
      <c r="N24" s="7"/>
      <c r="O24" s="7"/>
      <c r="P24" s="7"/>
      <c r="Q24" s="8"/>
    </row>
    <row r="25" spans="5:17" x14ac:dyDescent="0.25">
      <c r="E25">
        <v>12</v>
      </c>
      <c r="F25">
        <v>2</v>
      </c>
      <c r="K25" s="9"/>
      <c r="L25" s="10"/>
      <c r="M25" s="10"/>
      <c r="N25" s="10"/>
      <c r="O25" s="10"/>
      <c r="P25" s="10"/>
      <c r="Q25" s="11"/>
    </row>
    <row r="26" spans="5:17" x14ac:dyDescent="0.25">
      <c r="E26">
        <v>13</v>
      </c>
      <c r="F26">
        <v>2</v>
      </c>
    </row>
    <row r="27" spans="5:17" x14ac:dyDescent="0.25">
      <c r="E27">
        <v>9</v>
      </c>
      <c r="F27">
        <v>5</v>
      </c>
    </row>
    <row r="28" spans="5:17" x14ac:dyDescent="0.25">
      <c r="E28">
        <v>10</v>
      </c>
      <c r="F28">
        <v>5</v>
      </c>
    </row>
    <row r="29" spans="5:17" x14ac:dyDescent="0.25">
      <c r="E29">
        <v>11</v>
      </c>
      <c r="F29">
        <v>5</v>
      </c>
    </row>
    <row r="30" spans="5:17" x14ac:dyDescent="0.25">
      <c r="E30">
        <v>12</v>
      </c>
      <c r="F30">
        <v>5</v>
      </c>
    </row>
    <row r="31" spans="5:17" x14ac:dyDescent="0.25">
      <c r="E31">
        <v>13</v>
      </c>
      <c r="F31">
        <v>5</v>
      </c>
    </row>
  </sheetData>
  <dataValidations count="1">
    <dataValidation type="list" allowBlank="1" showInputMessage="1" showErrorMessage="1" sqref="L4" xr:uid="{8F63F489-F9E9-4CAA-9A4F-8A5074CDA36B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272D-4E35-4D91-B186-EE1A06BCAB60}">
  <sheetPr codeName="Sheet17"/>
  <dimension ref="A4:H5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3" sqref="C13"/>
    </sheetView>
  </sheetViews>
  <sheetFormatPr defaultRowHeight="15" x14ac:dyDescent="0.25"/>
  <sheetData>
    <row r="4" spans="1:8" x14ac:dyDescent="0.25">
      <c r="B4" t="s">
        <v>13</v>
      </c>
      <c r="C4" t="s">
        <v>14</v>
      </c>
      <c r="D4" t="s">
        <v>15</v>
      </c>
      <c r="F4" t="s">
        <v>13</v>
      </c>
      <c r="G4" t="s">
        <v>14</v>
      </c>
      <c r="H4" t="s">
        <v>15</v>
      </c>
    </row>
    <row r="5" spans="1:8" x14ac:dyDescent="0.25">
      <c r="A5" t="s">
        <v>12</v>
      </c>
      <c r="B5" t="s">
        <v>43</v>
      </c>
      <c r="C5" t="s">
        <v>43</v>
      </c>
      <c r="D5" t="s">
        <v>43</v>
      </c>
      <c r="F5" t="s">
        <v>42</v>
      </c>
      <c r="G5" t="s">
        <v>42</v>
      </c>
      <c r="H5" t="s">
        <v>42</v>
      </c>
    </row>
    <row r="6" spans="1:8" x14ac:dyDescent="0.25">
      <c r="A6">
        <v>1</v>
      </c>
      <c r="B6">
        <v>-72.997000000000071</v>
      </c>
      <c r="C6">
        <v>109</v>
      </c>
      <c r="D6">
        <v>0</v>
      </c>
      <c r="F6">
        <v>-71.258000000000052</v>
      </c>
      <c r="G6">
        <v>109</v>
      </c>
      <c r="H6">
        <v>0</v>
      </c>
    </row>
    <row r="7" spans="1:8" x14ac:dyDescent="0.25">
      <c r="A7">
        <v>2</v>
      </c>
      <c r="B7">
        <v>-57.000999999999941</v>
      </c>
      <c r="C7">
        <v>109</v>
      </c>
      <c r="D7">
        <v>0</v>
      </c>
      <c r="F7">
        <v>-57.991999999999962</v>
      </c>
      <c r="G7">
        <v>109</v>
      </c>
      <c r="H7">
        <v>0</v>
      </c>
    </row>
    <row r="8" spans="1:8" x14ac:dyDescent="0.25">
      <c r="A8">
        <v>3</v>
      </c>
      <c r="B8">
        <v>-48.777999999999935</v>
      </c>
      <c r="C8">
        <v>109</v>
      </c>
      <c r="D8">
        <v>0</v>
      </c>
      <c r="F8">
        <v>-45.920999999999943</v>
      </c>
      <c r="G8">
        <v>109</v>
      </c>
      <c r="H8">
        <v>0</v>
      </c>
    </row>
    <row r="9" spans="1:8" x14ac:dyDescent="0.25">
      <c r="A9">
        <v>4</v>
      </c>
      <c r="B9">
        <v>-36.893999999999934</v>
      </c>
      <c r="C9">
        <v>109</v>
      </c>
      <c r="D9">
        <v>0</v>
      </c>
      <c r="F9">
        <v>-35.180999999999948</v>
      </c>
      <c r="G9">
        <v>109</v>
      </c>
      <c r="H9">
        <v>0</v>
      </c>
    </row>
    <row r="10" spans="1:8" x14ac:dyDescent="0.25">
      <c r="A10">
        <v>5</v>
      </c>
      <c r="B10">
        <v>-28.066999999999947</v>
      </c>
      <c r="C10">
        <v>109</v>
      </c>
      <c r="D10">
        <v>0</v>
      </c>
      <c r="F10">
        <v>-23.431999999999952</v>
      </c>
      <c r="G10">
        <v>109</v>
      </c>
      <c r="H10">
        <v>0</v>
      </c>
    </row>
    <row r="11" spans="1:8" x14ac:dyDescent="0.25">
      <c r="A11">
        <v>6</v>
      </c>
      <c r="B11">
        <v>-19.472999999999971</v>
      </c>
      <c r="C11">
        <v>109</v>
      </c>
      <c r="D11">
        <v>0</v>
      </c>
      <c r="F11">
        <v>-9.9979999999999869</v>
      </c>
      <c r="G11">
        <v>108.32</v>
      </c>
      <c r="H11">
        <v>0.02</v>
      </c>
    </row>
    <row r="12" spans="1:8" x14ac:dyDescent="0.25">
      <c r="A12">
        <v>7</v>
      </c>
      <c r="B12">
        <v>-10.707999999999988</v>
      </c>
      <c r="C12">
        <v>109</v>
      </c>
      <c r="D12">
        <v>0</v>
      </c>
      <c r="F12">
        <v>-1.0161999999999802</v>
      </c>
      <c r="G12">
        <v>106.94</v>
      </c>
      <c r="H12">
        <v>0.06</v>
      </c>
    </row>
    <row r="13" spans="1:8" x14ac:dyDescent="0.25">
      <c r="A13">
        <v>8</v>
      </c>
      <c r="B13">
        <v>-7.9189999999999916</v>
      </c>
      <c r="C13">
        <v>109</v>
      </c>
      <c r="D13">
        <v>0</v>
      </c>
      <c r="F13">
        <v>4.5876000000000428</v>
      </c>
      <c r="G13">
        <v>106.04</v>
      </c>
      <c r="H13">
        <v>0.08</v>
      </c>
    </row>
    <row r="14" spans="1:8" x14ac:dyDescent="0.25">
      <c r="A14">
        <v>9</v>
      </c>
      <c r="B14">
        <v>-6.8579999999999934</v>
      </c>
      <c r="C14">
        <v>109</v>
      </c>
      <c r="D14">
        <v>0</v>
      </c>
      <c r="F14">
        <v>29.94800000000005</v>
      </c>
      <c r="G14">
        <v>90.64</v>
      </c>
      <c r="H14">
        <v>0.44</v>
      </c>
    </row>
    <row r="15" spans="1:8" x14ac:dyDescent="0.25">
      <c r="A15">
        <v>10</v>
      </c>
      <c r="B15">
        <v>-6.4549999999999832</v>
      </c>
      <c r="C15">
        <v>109</v>
      </c>
      <c r="D15">
        <v>0</v>
      </c>
      <c r="F15">
        <v>38.705200000000055</v>
      </c>
      <c r="G15">
        <v>87.6</v>
      </c>
      <c r="H15">
        <v>0.57999999999999996</v>
      </c>
    </row>
    <row r="16" spans="1:8" x14ac:dyDescent="0.25">
      <c r="A16">
        <v>11</v>
      </c>
      <c r="B16">
        <v>-6.3249999999999762</v>
      </c>
      <c r="C16">
        <v>109</v>
      </c>
      <c r="D16">
        <v>0</v>
      </c>
      <c r="F16">
        <v>54.173800000000028</v>
      </c>
      <c r="G16">
        <v>75.599999999999994</v>
      </c>
      <c r="H16">
        <v>0.82</v>
      </c>
    </row>
    <row r="17" spans="1:8" x14ac:dyDescent="0.25">
      <c r="A17">
        <v>12</v>
      </c>
      <c r="B17">
        <v>-6.3689999999999714</v>
      </c>
      <c r="C17">
        <v>109</v>
      </c>
      <c r="D17">
        <v>0</v>
      </c>
      <c r="F17">
        <v>57.382000000000026</v>
      </c>
      <c r="G17">
        <v>66.36</v>
      </c>
      <c r="H17">
        <v>0.86</v>
      </c>
    </row>
    <row r="18" spans="1:8" x14ac:dyDescent="0.25">
      <c r="A18">
        <v>13</v>
      </c>
      <c r="B18">
        <v>-5.8519999999999675</v>
      </c>
      <c r="C18">
        <v>109</v>
      </c>
      <c r="D18">
        <v>0</v>
      </c>
      <c r="F18">
        <v>60.468600000000016</v>
      </c>
      <c r="G18">
        <v>57.88</v>
      </c>
      <c r="H18">
        <v>0.92</v>
      </c>
    </row>
    <row r="19" spans="1:8" x14ac:dyDescent="0.25">
      <c r="A19">
        <v>14</v>
      </c>
      <c r="B19">
        <v>-5.2649999999999659</v>
      </c>
      <c r="C19">
        <v>109</v>
      </c>
      <c r="D19">
        <v>0</v>
      </c>
      <c r="F19">
        <v>67.551000000000002</v>
      </c>
      <c r="G19">
        <v>47.7</v>
      </c>
      <c r="H19">
        <v>1</v>
      </c>
    </row>
    <row r="20" spans="1:8" x14ac:dyDescent="0.25">
      <c r="A20">
        <v>15</v>
      </c>
      <c r="B20">
        <v>-5.0049999999999644</v>
      </c>
      <c r="C20">
        <v>109</v>
      </c>
      <c r="D20">
        <v>0</v>
      </c>
      <c r="F20">
        <v>64.918000000000006</v>
      </c>
      <c r="G20">
        <v>43.38</v>
      </c>
      <c r="H20">
        <v>0.98</v>
      </c>
    </row>
    <row r="21" spans="1:8" x14ac:dyDescent="0.25">
      <c r="A21">
        <v>16</v>
      </c>
      <c r="B21">
        <v>-4.6579999999999622</v>
      </c>
      <c r="C21">
        <v>109</v>
      </c>
      <c r="D21">
        <v>0</v>
      </c>
      <c r="F21">
        <v>66.058199999999985</v>
      </c>
      <c r="G21">
        <v>38.520000000000003</v>
      </c>
      <c r="H21">
        <v>1</v>
      </c>
    </row>
    <row r="22" spans="1:8" x14ac:dyDescent="0.25">
      <c r="A22">
        <v>17</v>
      </c>
      <c r="B22">
        <v>-4.7179999999999618</v>
      </c>
      <c r="C22">
        <v>109</v>
      </c>
      <c r="D22">
        <v>0</v>
      </c>
      <c r="F22">
        <v>63.839999999999989</v>
      </c>
      <c r="G22">
        <v>39.08</v>
      </c>
      <c r="H22">
        <v>0.98</v>
      </c>
    </row>
    <row r="23" spans="1:8" x14ac:dyDescent="0.25">
      <c r="A23">
        <v>18</v>
      </c>
      <c r="B23">
        <v>-3.2019999999999591</v>
      </c>
      <c r="C23">
        <v>109</v>
      </c>
      <c r="D23">
        <v>0</v>
      </c>
      <c r="F23">
        <v>61.837399999999988</v>
      </c>
      <c r="G23">
        <v>39</v>
      </c>
      <c r="H23">
        <v>0.96</v>
      </c>
    </row>
    <row r="24" spans="1:8" x14ac:dyDescent="0.25">
      <c r="A24">
        <v>19</v>
      </c>
      <c r="B24">
        <v>-2.8549999999999573</v>
      </c>
      <c r="C24">
        <v>109</v>
      </c>
      <c r="D24">
        <v>0</v>
      </c>
      <c r="F24">
        <v>65.527600000000007</v>
      </c>
      <c r="G24">
        <v>37.56</v>
      </c>
      <c r="H24">
        <v>1</v>
      </c>
    </row>
    <row r="25" spans="1:8" x14ac:dyDescent="0.25">
      <c r="A25">
        <v>20</v>
      </c>
      <c r="B25">
        <v>-2.5849999999999569</v>
      </c>
      <c r="C25">
        <v>109</v>
      </c>
      <c r="D25">
        <v>0</v>
      </c>
      <c r="F25">
        <v>65.363599999999991</v>
      </c>
      <c r="G25">
        <v>36.159999999999997</v>
      </c>
      <c r="H25">
        <v>1</v>
      </c>
    </row>
    <row r="26" spans="1:8" x14ac:dyDescent="0.25">
      <c r="A26">
        <v>21</v>
      </c>
      <c r="B26">
        <v>-3.0799999999999579</v>
      </c>
      <c r="C26">
        <v>109</v>
      </c>
      <c r="D26">
        <v>0</v>
      </c>
      <c r="F26">
        <v>65.470399999999984</v>
      </c>
      <c r="G26">
        <v>35.74</v>
      </c>
      <c r="H26">
        <v>1</v>
      </c>
    </row>
    <row r="27" spans="1:8" x14ac:dyDescent="0.25">
      <c r="A27">
        <v>22</v>
      </c>
      <c r="B27">
        <v>-2.5419999999999567</v>
      </c>
      <c r="C27">
        <v>109</v>
      </c>
      <c r="D27">
        <v>0</v>
      </c>
      <c r="F27">
        <v>65.845199999999977</v>
      </c>
      <c r="G27">
        <v>36.72</v>
      </c>
      <c r="H27">
        <v>1</v>
      </c>
    </row>
    <row r="28" spans="1:8" x14ac:dyDescent="0.25">
      <c r="A28">
        <v>23</v>
      </c>
      <c r="B28">
        <v>-2.0459999999999554</v>
      </c>
      <c r="C28">
        <v>109</v>
      </c>
      <c r="D28">
        <v>0</v>
      </c>
    </row>
    <row r="29" spans="1:8" x14ac:dyDescent="0.25">
      <c r="A29">
        <v>24</v>
      </c>
      <c r="B29">
        <v>-2.4499999999999567</v>
      </c>
      <c r="C29">
        <v>109</v>
      </c>
      <c r="D29">
        <v>0</v>
      </c>
    </row>
    <row r="30" spans="1:8" x14ac:dyDescent="0.25">
      <c r="A30">
        <v>25</v>
      </c>
      <c r="B30">
        <v>-2.2099999999999556</v>
      </c>
      <c r="C30">
        <v>109</v>
      </c>
      <c r="D30">
        <v>0</v>
      </c>
    </row>
    <row r="31" spans="1:8" x14ac:dyDescent="0.25">
      <c r="A31">
        <v>26</v>
      </c>
      <c r="B31">
        <v>-2.1049999999999547</v>
      </c>
      <c r="C31">
        <v>109</v>
      </c>
      <c r="D31">
        <v>0</v>
      </c>
    </row>
    <row r="32" spans="1:8" x14ac:dyDescent="0.25">
      <c r="A32">
        <v>27</v>
      </c>
      <c r="B32">
        <v>-1.5059999999999525</v>
      </c>
      <c r="C32">
        <v>109</v>
      </c>
      <c r="D32">
        <v>0</v>
      </c>
    </row>
    <row r="33" spans="1:4" x14ac:dyDescent="0.25">
      <c r="A33">
        <v>28</v>
      </c>
      <c r="B33">
        <v>-1.7319999999999545</v>
      </c>
      <c r="C33">
        <v>109</v>
      </c>
      <c r="D33">
        <v>0</v>
      </c>
    </row>
    <row r="34" spans="1:4" x14ac:dyDescent="0.25">
      <c r="A34">
        <v>29</v>
      </c>
      <c r="B34">
        <v>-3.5149999999999593</v>
      </c>
      <c r="C34">
        <v>109</v>
      </c>
      <c r="D34">
        <v>0</v>
      </c>
    </row>
    <row r="35" spans="1:4" x14ac:dyDescent="0.25">
      <c r="A35">
        <v>30</v>
      </c>
      <c r="B35">
        <v>-3.7699999999999556</v>
      </c>
      <c r="C35">
        <v>109</v>
      </c>
      <c r="D35">
        <v>0</v>
      </c>
    </row>
    <row r="36" spans="1:4" x14ac:dyDescent="0.25">
      <c r="A36">
        <v>31</v>
      </c>
      <c r="B36">
        <v>-5.6749999999999625</v>
      </c>
      <c r="C36">
        <v>109</v>
      </c>
      <c r="D36">
        <v>0</v>
      </c>
    </row>
    <row r="37" spans="1:4" x14ac:dyDescent="0.25">
      <c r="A37">
        <v>32</v>
      </c>
      <c r="B37">
        <v>-4.7649999999999606</v>
      </c>
      <c r="C37">
        <v>109</v>
      </c>
      <c r="D37">
        <v>0</v>
      </c>
    </row>
    <row r="38" spans="1:4" x14ac:dyDescent="0.25">
      <c r="A38">
        <v>33</v>
      </c>
      <c r="B38">
        <v>-4.0879999999999583</v>
      </c>
      <c r="C38">
        <v>109</v>
      </c>
      <c r="D38">
        <v>0</v>
      </c>
    </row>
    <row r="39" spans="1:4" x14ac:dyDescent="0.25">
      <c r="A39">
        <v>34</v>
      </c>
      <c r="B39">
        <v>-5.5579999999999616</v>
      </c>
      <c r="C39">
        <v>109</v>
      </c>
      <c r="D39">
        <v>0</v>
      </c>
    </row>
    <row r="40" spans="1:4" x14ac:dyDescent="0.25">
      <c r="A40">
        <v>35</v>
      </c>
      <c r="B40">
        <v>-6.2769999999999619</v>
      </c>
      <c r="C40">
        <v>109</v>
      </c>
      <c r="D40">
        <v>0</v>
      </c>
    </row>
    <row r="41" spans="1:4" x14ac:dyDescent="0.25">
      <c r="A41">
        <v>36</v>
      </c>
      <c r="B41">
        <v>-2.824999999999954</v>
      </c>
      <c r="C41">
        <v>109</v>
      </c>
      <c r="D41">
        <v>0</v>
      </c>
    </row>
    <row r="42" spans="1:4" x14ac:dyDescent="0.25">
      <c r="A42">
        <v>37</v>
      </c>
      <c r="B42">
        <v>-5.1209999999999605</v>
      </c>
      <c r="C42">
        <v>109</v>
      </c>
      <c r="D42">
        <v>0</v>
      </c>
    </row>
    <row r="43" spans="1:4" x14ac:dyDescent="0.25">
      <c r="A43">
        <v>38</v>
      </c>
      <c r="B43">
        <v>-5.6459999999999608</v>
      </c>
      <c r="C43">
        <v>109</v>
      </c>
      <c r="D43">
        <v>0</v>
      </c>
    </row>
    <row r="44" spans="1:4" x14ac:dyDescent="0.25">
      <c r="A44">
        <v>39</v>
      </c>
      <c r="B44">
        <v>-1.9699999999999531</v>
      </c>
      <c r="C44">
        <v>109</v>
      </c>
      <c r="D44">
        <v>0</v>
      </c>
    </row>
    <row r="45" spans="1:4" x14ac:dyDescent="0.25">
      <c r="A45">
        <v>40</v>
      </c>
      <c r="B45">
        <v>-4.8959999999999608</v>
      </c>
      <c r="C45">
        <v>109</v>
      </c>
      <c r="D45">
        <v>0</v>
      </c>
    </row>
    <row r="46" spans="1:4" x14ac:dyDescent="0.25">
      <c r="A46">
        <v>41</v>
      </c>
      <c r="B46">
        <v>-2.9599999999999556</v>
      </c>
      <c r="C46">
        <v>109</v>
      </c>
      <c r="D46">
        <v>0</v>
      </c>
    </row>
    <row r="47" spans="1:4" x14ac:dyDescent="0.25">
      <c r="A47">
        <v>42</v>
      </c>
      <c r="B47">
        <v>-1.9999999999999531</v>
      </c>
      <c r="C47">
        <v>109</v>
      </c>
      <c r="D47">
        <v>0</v>
      </c>
    </row>
    <row r="48" spans="1:4" x14ac:dyDescent="0.25">
      <c r="A48">
        <v>43</v>
      </c>
      <c r="B48">
        <v>-3.5449999999999564</v>
      </c>
      <c r="C48">
        <v>109</v>
      </c>
      <c r="D48">
        <v>0</v>
      </c>
    </row>
    <row r="49" spans="1:4" x14ac:dyDescent="0.25">
      <c r="A49">
        <v>44</v>
      </c>
      <c r="B49">
        <v>-3.4549999999999561</v>
      </c>
      <c r="C49">
        <v>109</v>
      </c>
      <c r="D49">
        <v>0</v>
      </c>
    </row>
    <row r="50" spans="1:4" x14ac:dyDescent="0.25">
      <c r="A50">
        <v>45</v>
      </c>
      <c r="B50">
        <v>-2.2399999999999536</v>
      </c>
      <c r="C50">
        <v>109</v>
      </c>
      <c r="D50">
        <v>0</v>
      </c>
    </row>
    <row r="51" spans="1:4" x14ac:dyDescent="0.25">
      <c r="A51">
        <v>46</v>
      </c>
      <c r="B51">
        <v>-1.3709999999999505</v>
      </c>
      <c r="C51">
        <v>109</v>
      </c>
      <c r="D51">
        <v>0</v>
      </c>
    </row>
    <row r="52" spans="1:4" x14ac:dyDescent="0.25">
      <c r="A52">
        <v>47</v>
      </c>
      <c r="B52">
        <v>0.74500000000005562</v>
      </c>
      <c r="C52">
        <v>109</v>
      </c>
      <c r="D52">
        <v>0</v>
      </c>
    </row>
    <row r="53" spans="1:4" x14ac:dyDescent="0.25">
      <c r="A53">
        <v>48</v>
      </c>
      <c r="B53">
        <v>0.52000000000005409</v>
      </c>
      <c r="C53">
        <v>109</v>
      </c>
      <c r="D53">
        <v>0</v>
      </c>
    </row>
    <row r="54" spans="1:4" x14ac:dyDescent="0.25">
      <c r="A54">
        <v>49</v>
      </c>
      <c r="B54">
        <v>-1.1599999999999511</v>
      </c>
      <c r="C54">
        <v>109</v>
      </c>
      <c r="D54">
        <v>0</v>
      </c>
    </row>
    <row r="55" spans="1:4" x14ac:dyDescent="0.25">
      <c r="A55">
        <v>50</v>
      </c>
      <c r="B55">
        <v>1.7350000000000589</v>
      </c>
      <c r="C55">
        <v>109</v>
      </c>
      <c r="D5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152B-B384-4488-A135-AC4BFC1F8691}">
  <sheetPr codeName="Sheet9"/>
  <dimension ref="A1:P1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 x14ac:dyDescent="0.25"/>
  <sheetData>
    <row r="1" spans="1:16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16" x14ac:dyDescent="0.25">
      <c r="A2">
        <v>1</v>
      </c>
      <c r="B2">
        <v>-37.365999999999978</v>
      </c>
      <c r="C2">
        <v>58</v>
      </c>
      <c r="D2">
        <v>0</v>
      </c>
      <c r="F2">
        <v>1</v>
      </c>
      <c r="G2">
        <v>0.2603256761826615</v>
      </c>
    </row>
    <row r="3" spans="1:16" x14ac:dyDescent="0.25">
      <c r="A3">
        <v>2</v>
      </c>
      <c r="B3">
        <v>-30.154999999999973</v>
      </c>
      <c r="C3">
        <v>58</v>
      </c>
      <c r="D3">
        <v>0</v>
      </c>
      <c r="F3">
        <v>2</v>
      </c>
      <c r="G3">
        <v>0.25588837279326754</v>
      </c>
    </row>
    <row r="4" spans="1:16" x14ac:dyDescent="0.25">
      <c r="A4">
        <v>3</v>
      </c>
      <c r="B4">
        <v>-26.037999999999968</v>
      </c>
      <c r="C4">
        <v>58</v>
      </c>
      <c r="D4">
        <v>0</v>
      </c>
      <c r="F4">
        <v>3</v>
      </c>
      <c r="G4">
        <v>0.25609768310877712</v>
      </c>
    </row>
    <row r="5" spans="1:16" x14ac:dyDescent="0.25">
      <c r="A5">
        <v>4</v>
      </c>
      <c r="B5">
        <v>-21.079999999999981</v>
      </c>
      <c r="C5">
        <v>58</v>
      </c>
      <c r="D5">
        <v>0</v>
      </c>
      <c r="F5">
        <v>4</v>
      </c>
      <c r="G5">
        <v>0.26196515145647681</v>
      </c>
      <c r="P5">
        <f>17*50</f>
        <v>850</v>
      </c>
    </row>
    <row r="6" spans="1:16" x14ac:dyDescent="0.25">
      <c r="A6">
        <v>5</v>
      </c>
      <c r="B6">
        <v>-16.407999999999983</v>
      </c>
      <c r="C6">
        <v>58</v>
      </c>
      <c r="D6">
        <v>0</v>
      </c>
      <c r="F6">
        <v>5</v>
      </c>
      <c r="G6">
        <v>0.25752961698846988</v>
      </c>
    </row>
    <row r="7" spans="1:16" x14ac:dyDescent="0.25">
      <c r="A7">
        <v>6</v>
      </c>
      <c r="B7">
        <v>-12.555999999999992</v>
      </c>
      <c r="C7">
        <v>57.92</v>
      </c>
      <c r="D7">
        <v>0.02</v>
      </c>
      <c r="F7">
        <v>6</v>
      </c>
      <c r="G7">
        <v>0.25701956845742185</v>
      </c>
    </row>
    <row r="8" spans="1:16" x14ac:dyDescent="0.25">
      <c r="A8">
        <v>7</v>
      </c>
      <c r="B8">
        <v>-3.4871999999999979</v>
      </c>
      <c r="C8">
        <v>54.92</v>
      </c>
      <c r="D8">
        <v>0.34</v>
      </c>
      <c r="F8">
        <v>7</v>
      </c>
      <c r="G8">
        <v>0.25854579357564061</v>
      </c>
    </row>
    <row r="9" spans="1:16" x14ac:dyDescent="0.25">
      <c r="A9">
        <v>8</v>
      </c>
      <c r="B9">
        <v>5.5557999999999979</v>
      </c>
      <c r="C9">
        <v>48.44</v>
      </c>
      <c r="D9">
        <v>0.66</v>
      </c>
      <c r="F9">
        <v>8</v>
      </c>
      <c r="G9">
        <v>0.26333121730241105</v>
      </c>
    </row>
    <row r="10" spans="1:16" x14ac:dyDescent="0.25">
      <c r="A10">
        <v>9</v>
      </c>
      <c r="B10">
        <v>14.263800000000002</v>
      </c>
      <c r="C10">
        <v>38.74</v>
      </c>
      <c r="D10">
        <v>0.96</v>
      </c>
      <c r="F10">
        <v>9</v>
      </c>
      <c r="G10">
        <v>0.25830065565133814</v>
      </c>
    </row>
    <row r="11" spans="1:16" x14ac:dyDescent="0.25">
      <c r="A11">
        <v>10</v>
      </c>
      <c r="B11">
        <v>17.183600000000002</v>
      </c>
      <c r="C11">
        <v>33.36</v>
      </c>
      <c r="D11">
        <v>1</v>
      </c>
      <c r="F11">
        <v>10</v>
      </c>
      <c r="G11">
        <v>0.26363027715324477</v>
      </c>
    </row>
    <row r="12" spans="1:16" x14ac:dyDescent="0.25">
      <c r="A12">
        <v>11</v>
      </c>
      <c r="B12">
        <v>18.9754</v>
      </c>
      <c r="C12">
        <v>30.14</v>
      </c>
      <c r="D12">
        <v>1</v>
      </c>
      <c r="F12">
        <v>11</v>
      </c>
      <c r="G12">
        <v>0.26693477782154079</v>
      </c>
    </row>
    <row r="13" spans="1:16" x14ac:dyDescent="0.25">
      <c r="A13">
        <v>12</v>
      </c>
      <c r="B13">
        <v>19.536200000000004</v>
      </c>
      <c r="C13">
        <v>29.42</v>
      </c>
      <c r="D13">
        <v>1</v>
      </c>
      <c r="F13">
        <v>12</v>
      </c>
      <c r="G13">
        <v>0.26792051145658186</v>
      </c>
    </row>
    <row r="14" spans="1:16" x14ac:dyDescent="0.25">
      <c r="A14">
        <v>13</v>
      </c>
      <c r="B14">
        <v>19.468999999999998</v>
      </c>
      <c r="C14">
        <v>29.2</v>
      </c>
      <c r="D14">
        <v>1</v>
      </c>
      <c r="F14">
        <v>13</v>
      </c>
      <c r="G14">
        <v>0.26171512561075488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D4D2-CBF6-4789-B212-64A556CC008D}">
  <sheetPr codeName="Sheet2"/>
  <dimension ref="A1:AW53"/>
  <sheetViews>
    <sheetView workbookViewId="0"/>
  </sheetViews>
  <sheetFormatPr defaultRowHeight="15" x14ac:dyDescent="0.25"/>
  <sheetData>
    <row r="1" spans="1:49" x14ac:dyDescent="0.25">
      <c r="A1" t="s">
        <v>11</v>
      </c>
    </row>
    <row r="2" spans="1:49" x14ac:dyDescent="0.25">
      <c r="A2">
        <v>49</v>
      </c>
    </row>
    <row r="3" spans="1:49" x14ac:dyDescent="0.25">
      <c r="A3">
        <v>4</v>
      </c>
    </row>
    <row r="4" spans="1:49" x14ac:dyDescent="0.25">
      <c r="A4">
        <v>1</v>
      </c>
    </row>
    <row r="5" spans="1:49" x14ac:dyDescent="0.25">
      <c r="A5" t="s">
        <v>6</v>
      </c>
    </row>
    <row r="6" spans="1:49" x14ac:dyDescent="0.25">
      <c r="A6">
        <v>16</v>
      </c>
    </row>
    <row r="7" spans="1:49" x14ac:dyDescent="0.25">
      <c r="A7">
        <v>0.48668462688010167</v>
      </c>
      <c r="B7">
        <v>-0.38038003338424153</v>
      </c>
      <c r="C7">
        <v>-0.44758930024971738</v>
      </c>
      <c r="D7">
        <v>-0.38423494384337653</v>
      </c>
      <c r="E7">
        <v>-1.5666585689335181E-5</v>
      </c>
      <c r="F7">
        <v>-0.18165851454056478</v>
      </c>
      <c r="G7">
        <v>1.5124843747602482E-2</v>
      </c>
      <c r="H7">
        <v>0.62770730198428837</v>
      </c>
      <c r="I7">
        <v>7.858279904856191E-3</v>
      </c>
      <c r="J7">
        <v>7.9693163793559785E-2</v>
      </c>
      <c r="K7">
        <v>0.54863063088033204</v>
      </c>
      <c r="L7">
        <v>-4.2748175661534028E-2</v>
      </c>
      <c r="M7">
        <v>0.39426379430084491</v>
      </c>
      <c r="N7">
        <v>2.010067499181558E-3</v>
      </c>
      <c r="O7">
        <v>-0.44842766344374818</v>
      </c>
      <c r="P7">
        <v>0.37940190282341069</v>
      </c>
      <c r="Q7">
        <v>7.9159476313801408E-2</v>
      </c>
      <c r="R7">
        <v>0.43925080433682867</v>
      </c>
      <c r="S7">
        <v>-8.9057386721580367E-2</v>
      </c>
      <c r="T7">
        <v>-0.17569388999074403</v>
      </c>
      <c r="U7">
        <v>0.23563156375692465</v>
      </c>
      <c r="V7">
        <v>-6.7046315506333137E-2</v>
      </c>
      <c r="W7">
        <v>0.53867462035495262</v>
      </c>
      <c r="X7">
        <v>2.3879248338427687E-2</v>
      </c>
      <c r="Y7">
        <v>0.26201224517677746</v>
      </c>
      <c r="Z7">
        <v>-0.31700922793584052</v>
      </c>
      <c r="AA7">
        <v>8.7754471088671307E-2</v>
      </c>
      <c r="AB7">
        <v>0.24898831282045022</v>
      </c>
      <c r="AC7">
        <v>0.4962535049917407</v>
      </c>
      <c r="AD7">
        <v>-2.1715283076471241E-2</v>
      </c>
      <c r="AE7">
        <v>1.6243485942286317E-2</v>
      </c>
      <c r="AF7">
        <v>-1.6133861777797104E-2</v>
      </c>
      <c r="AG7">
        <v>0.51227185312173462</v>
      </c>
      <c r="AH7">
        <v>-3.0087792214957029E-3</v>
      </c>
      <c r="AI7">
        <v>0.30342949972367572</v>
      </c>
      <c r="AJ7">
        <v>0.56785526945524567</v>
      </c>
      <c r="AK7">
        <v>-1.3984641541491693E-2</v>
      </c>
      <c r="AL7">
        <v>-6.9673466879403942E-2</v>
      </c>
      <c r="AM7">
        <v>-3.6628007705353675E-2</v>
      </c>
      <c r="AN7">
        <v>0.28089572352445674</v>
      </c>
      <c r="AO7">
        <v>-0.31511001270872413</v>
      </c>
      <c r="AP7">
        <v>-0.27853396937830949</v>
      </c>
      <c r="AQ7">
        <v>1.0864169056739719E-2</v>
      </c>
      <c r="AR7">
        <v>-0.13672943111509597</v>
      </c>
      <c r="AS7">
        <v>-0.19044215172209197</v>
      </c>
      <c r="AT7">
        <v>-7.0776699546584429E-2</v>
      </c>
      <c r="AU7">
        <v>4.302356316970421E-2</v>
      </c>
      <c r="AV7">
        <v>9.1070187744936776E-2</v>
      </c>
      <c r="AW7">
        <v>0.31704543709086713</v>
      </c>
    </row>
    <row r="8" spans="1:49" x14ac:dyDescent="0.25">
      <c r="A8">
        <v>-0.29485494044352106</v>
      </c>
      <c r="B8">
        <v>-0.29616158317669666</v>
      </c>
      <c r="C8">
        <v>-0.29469877705440273</v>
      </c>
      <c r="D8">
        <v>-0.29705963193196322</v>
      </c>
      <c r="E8">
        <v>6.7897970853214404E-2</v>
      </c>
      <c r="F8">
        <v>-5.454336491081891E-2</v>
      </c>
      <c r="G8">
        <v>-0.1761736889897671</v>
      </c>
      <c r="H8">
        <v>-0.29745647018554339</v>
      </c>
      <c r="I8">
        <v>3.4457601552479955E-2</v>
      </c>
      <c r="J8">
        <v>-9.2747331266752428E-2</v>
      </c>
      <c r="K8">
        <v>0.49646283887163439</v>
      </c>
      <c r="L8">
        <v>-1.7163123944303287E-2</v>
      </c>
      <c r="M8">
        <v>-0.25395446638099717</v>
      </c>
      <c r="N8">
        <v>3.5547338425620918E-2</v>
      </c>
      <c r="O8">
        <v>0.5385713369669235</v>
      </c>
      <c r="P8">
        <v>-0.29551840889354536</v>
      </c>
      <c r="Q8">
        <v>7.639068124772673E-2</v>
      </c>
      <c r="R8">
        <v>0.45676366762030768</v>
      </c>
      <c r="S8">
        <v>8.7536066119687853E-2</v>
      </c>
      <c r="T8">
        <v>0.79516862240677388</v>
      </c>
      <c r="U8">
        <v>-5.1835909105385172E-2</v>
      </c>
      <c r="V8">
        <v>1.5697280637007829E-2</v>
      </c>
      <c r="W8">
        <v>-0.26417860119361952</v>
      </c>
      <c r="X8">
        <v>6.1045579676875933E-2</v>
      </c>
      <c r="Y8">
        <v>0.54620039553895439</v>
      </c>
      <c r="Z8">
        <v>-0.13685662141489843</v>
      </c>
      <c r="AA8">
        <v>-8.4321249018757469E-2</v>
      </c>
      <c r="AB8">
        <v>-0.19082868181828361</v>
      </c>
      <c r="AC8">
        <v>-0.29469667494813406</v>
      </c>
      <c r="AD8">
        <v>-0.29083306920749319</v>
      </c>
      <c r="AE8">
        <v>-3.6960812169269691E-2</v>
      </c>
      <c r="AF8">
        <v>-1.0865036077623371E-2</v>
      </c>
      <c r="AG8">
        <v>0.47965391342443292</v>
      </c>
      <c r="AH8">
        <v>-1.3816158410356171E-2</v>
      </c>
      <c r="AI8">
        <v>1.0691740689571922E-2</v>
      </c>
      <c r="AJ8">
        <v>-0.29512936797576556</v>
      </c>
      <c r="AK8">
        <v>-0.29376445202327844</v>
      </c>
      <c r="AL8">
        <v>-0.14566824384842744</v>
      </c>
      <c r="AM8">
        <v>1.2184099974490463E-2</v>
      </c>
      <c r="AN8">
        <v>0.7376334271538677</v>
      </c>
      <c r="AO8">
        <v>-0.21860884572088271</v>
      </c>
      <c r="AP8">
        <v>-0.19888966860181728</v>
      </c>
      <c r="AQ8">
        <v>4.4532889982706193E-2</v>
      </c>
      <c r="AR8">
        <v>-0.14524652206170402</v>
      </c>
      <c r="AS8">
        <v>-1.2486185238857932E-2</v>
      </c>
      <c r="AT8">
        <v>0.16410696866367011</v>
      </c>
      <c r="AU8">
        <v>4.6507481877398303E-3</v>
      </c>
      <c r="AV8">
        <v>-9.9828892921379711E-2</v>
      </c>
      <c r="AW8">
        <v>0.30829556252234358</v>
      </c>
    </row>
    <row r="9" spans="1:49" x14ac:dyDescent="0.25">
      <c r="A9">
        <v>-0.28901204478694487</v>
      </c>
      <c r="B9">
        <v>0.15370309784202846</v>
      </c>
      <c r="C9">
        <v>0.3303998688819681</v>
      </c>
      <c r="D9">
        <v>0.30089081475518092</v>
      </c>
      <c r="E9">
        <v>2.0326401470483212E-2</v>
      </c>
      <c r="F9">
        <v>-9.1598307346906493E-2</v>
      </c>
      <c r="G9">
        <v>-0.17426539282321027</v>
      </c>
      <c r="H9">
        <v>-0.28895116789892933</v>
      </c>
      <c r="I9">
        <v>3.1133961288694442E-2</v>
      </c>
      <c r="J9">
        <v>-7.2381408094322711E-2</v>
      </c>
      <c r="K9">
        <v>0.73164126217879699</v>
      </c>
      <c r="L9">
        <v>-8.8701510774711098E-2</v>
      </c>
      <c r="M9">
        <v>-0.25037937297010815</v>
      </c>
      <c r="N9">
        <v>7.8166604940495196E-2</v>
      </c>
      <c r="O9">
        <v>-0.28879800917731874</v>
      </c>
      <c r="P9">
        <v>-0.28883672709861785</v>
      </c>
      <c r="Q9">
        <v>9.628586024815991E-2</v>
      </c>
      <c r="R9">
        <v>0.67954560161578104</v>
      </c>
      <c r="S9">
        <v>-9.6455555502221485E-2</v>
      </c>
      <c r="T9">
        <v>-8.0219548082131859E-2</v>
      </c>
      <c r="U9">
        <v>3.2471660166683114E-3</v>
      </c>
      <c r="V9">
        <v>4.5770947636735351E-2</v>
      </c>
      <c r="W9">
        <v>-0.2644617067096322</v>
      </c>
      <c r="X9">
        <v>-6.3202860096927688E-2</v>
      </c>
      <c r="Y9">
        <v>0.46717602942453723</v>
      </c>
      <c r="Z9">
        <v>0.20681153664155466</v>
      </c>
      <c r="AA9">
        <v>-9.9061531271520217E-2</v>
      </c>
      <c r="AB9">
        <v>-0.23680804125570309</v>
      </c>
      <c r="AC9">
        <v>-0.28884684770315533</v>
      </c>
      <c r="AD9">
        <v>-0.15204596092381781</v>
      </c>
      <c r="AE9">
        <v>2.7548621937352365E-2</v>
      </c>
      <c r="AF9">
        <v>-3.587178486545778E-3</v>
      </c>
      <c r="AG9">
        <v>0.30246165518211099</v>
      </c>
      <c r="AH9">
        <v>4.4853206031388988E-2</v>
      </c>
      <c r="AI9">
        <v>-0.18753225707020321</v>
      </c>
      <c r="AJ9">
        <v>-0.28903859794810682</v>
      </c>
      <c r="AK9">
        <v>-0.16949156395362719</v>
      </c>
      <c r="AL9">
        <v>4.8520255932406565E-3</v>
      </c>
      <c r="AM9">
        <v>1.341492041253246E-2</v>
      </c>
      <c r="AN9">
        <v>0.33466264533657464</v>
      </c>
      <c r="AO9">
        <v>-1.0671063765534406E-2</v>
      </c>
      <c r="AP9">
        <v>0.15764287570253785</v>
      </c>
      <c r="AQ9">
        <v>-3.7331763739831866E-2</v>
      </c>
      <c r="AR9">
        <v>0.23449008988062287</v>
      </c>
      <c r="AS9">
        <v>0.34417231617716371</v>
      </c>
      <c r="AT9">
        <v>-6.692590729827308E-2</v>
      </c>
      <c r="AU9">
        <v>8.2397895649897898E-2</v>
      </c>
      <c r="AV9">
        <v>8.0904367884109141E-3</v>
      </c>
      <c r="AW9">
        <v>0.67684393457806202</v>
      </c>
    </row>
    <row r="10" spans="1:49" x14ac:dyDescent="0.25">
      <c r="A10">
        <v>0.55371507066950354</v>
      </c>
      <c r="B10">
        <v>0.21478354336669672</v>
      </c>
      <c r="C10">
        <v>1.8074302321448677E-2</v>
      </c>
      <c r="D10">
        <v>0.11200353419136609</v>
      </c>
      <c r="E10">
        <v>-2.06216582072371E-2</v>
      </c>
      <c r="F10">
        <v>0.48310733822927943</v>
      </c>
      <c r="G10">
        <v>0.26653817200695085</v>
      </c>
      <c r="H10">
        <v>0.53756543247161859</v>
      </c>
      <c r="I10">
        <v>5.4700540220954878E-2</v>
      </c>
      <c r="J10">
        <v>-2.826754207951182E-2</v>
      </c>
      <c r="K10">
        <v>-0.42126672409507865</v>
      </c>
      <c r="L10">
        <v>6.4244188304064698E-2</v>
      </c>
      <c r="M10">
        <v>0.17494612796091286</v>
      </c>
      <c r="N10">
        <v>1.5580449572935631E-2</v>
      </c>
      <c r="O10">
        <v>-0.42042632350686421</v>
      </c>
      <c r="P10">
        <v>0.5948149373658852</v>
      </c>
      <c r="Q10">
        <v>2.2303341546735207E-2</v>
      </c>
      <c r="R10">
        <v>-0.2797444930415745</v>
      </c>
      <c r="S10">
        <v>-9.4576540617995378E-2</v>
      </c>
      <c r="T10">
        <v>-0.3396254165290995</v>
      </c>
      <c r="U10">
        <v>0.15750484695470021</v>
      </c>
      <c r="V10">
        <v>-4.5050417156549824E-2</v>
      </c>
      <c r="W10">
        <v>0.33887002969321728</v>
      </c>
      <c r="X10">
        <v>7.8433225904175119E-2</v>
      </c>
      <c r="Y10">
        <v>-0.41483127105676221</v>
      </c>
      <c r="Z10">
        <v>9.3637422098453132E-2</v>
      </c>
      <c r="AA10">
        <v>-2.8118715536441494E-2</v>
      </c>
      <c r="AB10">
        <v>0.34388662495913735</v>
      </c>
      <c r="AC10">
        <v>0.44316656291192918</v>
      </c>
      <c r="AD10">
        <v>0.40781881789782581</v>
      </c>
      <c r="AE10">
        <v>2.4033875995481676E-2</v>
      </c>
      <c r="AF10">
        <v>1.3197514925956551E-2</v>
      </c>
      <c r="AG10">
        <v>-0.36271599206065802</v>
      </c>
      <c r="AH10">
        <v>5.3838083238898098E-2</v>
      </c>
      <c r="AI10">
        <v>9.3863039621128713E-2</v>
      </c>
      <c r="AJ10">
        <v>0.5965629204033619</v>
      </c>
      <c r="AK10">
        <v>0.2246146194805087</v>
      </c>
      <c r="AL10">
        <v>-9.3831434125508199E-3</v>
      </c>
      <c r="AM10">
        <v>7.8456021328241143E-2</v>
      </c>
      <c r="AN10">
        <v>-0.37487003476436115</v>
      </c>
      <c r="AO10">
        <v>-3.7430296654708678E-2</v>
      </c>
      <c r="AP10">
        <v>0.12969568713015417</v>
      </c>
      <c r="AQ10">
        <v>-1.691275962219186E-2</v>
      </c>
      <c r="AR10">
        <v>-0.13363004277028795</v>
      </c>
      <c r="AS10">
        <v>-0.11394941461516338</v>
      </c>
      <c r="AT10">
        <v>-6.6935015675027631E-2</v>
      </c>
      <c r="AU10">
        <v>-9.0470377880843167E-2</v>
      </c>
      <c r="AV10">
        <v>-2.8802325377331479E-2</v>
      </c>
      <c r="AW10">
        <v>-0.16939227377072169</v>
      </c>
    </row>
    <row r="11" spans="1:49" x14ac:dyDescent="0.25">
      <c r="A11">
        <v>0.58245254201458707</v>
      </c>
      <c r="B11">
        <v>-0.26773316820720139</v>
      </c>
      <c r="C11">
        <v>-0.16809514931152078</v>
      </c>
      <c r="D11">
        <v>-0.22031526940171109</v>
      </c>
      <c r="E11">
        <v>-8.4526070660563696E-2</v>
      </c>
      <c r="F11">
        <v>0.46437085830018138</v>
      </c>
      <c r="G11">
        <v>0.13274920902782208</v>
      </c>
      <c r="H11">
        <v>0.464903933074447</v>
      </c>
      <c r="I11">
        <v>-1.2444025610235505E-2</v>
      </c>
      <c r="J11">
        <v>-5.368658338143651E-2</v>
      </c>
      <c r="K11">
        <v>-0.38864534663483657</v>
      </c>
      <c r="L11">
        <v>5.7898739421615261E-2</v>
      </c>
      <c r="M11">
        <v>0.30745991100007469</v>
      </c>
      <c r="N11">
        <v>9.1522507723155691E-2</v>
      </c>
      <c r="O11">
        <v>-0.17595163634838046</v>
      </c>
      <c r="P11">
        <v>0.62793427083791054</v>
      </c>
      <c r="Q11">
        <v>8.9994395457674556E-2</v>
      </c>
      <c r="R11">
        <v>-0.38455182714466624</v>
      </c>
      <c r="S11">
        <v>7.8792702396102893E-2</v>
      </c>
      <c r="T11">
        <v>-0.20781497007860603</v>
      </c>
      <c r="U11">
        <v>0.22270894869435429</v>
      </c>
      <c r="V11">
        <v>2.2757130643673643E-3</v>
      </c>
      <c r="W11">
        <v>0.42051881143697045</v>
      </c>
      <c r="X11">
        <v>2.1660493729333617E-2</v>
      </c>
      <c r="Y11">
        <v>-0.38467292770472472</v>
      </c>
      <c r="Z11">
        <v>-3.9910994937848526E-2</v>
      </c>
      <c r="AA11">
        <v>2.4301884893338215E-2</v>
      </c>
      <c r="AB11">
        <v>0.20389097503360795</v>
      </c>
      <c r="AC11">
        <v>0.41637719865853523</v>
      </c>
      <c r="AD11">
        <v>0.15764889917599884</v>
      </c>
      <c r="AE11">
        <v>2.453820903381668E-2</v>
      </c>
      <c r="AF11">
        <v>-9.4661243741545553E-2</v>
      </c>
      <c r="AG11">
        <v>-0.3844482922347261</v>
      </c>
      <c r="AH11">
        <v>9.8070875618250009E-2</v>
      </c>
      <c r="AI11">
        <v>0.1221306055705441</v>
      </c>
      <c r="AJ11">
        <v>0.55638006119137551</v>
      </c>
      <c r="AK11">
        <v>0.17978786250943815</v>
      </c>
      <c r="AL11">
        <v>-0.13262165825251765</v>
      </c>
      <c r="AM11">
        <v>1.2390812203501322E-3</v>
      </c>
      <c r="AN11">
        <v>-0.35786198863251423</v>
      </c>
      <c r="AO11">
        <v>-0.11167725150113782</v>
      </c>
      <c r="AP11">
        <v>-3.4928093153923923E-2</v>
      </c>
      <c r="AQ11">
        <v>-2.0031590286127866E-2</v>
      </c>
      <c r="AR11">
        <v>-0.17451502503546412</v>
      </c>
      <c r="AS11">
        <v>-0.16390764938214047</v>
      </c>
      <c r="AT11">
        <v>-0.1033198469992866</v>
      </c>
      <c r="AU11">
        <v>-6.1801718223074807E-2</v>
      </c>
      <c r="AV11">
        <v>9.7222616103163045E-2</v>
      </c>
      <c r="AW11">
        <v>-0.15555428556324011</v>
      </c>
    </row>
    <row r="12" spans="1:49" x14ac:dyDescent="0.25">
      <c r="A12">
        <v>0.42630866592339656</v>
      </c>
      <c r="B12">
        <v>-0.35045119874363123</v>
      </c>
      <c r="C12">
        <v>-0.35228453933703846</v>
      </c>
      <c r="D12">
        <v>-0.35002422962603175</v>
      </c>
      <c r="E12">
        <v>-9.6149653675729418E-2</v>
      </c>
      <c r="F12">
        <v>0.13941548778623483</v>
      </c>
      <c r="G12">
        <v>5.165549340838424E-2</v>
      </c>
      <c r="H12">
        <v>0.66339750165687794</v>
      </c>
      <c r="I12">
        <v>-5.2560804931840378E-2</v>
      </c>
      <c r="J12">
        <v>-6.0110882996471479E-2</v>
      </c>
      <c r="K12">
        <v>0.38668600041803791</v>
      </c>
      <c r="L12">
        <v>-4.6900928729225855E-2</v>
      </c>
      <c r="M12">
        <v>0.47246938029554514</v>
      </c>
      <c r="N12">
        <v>8.9202684971332491E-2</v>
      </c>
      <c r="O12">
        <v>-0.35268923582904288</v>
      </c>
      <c r="P12">
        <v>0.45501778377877339</v>
      </c>
      <c r="Q12">
        <v>-6.5862735664493494E-2</v>
      </c>
      <c r="R12">
        <v>0.39203795854293899</v>
      </c>
      <c r="S12">
        <v>2.9401786024680285E-2</v>
      </c>
      <c r="T12">
        <v>-0.15148051179735531</v>
      </c>
      <c r="U12">
        <v>2.8503432332068038E-2</v>
      </c>
      <c r="V12">
        <v>4.5382775161950016E-2</v>
      </c>
      <c r="W12">
        <v>0.47227464670148472</v>
      </c>
      <c r="X12">
        <v>2.8424641446846997E-2</v>
      </c>
      <c r="Y12">
        <v>0.41426339319220357</v>
      </c>
      <c r="Z12">
        <v>-0.34961272792788572</v>
      </c>
      <c r="AA12">
        <v>-1.7251548032479143E-2</v>
      </c>
      <c r="AB12">
        <v>0.34246085524350883</v>
      </c>
      <c r="AC12">
        <v>0.45724403761801108</v>
      </c>
      <c r="AD12">
        <v>-0.10024004521668732</v>
      </c>
      <c r="AE12">
        <v>-2.7724926531463013E-2</v>
      </c>
      <c r="AF12">
        <v>9.0639458995112152E-2</v>
      </c>
      <c r="AG12">
        <v>0.42688042497156647</v>
      </c>
      <c r="AH12">
        <v>8.6176637583904037E-2</v>
      </c>
      <c r="AI12">
        <v>0.44310335773846571</v>
      </c>
      <c r="AJ12">
        <v>0.53468351685043891</v>
      </c>
      <c r="AK12">
        <v>-7.3093869935438802E-2</v>
      </c>
      <c r="AL12">
        <v>-6.9590337533933219E-2</v>
      </c>
      <c r="AM12">
        <v>-4.0796222645470637E-3</v>
      </c>
      <c r="AN12">
        <v>0.3143264916052016</v>
      </c>
      <c r="AO12">
        <v>-0.29277236355872793</v>
      </c>
      <c r="AP12">
        <v>-0.34242883697787396</v>
      </c>
      <c r="AQ12">
        <v>-2.1778360401683509E-2</v>
      </c>
      <c r="AR12">
        <v>-9.2041189575982937E-2</v>
      </c>
      <c r="AS12">
        <v>-0.16645258405711807</v>
      </c>
      <c r="AT12">
        <v>-7.2340837543967973E-2</v>
      </c>
      <c r="AU12">
        <v>4.0180637818077233E-3</v>
      </c>
      <c r="AV12">
        <v>-6.0000795428161023E-2</v>
      </c>
      <c r="AW12">
        <v>0.3104771635178738</v>
      </c>
    </row>
    <row r="13" spans="1:49" x14ac:dyDescent="0.25">
      <c r="A13">
        <v>-0.24546053079604585</v>
      </c>
      <c r="B13">
        <v>0.10821980857282665</v>
      </c>
      <c r="C13">
        <v>-3.9414526883704566E-2</v>
      </c>
      <c r="D13">
        <v>-0.10739130948657938</v>
      </c>
      <c r="E13">
        <v>5.2089663375272169E-2</v>
      </c>
      <c r="F13">
        <v>0.22871557327267822</v>
      </c>
      <c r="G13">
        <v>-1.6033535129902916E-2</v>
      </c>
      <c r="H13">
        <v>-0.25016954238282818</v>
      </c>
      <c r="I13">
        <v>-3.9603141699780964E-2</v>
      </c>
      <c r="J13">
        <v>2.6434358882552127E-2</v>
      </c>
      <c r="K13">
        <v>-0.24385839446346455</v>
      </c>
      <c r="L13">
        <v>-7.8803937541720215E-2</v>
      </c>
      <c r="M13">
        <v>-0.12893097580915419</v>
      </c>
      <c r="N13">
        <v>-7.0594863395729499E-2</v>
      </c>
      <c r="O13">
        <v>0.71885535097535891</v>
      </c>
      <c r="P13">
        <v>-0.24494350344211294</v>
      </c>
      <c r="Q13">
        <v>8.3037251299851442E-2</v>
      </c>
      <c r="R13">
        <v>-0.12102018414901931</v>
      </c>
      <c r="S13">
        <v>-0.10037386371458228</v>
      </c>
      <c r="T13">
        <v>0.74686943056701283</v>
      </c>
      <c r="U13">
        <v>6.5384516162187808E-2</v>
      </c>
      <c r="V13">
        <v>-9.9443827271427462E-2</v>
      </c>
      <c r="W13">
        <v>-0.24462362950447911</v>
      </c>
      <c r="X13">
        <v>2.7443378519816362E-3</v>
      </c>
      <c r="Y13">
        <v>-0.10902209354733206</v>
      </c>
      <c r="Z13">
        <v>6.7649670154920016E-2</v>
      </c>
      <c r="AA13">
        <v>7.2158379013959772E-2</v>
      </c>
      <c r="AB13">
        <v>-1.7810608279377217E-3</v>
      </c>
      <c r="AC13">
        <v>-0.24883359750674056</v>
      </c>
      <c r="AD13">
        <v>-0.24365436380895836</v>
      </c>
      <c r="AE13">
        <v>-0.10961623178272673</v>
      </c>
      <c r="AF13">
        <v>7.6967587310143845E-2</v>
      </c>
      <c r="AG13">
        <v>-0.11080864894222144</v>
      </c>
      <c r="AH13">
        <v>-3.0587051740460364E-3</v>
      </c>
      <c r="AI13">
        <v>5.7654610286912806E-3</v>
      </c>
      <c r="AJ13">
        <v>-0.24331028203220254</v>
      </c>
      <c r="AK13">
        <v>-0.12858348158830604</v>
      </c>
      <c r="AL13">
        <v>2.6462202455924701E-2</v>
      </c>
      <c r="AM13">
        <v>-6.6248644251415953E-2</v>
      </c>
      <c r="AN13">
        <v>6.1772075373723742E-2</v>
      </c>
      <c r="AO13">
        <v>0.21721613881031152</v>
      </c>
      <c r="AP13">
        <v>-0.12589453582558469</v>
      </c>
      <c r="AQ13">
        <v>-5.3317461282178097E-2</v>
      </c>
      <c r="AR13">
        <v>-3.5233638517421978E-2</v>
      </c>
      <c r="AS13">
        <v>-0.17278175985300542</v>
      </c>
      <c r="AT13">
        <v>1.0799553158506559E-2</v>
      </c>
      <c r="AU13">
        <v>-6.3197790433149659E-2</v>
      </c>
      <c r="AV13">
        <v>-3.8249661890615551E-2</v>
      </c>
      <c r="AW13">
        <v>-1.562644090274533E-3</v>
      </c>
    </row>
    <row r="14" spans="1:49" x14ac:dyDescent="0.25">
      <c r="A14">
        <v>0.62354243835479695</v>
      </c>
      <c r="B14">
        <v>0.27970794656705822</v>
      </c>
      <c r="C14">
        <v>0.23172802452068234</v>
      </c>
      <c r="D14">
        <v>0.32702606812479562</v>
      </c>
      <c r="E14">
        <v>2.7987819466923376E-2</v>
      </c>
      <c r="F14">
        <v>0.46444496877027408</v>
      </c>
      <c r="G14">
        <v>0.15140118683624876</v>
      </c>
      <c r="H14">
        <v>0.46446450626573238</v>
      </c>
      <c r="I14">
        <v>4.0832878361718394E-2</v>
      </c>
      <c r="J14">
        <v>-7.8949488672563406E-2</v>
      </c>
      <c r="K14">
        <v>-0.42167791014707651</v>
      </c>
      <c r="L14">
        <v>-8.3224648230287593E-2</v>
      </c>
      <c r="M14">
        <v>0.20926537061649125</v>
      </c>
      <c r="N14">
        <v>5.2165503618678347E-2</v>
      </c>
      <c r="O14">
        <v>-0.38453910671989672</v>
      </c>
      <c r="P14">
        <v>0.44435798577527552</v>
      </c>
      <c r="Q14">
        <v>-6.0351059823199986E-2</v>
      </c>
      <c r="R14">
        <v>-0.41701598007400514</v>
      </c>
      <c r="S14">
        <v>-3.8078834692622538E-3</v>
      </c>
      <c r="T14">
        <v>-0.32708032452845631</v>
      </c>
      <c r="U14">
        <v>0.1347104285966782</v>
      </c>
      <c r="V14">
        <v>-6.0241538226855247E-2</v>
      </c>
      <c r="W14">
        <v>0.2411230282572632</v>
      </c>
      <c r="X14">
        <v>5.939985362013598E-2</v>
      </c>
      <c r="Y14">
        <v>-0.41678840097737002</v>
      </c>
      <c r="Z14">
        <v>0.27882070056831432</v>
      </c>
      <c r="AA14">
        <v>-6.3142842984648173E-2</v>
      </c>
      <c r="AB14">
        <v>0.25489948877422886</v>
      </c>
      <c r="AC14">
        <v>0.50301360029380515</v>
      </c>
      <c r="AD14">
        <v>0.3645245726072574</v>
      </c>
      <c r="AE14">
        <v>3.2990781393314891E-2</v>
      </c>
      <c r="AF14">
        <v>-8.2113657303540422E-2</v>
      </c>
      <c r="AG14">
        <v>-0.38243085085371192</v>
      </c>
      <c r="AH14">
        <v>4.3717300296193529E-2</v>
      </c>
      <c r="AI14">
        <v>9.9198280449727019E-2</v>
      </c>
      <c r="AJ14">
        <v>0.68036755476501509</v>
      </c>
      <c r="AK14">
        <v>0.4341703671624525</v>
      </c>
      <c r="AL14">
        <v>-3.2167565542997344E-2</v>
      </c>
      <c r="AM14">
        <v>-2.5202129535574192E-3</v>
      </c>
      <c r="AN14">
        <v>-0.38347881294899694</v>
      </c>
      <c r="AO14">
        <v>0.14223510257338146</v>
      </c>
      <c r="AP14">
        <v>0.17669852042315376</v>
      </c>
      <c r="AQ14">
        <v>-8.950625065822139E-2</v>
      </c>
      <c r="AR14">
        <v>-3.0274840850812775E-2</v>
      </c>
      <c r="AS14">
        <v>-9.5315481870864791E-2</v>
      </c>
      <c r="AT14">
        <v>-0.15560547880554726</v>
      </c>
      <c r="AU14">
        <v>1.4018788416039832E-2</v>
      </c>
      <c r="AV14">
        <v>-7.2128791926305124E-3</v>
      </c>
      <c r="AW14">
        <v>-0.15218997361565115</v>
      </c>
    </row>
    <row r="15" spans="1:49" x14ac:dyDescent="0.25">
      <c r="A15">
        <v>-0.37293628836181852</v>
      </c>
      <c r="B15">
        <v>0.46442859759756328</v>
      </c>
      <c r="C15">
        <v>0.48033610623751394</v>
      </c>
      <c r="D15">
        <v>0.42810915245963288</v>
      </c>
      <c r="E15">
        <v>-4.3925746566971693E-2</v>
      </c>
      <c r="F15">
        <v>0.17682893202659747</v>
      </c>
      <c r="G15">
        <v>0.38807161429230186</v>
      </c>
      <c r="H15">
        <v>-0.37443908809725346</v>
      </c>
      <c r="I15">
        <v>6.5988465734579851E-2</v>
      </c>
      <c r="J15">
        <v>7.310236004299335E-2</v>
      </c>
      <c r="K15">
        <v>-0.17089021865694753</v>
      </c>
      <c r="L15">
        <v>-1.1112221323161406E-2</v>
      </c>
      <c r="M15">
        <v>-5.30230096792619E-2</v>
      </c>
      <c r="N15">
        <v>9.5159804833559278E-2</v>
      </c>
      <c r="O15">
        <v>-0.37260789196944621</v>
      </c>
      <c r="P15">
        <v>-0.37329894323852597</v>
      </c>
      <c r="Q15">
        <v>-8.1458550774200528E-2</v>
      </c>
      <c r="R15">
        <v>-0.11697702875485781</v>
      </c>
      <c r="S15">
        <v>-3.4977151775052104E-2</v>
      </c>
      <c r="T15">
        <v>-0.15328224971785773</v>
      </c>
      <c r="U15">
        <v>1.3753694424763032E-3</v>
      </c>
      <c r="V15">
        <v>1.317132367009621E-2</v>
      </c>
      <c r="W15">
        <v>-0.37424420351004339</v>
      </c>
      <c r="X15">
        <v>-1.2368293744439788E-2</v>
      </c>
      <c r="Y15">
        <v>-0.25711974755418709</v>
      </c>
      <c r="Z15">
        <v>0.47633565001274214</v>
      </c>
      <c r="AA15">
        <v>4.4955153236958482E-3</v>
      </c>
      <c r="AB15">
        <v>8.8933127422541725E-2</v>
      </c>
      <c r="AC15">
        <v>-0.37338099894969473</v>
      </c>
      <c r="AD15">
        <v>0.13418639412264088</v>
      </c>
      <c r="AE15">
        <v>1.2689091322136732E-2</v>
      </c>
      <c r="AF15">
        <v>-2.3462211293390749E-2</v>
      </c>
      <c r="AG15">
        <v>-0.17615406153595722</v>
      </c>
      <c r="AH15">
        <v>-1.7469820539938705E-2</v>
      </c>
      <c r="AI15">
        <v>7.6272291305877607E-2</v>
      </c>
      <c r="AJ15">
        <v>-0.37401932432364243</v>
      </c>
      <c r="AK15">
        <v>0.22770001670039877</v>
      </c>
      <c r="AL15">
        <v>0.10982217497321843</v>
      </c>
      <c r="AM15">
        <v>-7.6575994919650781E-2</v>
      </c>
      <c r="AN15">
        <v>-0.19287394527503252</v>
      </c>
      <c r="AO15">
        <v>0.34504571421094099</v>
      </c>
      <c r="AP15">
        <v>0.44613939254354829</v>
      </c>
      <c r="AQ15">
        <v>6.4781018734526324E-2</v>
      </c>
      <c r="AR15">
        <v>0.19432556354040784</v>
      </c>
      <c r="AS15">
        <v>0.24610911164919333</v>
      </c>
      <c r="AT15">
        <v>-3.1664892360650974E-2</v>
      </c>
      <c r="AU15">
        <v>-4.6615124928495122E-2</v>
      </c>
      <c r="AV15">
        <v>-3.4900528804459298E-2</v>
      </c>
      <c r="AW15">
        <v>-0.10416836118344928</v>
      </c>
    </row>
    <row r="16" spans="1:49" x14ac:dyDescent="0.25">
      <c r="A16">
        <v>0.11791732077918869</v>
      </c>
      <c r="B16">
        <v>-0.29322668233462368</v>
      </c>
      <c r="C16">
        <v>-0.2947953482565418</v>
      </c>
      <c r="D16">
        <v>-0.29453232394252205</v>
      </c>
      <c r="E16">
        <v>-1.7846830120847011E-2</v>
      </c>
      <c r="F16">
        <v>-0.30128121522244566</v>
      </c>
      <c r="G16">
        <v>-0.29036998683710791</v>
      </c>
      <c r="H16">
        <v>-9.5868523616117918E-2</v>
      </c>
      <c r="I16">
        <v>9.903495467304492E-2</v>
      </c>
      <c r="J16">
        <v>-3.8577696833554199E-2</v>
      </c>
      <c r="K16">
        <v>0.53283521251326627</v>
      </c>
      <c r="L16">
        <v>-1.7153394043275632E-2</v>
      </c>
      <c r="M16">
        <v>0.14318632084880201</v>
      </c>
      <c r="N16">
        <v>9.2653283584789539E-2</v>
      </c>
      <c r="O16">
        <v>-0.18532222509166482</v>
      </c>
      <c r="P16">
        <v>7.2449534718579831E-2</v>
      </c>
      <c r="Q16">
        <v>1.3357973999215884E-2</v>
      </c>
      <c r="R16">
        <v>0.5607102081758506</v>
      </c>
      <c r="S16">
        <v>8.9424533939937122E-3</v>
      </c>
      <c r="T16">
        <v>-6.7689820122413327E-2</v>
      </c>
      <c r="U16">
        <v>-0.16934518515743208</v>
      </c>
      <c r="V16">
        <v>7.3521504430455825E-2</v>
      </c>
      <c r="W16">
        <v>-9.1775154726372495E-3</v>
      </c>
      <c r="X16">
        <v>1.5028446277010093E-2</v>
      </c>
      <c r="Y16">
        <v>0.73895031601220318</v>
      </c>
      <c r="Z16">
        <v>-0.26286819123140942</v>
      </c>
      <c r="AA16">
        <v>6.6266406137574117E-3</v>
      </c>
      <c r="AB16">
        <v>-0.15869197133139271</v>
      </c>
      <c r="AC16">
        <v>-0.14530959195397741</v>
      </c>
      <c r="AD16">
        <v>-0.28004989255430918</v>
      </c>
      <c r="AE16">
        <v>6.6649241112256452E-2</v>
      </c>
      <c r="AF16">
        <v>-1.2832884476553732E-2</v>
      </c>
      <c r="AG16">
        <v>0.45549728771406828</v>
      </c>
      <c r="AH16">
        <v>-9.7620759318110387E-2</v>
      </c>
      <c r="AI16">
        <v>0.40926643094463711</v>
      </c>
      <c r="AJ16">
        <v>1.6554433065587265E-2</v>
      </c>
      <c r="AK16">
        <v>-0.28797455336299072</v>
      </c>
      <c r="AL16">
        <v>-0.11676170797796159</v>
      </c>
      <c r="AM16">
        <v>7.1156259417894607E-2</v>
      </c>
      <c r="AN16">
        <v>0.73129020745745144</v>
      </c>
      <c r="AO16">
        <v>-0.28171058295747942</v>
      </c>
      <c r="AP16">
        <v>-0.28975477985992643</v>
      </c>
      <c r="AQ16">
        <v>7.8690526393355761E-2</v>
      </c>
      <c r="AR16">
        <v>-0.2071570082485493</v>
      </c>
      <c r="AS16">
        <v>-9.8397960348185903E-2</v>
      </c>
      <c r="AT16">
        <v>4.0246717068993562E-2</v>
      </c>
      <c r="AU16">
        <v>5.5450561453141319E-2</v>
      </c>
      <c r="AV16">
        <v>-8.4033988141263935E-2</v>
      </c>
      <c r="AW16">
        <v>0.36953650867319199</v>
      </c>
    </row>
    <row r="17" spans="1:49" x14ac:dyDescent="0.25">
      <c r="A17">
        <v>0.67019548529002193</v>
      </c>
      <c r="B17">
        <v>-0.2940235643713453</v>
      </c>
      <c r="C17">
        <v>-0.1902068243985332</v>
      </c>
      <c r="D17">
        <v>-0.27088418975384937</v>
      </c>
      <c r="E17">
        <v>7.0379577293535854E-3</v>
      </c>
      <c r="F17">
        <v>0.37266169612659872</v>
      </c>
      <c r="G17">
        <v>0.12319654788471622</v>
      </c>
      <c r="H17">
        <v>0.6039345888394041</v>
      </c>
      <c r="I17">
        <v>-7.8877020177038112E-2</v>
      </c>
      <c r="J17">
        <v>8.847071463226544E-2</v>
      </c>
      <c r="K17">
        <v>-0.38053459417806074</v>
      </c>
      <c r="L17">
        <v>3.0972129432369325E-2</v>
      </c>
      <c r="M17">
        <v>0.40450221474451548</v>
      </c>
      <c r="N17">
        <v>-8.9112839932263987E-2</v>
      </c>
      <c r="O17">
        <v>-0.38838315900055287</v>
      </c>
      <c r="P17">
        <v>0.68435362835718427</v>
      </c>
      <c r="Q17">
        <v>5.8841937723462193E-3</v>
      </c>
      <c r="R17">
        <v>-0.15842985132993442</v>
      </c>
      <c r="S17">
        <v>3.556638880114784E-2</v>
      </c>
      <c r="T17">
        <v>-0.29194299868793955</v>
      </c>
      <c r="U17">
        <v>0.31903039630968144</v>
      </c>
      <c r="V17">
        <v>5.3705248414348476E-2</v>
      </c>
      <c r="W17">
        <v>0.33093956865794755</v>
      </c>
      <c r="X17">
        <v>-7.2882570248987394E-2</v>
      </c>
      <c r="Y17">
        <v>-0.37204486883615495</v>
      </c>
      <c r="Z17">
        <v>1.4241783279580419E-2</v>
      </c>
      <c r="AA17">
        <v>6.2360513182588957E-2</v>
      </c>
      <c r="AB17">
        <v>0.39686506752814571</v>
      </c>
      <c r="AC17">
        <v>0.41043584002876438</v>
      </c>
      <c r="AD17">
        <v>7.6474213817945724E-2</v>
      </c>
      <c r="AE17">
        <v>0.11632094808228148</v>
      </c>
      <c r="AF17">
        <v>3.0375474560935676E-2</v>
      </c>
      <c r="AG17">
        <v>-0.17710352974935345</v>
      </c>
      <c r="AH17">
        <v>8.1603427555467539E-2</v>
      </c>
      <c r="AI17">
        <v>0.18270995174498536</v>
      </c>
      <c r="AJ17">
        <v>0.53426008583326745</v>
      </c>
      <c r="AK17">
        <v>0.13312634091540049</v>
      </c>
      <c r="AL17">
        <v>-6.7029966675552666E-2</v>
      </c>
      <c r="AM17">
        <v>4.6340616483165308E-2</v>
      </c>
      <c r="AN17">
        <v>-0.30665479699299064</v>
      </c>
      <c r="AO17">
        <v>-0.21099136140252836</v>
      </c>
      <c r="AP17">
        <v>6.129069709514047E-2</v>
      </c>
      <c r="AQ17">
        <v>6.362540031618448E-2</v>
      </c>
      <c r="AR17">
        <v>-0.10242474223241022</v>
      </c>
      <c r="AS17">
        <v>-0.17844421339872332</v>
      </c>
      <c r="AT17">
        <v>-9.0457033169940457E-2</v>
      </c>
      <c r="AU17">
        <v>1.810935681924301E-2</v>
      </c>
      <c r="AV17">
        <v>-8.2656111327789064E-2</v>
      </c>
      <c r="AW17">
        <v>-0.17289913568375284</v>
      </c>
    </row>
    <row r="18" spans="1:49" x14ac:dyDescent="0.25">
      <c r="A18">
        <v>-0.33848041504397969</v>
      </c>
      <c r="B18">
        <v>0.48733218767216913</v>
      </c>
      <c r="C18">
        <v>0.50225947229687062</v>
      </c>
      <c r="D18">
        <v>0.58314502529537959</v>
      </c>
      <c r="E18">
        <v>-6.2146852744552158E-2</v>
      </c>
      <c r="F18">
        <v>-0.159389027291123</v>
      </c>
      <c r="G18">
        <v>0.47047090524503399</v>
      </c>
      <c r="H18">
        <v>-0.33739603011329672</v>
      </c>
      <c r="I18">
        <v>-7.1222393844186563E-2</v>
      </c>
      <c r="J18">
        <v>-5.8407018372699925E-2</v>
      </c>
      <c r="K18">
        <v>-0.26084618107533442</v>
      </c>
      <c r="L18">
        <v>2.678397301192835E-2</v>
      </c>
      <c r="M18">
        <v>-0.16908466980332307</v>
      </c>
      <c r="N18">
        <v>-3.56804261312616E-2</v>
      </c>
      <c r="O18">
        <v>0.2518039486518821</v>
      </c>
      <c r="P18">
        <v>-0.33853747811019175</v>
      </c>
      <c r="Q18">
        <v>-1.9802949653934625E-2</v>
      </c>
      <c r="R18">
        <v>-0.31123576101619693</v>
      </c>
      <c r="S18">
        <v>-4.0075126193319391E-2</v>
      </c>
      <c r="T18">
        <v>0.29256275355922756</v>
      </c>
      <c r="U18">
        <v>-0.15774567667803169</v>
      </c>
      <c r="V18">
        <v>7.0751685798060182E-2</v>
      </c>
      <c r="W18">
        <v>-0.34026209076985836</v>
      </c>
      <c r="X18">
        <v>3.8092189222622135E-2</v>
      </c>
      <c r="Y18">
        <v>-0.33701978532911969</v>
      </c>
      <c r="Z18">
        <v>0.35226838550759665</v>
      </c>
      <c r="AA18">
        <v>-9.7528072377256567E-2</v>
      </c>
      <c r="AB18">
        <v>-7.6281091983729898E-2</v>
      </c>
      <c r="AC18">
        <v>-0.33897420930904193</v>
      </c>
      <c r="AD18">
        <v>7.938746410520503E-2</v>
      </c>
      <c r="AE18">
        <v>9.9451486881246817E-2</v>
      </c>
      <c r="AF18">
        <v>3.4292422032187402E-2</v>
      </c>
      <c r="AG18">
        <v>-0.29977643305090995</v>
      </c>
      <c r="AH18">
        <v>2.7653763545626028E-2</v>
      </c>
      <c r="AI18">
        <v>-5.6624366033218146E-2</v>
      </c>
      <c r="AJ18">
        <v>-0.33818529676605585</v>
      </c>
      <c r="AK18">
        <v>3.1607599270474865E-2</v>
      </c>
      <c r="AL18">
        <v>0.17992392532018292</v>
      </c>
      <c r="AM18">
        <v>5.1340328534618625E-2</v>
      </c>
      <c r="AN18">
        <v>-4.4886455689999834E-2</v>
      </c>
      <c r="AO18">
        <v>0.53068249437322879</v>
      </c>
      <c r="AP18">
        <v>0.37198193011598962</v>
      </c>
      <c r="AQ18">
        <v>-9.6304031560846465E-2</v>
      </c>
      <c r="AR18">
        <v>0.24515479819214764</v>
      </c>
      <c r="AS18">
        <v>0.20243555697015841</v>
      </c>
      <c r="AT18">
        <v>9.1694614881553976E-2</v>
      </c>
      <c r="AU18">
        <v>9.7308716093692432E-2</v>
      </c>
      <c r="AV18">
        <v>-1.5470301794841588E-4</v>
      </c>
      <c r="AW18">
        <v>-0.13848420877146678</v>
      </c>
    </row>
    <row r="19" spans="1:49" x14ac:dyDescent="0.25">
      <c r="A19">
        <v>0.76083346198365887</v>
      </c>
      <c r="B19">
        <v>-0.38068701287008633</v>
      </c>
      <c r="C19">
        <v>-0.34724597333045731</v>
      </c>
      <c r="D19">
        <v>-0.38084933872623805</v>
      </c>
      <c r="E19">
        <v>8.4020946702138988E-3</v>
      </c>
      <c r="F19">
        <v>0.48816280637027809</v>
      </c>
      <c r="G19">
        <v>6.8380859421730139E-2</v>
      </c>
      <c r="H19">
        <v>0.56608609335758475</v>
      </c>
      <c r="I19">
        <v>-1.0343197883274917E-3</v>
      </c>
      <c r="J19">
        <v>4.3581695821598904E-2</v>
      </c>
      <c r="K19">
        <v>-0.38101230624120269</v>
      </c>
      <c r="L19">
        <v>-3.3237004735691029E-2</v>
      </c>
      <c r="M19">
        <v>0.34233128541044244</v>
      </c>
      <c r="N19">
        <v>6.778241623655426E-2</v>
      </c>
      <c r="O19">
        <v>0.58337346903663623</v>
      </c>
      <c r="P19">
        <v>0.54165316712382372</v>
      </c>
      <c r="Q19">
        <v>4.0738842721712236E-2</v>
      </c>
      <c r="R19">
        <v>-0.37508081409630722</v>
      </c>
      <c r="S19">
        <v>3.9751041012184053E-2</v>
      </c>
      <c r="T19">
        <v>0.42539607476873242</v>
      </c>
      <c r="U19">
        <v>0.29119241281853936</v>
      </c>
      <c r="V19">
        <v>-1.2250065813388371E-2</v>
      </c>
      <c r="W19">
        <v>0.33586035564999056</v>
      </c>
      <c r="X19">
        <v>4.5016205957515695E-2</v>
      </c>
      <c r="Y19">
        <v>-0.27645329877434627</v>
      </c>
      <c r="Z19">
        <v>-0.25822415203823057</v>
      </c>
      <c r="AA19">
        <v>-2.8325415723495638E-2</v>
      </c>
      <c r="AB19">
        <v>0.13790058551458689</v>
      </c>
      <c r="AC19">
        <v>0.48568244963212404</v>
      </c>
      <c r="AD19">
        <v>6.0095316506919891E-2</v>
      </c>
      <c r="AE19">
        <v>-8.5691981756169849E-2</v>
      </c>
      <c r="AF19">
        <v>3.855410664034481E-2</v>
      </c>
      <c r="AG19">
        <v>-0.37198874088988126</v>
      </c>
      <c r="AH19">
        <v>-3.7299888680400912E-2</v>
      </c>
      <c r="AI19">
        <v>-7.8788746567256089E-3</v>
      </c>
      <c r="AJ19">
        <v>0.61605164308347282</v>
      </c>
      <c r="AK19">
        <v>3.2788388231531809E-2</v>
      </c>
      <c r="AL19">
        <v>-0.13569177367944119</v>
      </c>
      <c r="AM19">
        <v>6.2135256340233307E-2</v>
      </c>
      <c r="AN19">
        <v>-0.36711578432315506</v>
      </c>
      <c r="AO19">
        <v>-0.22491695442485385</v>
      </c>
      <c r="AP19">
        <v>-0.19618394986915641</v>
      </c>
      <c r="AQ19">
        <v>-4.9421189850610142E-2</v>
      </c>
      <c r="AR19">
        <v>-0.20859308529133336</v>
      </c>
      <c r="AS19">
        <v>-0.27135840951153389</v>
      </c>
      <c r="AT19">
        <v>8.0523567391324588E-2</v>
      </c>
      <c r="AU19">
        <v>-9.9673479427984962E-2</v>
      </c>
      <c r="AV19">
        <v>1.9559991135204399E-2</v>
      </c>
      <c r="AW19">
        <v>-0.23984788151586153</v>
      </c>
    </row>
    <row r="20" spans="1:49" x14ac:dyDescent="0.25">
      <c r="A20">
        <v>-0.34860327275978953</v>
      </c>
      <c r="B20">
        <v>0.49269261245212148</v>
      </c>
      <c r="C20">
        <v>0.59502138437483043</v>
      </c>
      <c r="D20">
        <v>0.44671079879368458</v>
      </c>
      <c r="E20">
        <v>-8.3880248479852898E-2</v>
      </c>
      <c r="F20">
        <v>0.17245629132814025</v>
      </c>
      <c r="G20">
        <v>0.51971799203080205</v>
      </c>
      <c r="H20">
        <v>-0.35057835956482009</v>
      </c>
      <c r="I20">
        <v>-7.3232027832926289E-2</v>
      </c>
      <c r="J20">
        <v>5.5665787345551374E-2</v>
      </c>
      <c r="K20">
        <v>-0.3335527027666686</v>
      </c>
      <c r="L20">
        <v>4.3533299197551681E-2</v>
      </c>
      <c r="M20">
        <v>-8.3231810753021551E-2</v>
      </c>
      <c r="N20">
        <v>1.626782854627816E-2</v>
      </c>
      <c r="O20">
        <v>-0.34794933137845613</v>
      </c>
      <c r="P20">
        <v>-0.34960306200789654</v>
      </c>
      <c r="Q20">
        <v>9.1318613312016697E-2</v>
      </c>
      <c r="R20">
        <v>-0.18295508693406221</v>
      </c>
      <c r="S20">
        <v>-3.390605585090968E-2</v>
      </c>
      <c r="T20">
        <v>-0.17414416241342615</v>
      </c>
      <c r="U20">
        <v>-3.4677167272632578E-2</v>
      </c>
      <c r="V20">
        <v>-5.8549041210224917E-2</v>
      </c>
      <c r="W20">
        <v>-0.34976577062455427</v>
      </c>
      <c r="X20">
        <v>3.2361783279513806E-2</v>
      </c>
      <c r="Y20">
        <v>-0.34554542826044277</v>
      </c>
      <c r="Z20">
        <v>0.32797212823149691</v>
      </c>
      <c r="AA20">
        <v>-3.2897132549299185E-2</v>
      </c>
      <c r="AB20">
        <v>7.327356930454762E-2</v>
      </c>
      <c r="AC20">
        <v>-0.34857625976337531</v>
      </c>
      <c r="AD20">
        <v>1.5602557380769239E-2</v>
      </c>
      <c r="AE20">
        <v>4.2462508004641367E-2</v>
      </c>
      <c r="AF20">
        <v>-9.4725270825411961E-2</v>
      </c>
      <c r="AG20">
        <v>-0.25951761643826332</v>
      </c>
      <c r="AH20">
        <v>8.4843063129192486E-2</v>
      </c>
      <c r="AI20">
        <v>4.5533618801095799E-2</v>
      </c>
      <c r="AJ20">
        <v>-0.34877547237369244</v>
      </c>
      <c r="AK20">
        <v>0.22928590850277783</v>
      </c>
      <c r="AL20">
        <v>3.9362176199222894E-2</v>
      </c>
      <c r="AM20">
        <v>7.3852935205188777E-2</v>
      </c>
      <c r="AN20">
        <v>-0.33500916295006772</v>
      </c>
      <c r="AO20">
        <v>0.45308235786086842</v>
      </c>
      <c r="AP20">
        <v>0.42876009519561709</v>
      </c>
      <c r="AQ20">
        <v>3.9256152716969132E-2</v>
      </c>
      <c r="AR20">
        <v>0.1493629368004995</v>
      </c>
      <c r="AS20">
        <v>0.1463426239441942</v>
      </c>
      <c r="AT20">
        <v>4.597816972399282E-3</v>
      </c>
      <c r="AU20">
        <v>1.58227457840464E-2</v>
      </c>
      <c r="AV20">
        <v>-3.2970841366366375E-2</v>
      </c>
      <c r="AW20">
        <v>1.0855308587557042E-2</v>
      </c>
    </row>
    <row r="21" spans="1:49" x14ac:dyDescent="0.25">
      <c r="A21">
        <v>-0.36241112780547136</v>
      </c>
      <c r="B21">
        <v>0.44192863815061711</v>
      </c>
      <c r="C21">
        <v>0.429007880338454</v>
      </c>
      <c r="D21">
        <v>0.53091260245972527</v>
      </c>
      <c r="E21">
        <v>4.3759808403405945E-2</v>
      </c>
      <c r="F21">
        <v>0.1137621107490283</v>
      </c>
      <c r="G21">
        <v>0.48611603349376997</v>
      </c>
      <c r="H21">
        <v>-0.3619865143731324</v>
      </c>
      <c r="I21">
        <v>8.156832525163632E-2</v>
      </c>
      <c r="J21">
        <v>-2.4860041629146342E-2</v>
      </c>
      <c r="K21">
        <v>-0.17026750501646509</v>
      </c>
      <c r="L21">
        <v>-7.2271513197319726E-2</v>
      </c>
      <c r="M21">
        <v>-0.10842351446847802</v>
      </c>
      <c r="N21">
        <v>-4.0805470868229596E-2</v>
      </c>
      <c r="O21">
        <v>-0.36171144598292504</v>
      </c>
      <c r="P21">
        <v>-0.36207214722733377</v>
      </c>
      <c r="Q21">
        <v>-1.2467158209089628E-3</v>
      </c>
      <c r="R21">
        <v>-0.20079114296436601</v>
      </c>
      <c r="S21">
        <v>-7.4285687003741926E-2</v>
      </c>
      <c r="T21">
        <v>-0.14599626770701551</v>
      </c>
      <c r="U21">
        <v>-5.523051248481757E-3</v>
      </c>
      <c r="V21">
        <v>9.6533045493697942E-2</v>
      </c>
      <c r="W21">
        <v>-0.36340272386855776</v>
      </c>
      <c r="X21">
        <v>-3.4010098356948002E-3</v>
      </c>
      <c r="Y21">
        <v>-5.8786477109740644E-2</v>
      </c>
      <c r="Z21">
        <v>0.3868475424672807</v>
      </c>
      <c r="AA21">
        <v>-5.282932852468164E-2</v>
      </c>
      <c r="AB21">
        <v>8.811607071485969E-2</v>
      </c>
      <c r="AC21">
        <v>-0.36265136088881195</v>
      </c>
      <c r="AD21">
        <v>5.5389923719285E-2</v>
      </c>
      <c r="AE21">
        <v>7.7028990282302775E-3</v>
      </c>
      <c r="AF21">
        <v>-2.201450317291169E-2</v>
      </c>
      <c r="AG21">
        <v>-0.13773807615803468</v>
      </c>
      <c r="AH21">
        <v>-9.8994276943253551E-2</v>
      </c>
      <c r="AI21">
        <v>0.11119223039872343</v>
      </c>
      <c r="AJ21">
        <v>-0.36178172212292947</v>
      </c>
      <c r="AK21">
        <v>0.11650361278034356</v>
      </c>
      <c r="AL21">
        <v>0.11679657547920953</v>
      </c>
      <c r="AM21">
        <v>1.2290827836876765E-2</v>
      </c>
      <c r="AN21">
        <v>-7.7403060488484332E-2</v>
      </c>
      <c r="AO21">
        <v>0.34387750823831986</v>
      </c>
      <c r="AP21">
        <v>0.3390097732940533</v>
      </c>
      <c r="AQ21">
        <v>-1.4149214849245974E-2</v>
      </c>
      <c r="AR21">
        <v>0.16682041550204543</v>
      </c>
      <c r="AS21">
        <v>0.18712040111060524</v>
      </c>
      <c r="AT21">
        <v>1.2028222707849158E-2</v>
      </c>
      <c r="AU21">
        <v>-0.10056629418292631</v>
      </c>
      <c r="AV21">
        <v>6.4794638187573696E-3</v>
      </c>
      <c r="AW21">
        <v>0.12878288827009715</v>
      </c>
    </row>
    <row r="22" spans="1:49" x14ac:dyDescent="0.25">
      <c r="A22">
        <v>-0.24061238937223028</v>
      </c>
      <c r="B22">
        <v>-0.16471614055471739</v>
      </c>
      <c r="C22">
        <v>-0.2310239644150808</v>
      </c>
      <c r="D22">
        <v>-0.23431028899928966</v>
      </c>
      <c r="E22">
        <v>6.5795421126443238E-2</v>
      </c>
      <c r="F22">
        <v>-1.8336734780165377E-2</v>
      </c>
      <c r="G22">
        <v>-0.13431786658313583</v>
      </c>
      <c r="H22">
        <v>-0.23490773920480371</v>
      </c>
      <c r="I22">
        <v>-1.6781141035270696E-2</v>
      </c>
      <c r="J22">
        <v>-4.0958849270939103E-2</v>
      </c>
      <c r="K22">
        <v>-0.1325876228982702</v>
      </c>
      <c r="L22">
        <v>-4.7314088264199791E-2</v>
      </c>
      <c r="M22">
        <v>-0.1355368356728342</v>
      </c>
      <c r="N22">
        <v>4.56798984019951E-2</v>
      </c>
      <c r="O22">
        <v>0.74241335361817384</v>
      </c>
      <c r="P22">
        <v>-0.24084351829527267</v>
      </c>
      <c r="Q22">
        <v>-1.8710069830090426E-2</v>
      </c>
      <c r="R22">
        <v>-0.19681441947737799</v>
      </c>
      <c r="S22">
        <v>7.5215193600801186E-2</v>
      </c>
      <c r="T22">
        <v>0.71604469924300806</v>
      </c>
      <c r="U22">
        <v>-5.4032212208951005E-2</v>
      </c>
      <c r="V22">
        <v>3.5869557103465059E-2</v>
      </c>
      <c r="W22">
        <v>-0.23780333070064158</v>
      </c>
      <c r="X22">
        <v>5.9653890739046214E-2</v>
      </c>
      <c r="Y22">
        <v>0.2413194949031221</v>
      </c>
      <c r="Z22">
        <v>-7.2109865341237131E-2</v>
      </c>
      <c r="AA22">
        <v>5.1433485111784416E-2</v>
      </c>
      <c r="AB22">
        <v>-0.15838255348133046</v>
      </c>
      <c r="AC22">
        <v>-0.23440596994026586</v>
      </c>
      <c r="AD22">
        <v>-0.24053907926975424</v>
      </c>
      <c r="AE22">
        <v>-0.18849034960184016</v>
      </c>
      <c r="AF22">
        <v>7.0184244713622931E-2</v>
      </c>
      <c r="AG22">
        <v>-0.10684205509756094</v>
      </c>
      <c r="AH22">
        <v>2.7214328461094731E-2</v>
      </c>
      <c r="AI22">
        <v>5.0884345148758607E-2</v>
      </c>
      <c r="AJ22">
        <v>-0.24046761434346881</v>
      </c>
      <c r="AK22">
        <v>-0.23500429034634016</v>
      </c>
      <c r="AL22">
        <v>-0.14455562348769477</v>
      </c>
      <c r="AM22">
        <v>-3.8333859251983599E-2</v>
      </c>
      <c r="AN22">
        <v>8.0309881627489921E-2</v>
      </c>
      <c r="AO22">
        <v>7.5963501277295412E-2</v>
      </c>
      <c r="AP22">
        <v>-0.15566453224303528</v>
      </c>
      <c r="AQ22">
        <v>9.2526614242079225E-2</v>
      </c>
      <c r="AR22">
        <v>-0.19723057214020451</v>
      </c>
      <c r="AS22">
        <v>-0.22283915641466631</v>
      </c>
      <c r="AT22">
        <v>3.39813642872673E-2</v>
      </c>
      <c r="AU22">
        <v>1.8740102470143617E-2</v>
      </c>
      <c r="AV22">
        <v>2.2916000178646281E-2</v>
      </c>
      <c r="AW22">
        <v>6.0524067789449021E-2</v>
      </c>
    </row>
    <row r="23" spans="1:49" x14ac:dyDescent="0.25">
      <c r="A23">
        <v>0.44675567478443756</v>
      </c>
      <c r="B23">
        <v>0.29411056237005623</v>
      </c>
      <c r="C23">
        <v>0.28860908483104547</v>
      </c>
      <c r="D23">
        <v>0.41414077200263277</v>
      </c>
      <c r="E23">
        <v>0.38424835586063227</v>
      </c>
      <c r="F23">
        <v>0.34975963473180627</v>
      </c>
      <c r="G23">
        <v>0.23978844392822757</v>
      </c>
      <c r="H23">
        <v>0.41676813332714913</v>
      </c>
      <c r="I23">
        <v>0.37267816555148031</v>
      </c>
      <c r="J23">
        <v>0.2937888166836744</v>
      </c>
      <c r="K23">
        <v>0.37788816667290331</v>
      </c>
      <c r="L23">
        <v>0.33705440244171986</v>
      </c>
      <c r="M23">
        <v>0.37421437943305425</v>
      </c>
      <c r="N23">
        <v>0.34805795191264677</v>
      </c>
      <c r="O23">
        <v>0.36181897987367007</v>
      </c>
      <c r="P23">
        <v>0.23296665228485841</v>
      </c>
    </row>
    <row r="24" spans="1:49" x14ac:dyDescent="0.25">
      <c r="A24">
        <v>-0.76603628041627592</v>
      </c>
      <c r="B24">
        <v>0.79595079177772221</v>
      </c>
      <c r="C24">
        <v>-0.75564192869658553</v>
      </c>
      <c r="D24">
        <v>-0.71994991423593113</v>
      </c>
      <c r="E24">
        <v>-0.32464554587455463</v>
      </c>
      <c r="F24">
        <v>-0.6386312114208903</v>
      </c>
      <c r="G24">
        <v>0.95068913432843172</v>
      </c>
      <c r="H24">
        <v>-0.65894476828136272</v>
      </c>
      <c r="I24">
        <v>-0.66093657578418163</v>
      </c>
      <c r="J24">
        <v>-0.35012771797872888</v>
      </c>
      <c r="K24">
        <v>-0.70087392748751498</v>
      </c>
      <c r="L24">
        <v>0.16049880165567509</v>
      </c>
      <c r="M24">
        <v>0.51146810150834432</v>
      </c>
      <c r="N24">
        <v>-0.33272648898784085</v>
      </c>
      <c r="O24">
        <v>-0.45177150057214593</v>
      </c>
      <c r="P24">
        <v>1.0348452642139143</v>
      </c>
    </row>
    <row r="25" spans="1:49" x14ac:dyDescent="0.25">
      <c r="A25">
        <v>0.56384605633092821</v>
      </c>
      <c r="B25">
        <v>-0.95599732215926925</v>
      </c>
      <c r="C25">
        <v>-0.92856322014391202</v>
      </c>
      <c r="D25">
        <v>0.73502190470734741</v>
      </c>
      <c r="E25">
        <v>0.80782746086846735</v>
      </c>
      <c r="F25">
        <v>0.59753280778149942</v>
      </c>
      <c r="G25">
        <v>-0.73840017580643136</v>
      </c>
      <c r="H25">
        <v>0.59581387639119499</v>
      </c>
      <c r="I25">
        <v>-0.45029102496340129</v>
      </c>
      <c r="J25">
        <v>-0.21434041228341202</v>
      </c>
      <c r="K25">
        <v>0.64297656929508451</v>
      </c>
      <c r="L25">
        <v>-0.95343405242438872</v>
      </c>
      <c r="M25">
        <v>0.75111899864800868</v>
      </c>
      <c r="N25">
        <v>-0.58570077026389267</v>
      </c>
      <c r="O25">
        <v>-0.58219813831715528</v>
      </c>
      <c r="P25">
        <v>-0.63616265144645157</v>
      </c>
    </row>
    <row r="26" spans="1:49" x14ac:dyDescent="0.25">
      <c r="A26">
        <v>-0.44822623492243679</v>
      </c>
      <c r="B26">
        <v>-0.82115657737715864</v>
      </c>
      <c r="C26">
        <v>0.20858610665995528</v>
      </c>
      <c r="D26">
        <v>0.13381112345562404</v>
      </c>
      <c r="E26">
        <v>-0.15018139355680546</v>
      </c>
      <c r="F26">
        <v>-0.76485760360795862</v>
      </c>
      <c r="G26">
        <v>-0.31737235914745532</v>
      </c>
      <c r="H26">
        <v>0.31066727044141618</v>
      </c>
      <c r="I26">
        <v>0.97027877562270581</v>
      </c>
      <c r="J26">
        <v>-0.93658808425271201</v>
      </c>
      <c r="K26">
        <v>-0.2223706075864009</v>
      </c>
      <c r="L26">
        <v>0.81284445627585</v>
      </c>
      <c r="M26">
        <v>-0.64137382412407051</v>
      </c>
      <c r="N26">
        <v>0.95377054054683519</v>
      </c>
      <c r="O26">
        <v>0.97572166028826923</v>
      </c>
      <c r="P26">
        <v>-0.61770122099023506</v>
      </c>
    </row>
    <row r="27" spans="1:49" x14ac:dyDescent="0.25">
      <c r="A27">
        <v>0.68562911181543473</v>
      </c>
      <c r="B27">
        <v>0.85343167659629926</v>
      </c>
      <c r="C27">
        <v>0.99019749360592912</v>
      </c>
      <c r="D27">
        <v>-0.89592752354408001</v>
      </c>
      <c r="E27">
        <v>-0.87269824904958981</v>
      </c>
      <c r="F27">
        <v>0.64531138638353402</v>
      </c>
      <c r="G27">
        <v>-0.35893292049403758</v>
      </c>
      <c r="H27">
        <v>-0.89712520949572505</v>
      </c>
      <c r="I27">
        <v>-0.30355654988560321</v>
      </c>
      <c r="J27">
        <v>1.0663143955279779</v>
      </c>
      <c r="K27">
        <v>-0.50795495674887625</v>
      </c>
      <c r="L27">
        <v>-0.68458306568078098</v>
      </c>
      <c r="M27">
        <v>-0.78224616230012833</v>
      </c>
      <c r="N27">
        <v>-0.40594526674374748</v>
      </c>
      <c r="O27">
        <v>-0.12220781929938969</v>
      </c>
      <c r="P27">
        <v>-0.23828934545739444</v>
      </c>
    </row>
    <row r="28" spans="1:49" x14ac:dyDescent="0.25">
      <c r="A28">
        <v>-0.18717206486801236</v>
      </c>
      <c r="B28">
        <v>7.7511034317706604E-2</v>
      </c>
      <c r="C28">
        <v>9.4399179845059134E-2</v>
      </c>
      <c r="D28">
        <v>-2.5621369831062128E-3</v>
      </c>
    </row>
    <row r="29" spans="1:49" x14ac:dyDescent="0.25">
      <c r="A29" t="s">
        <v>7</v>
      </c>
    </row>
    <row r="30" spans="1:49" x14ac:dyDescent="0.25">
      <c r="A30">
        <v>49</v>
      </c>
    </row>
    <row r="31" spans="1:49" x14ac:dyDescent="0.25">
      <c r="A31">
        <v>1</v>
      </c>
    </row>
    <row r="32" spans="1:49" x14ac:dyDescent="0.25">
      <c r="A32">
        <v>1</v>
      </c>
    </row>
    <row r="33" spans="1:49" x14ac:dyDescent="0.25">
      <c r="A33" t="s">
        <v>6</v>
      </c>
    </row>
    <row r="34" spans="1:49" x14ac:dyDescent="0.25">
      <c r="A34">
        <v>16</v>
      </c>
    </row>
    <row r="35" spans="1:49" x14ac:dyDescent="0.25">
      <c r="A35">
        <v>2.5170434705291324E-2</v>
      </c>
      <c r="B35">
        <v>5.5176717522996264E-2</v>
      </c>
      <c r="C35">
        <v>-1.5975618830317888E-2</v>
      </c>
      <c r="D35">
        <v>-4.6542419047738155E-2</v>
      </c>
      <c r="E35">
        <v>-5.8392543940725614E-2</v>
      </c>
      <c r="F35">
        <v>-0.66120923821222077</v>
      </c>
      <c r="G35">
        <v>-0.5254019590172867</v>
      </c>
      <c r="H35">
        <v>0.13047528403327971</v>
      </c>
      <c r="I35">
        <v>3.3065683817472609E-2</v>
      </c>
      <c r="J35">
        <v>3.7438539770045035E-2</v>
      </c>
      <c r="K35">
        <v>-2.4865061408964408E-2</v>
      </c>
      <c r="L35">
        <v>-4.9707535539393159E-2</v>
      </c>
      <c r="M35">
        <v>-0.52149694508523781</v>
      </c>
      <c r="N35">
        <v>-3.4137261419883727E-2</v>
      </c>
      <c r="O35">
        <v>0.20153304134313016</v>
      </c>
      <c r="P35">
        <v>0.25846281982276242</v>
      </c>
      <c r="Q35">
        <v>-3.0209403935846035E-2</v>
      </c>
      <c r="R35">
        <v>-0.16391535346575867</v>
      </c>
      <c r="S35">
        <v>1.5940022400517142E-2</v>
      </c>
      <c r="T35">
        <v>-0.58831509228842893</v>
      </c>
      <c r="U35">
        <v>-0.53223934037898801</v>
      </c>
      <c r="V35">
        <v>9.1661014309319208E-2</v>
      </c>
      <c r="W35">
        <v>0.43132035378252997</v>
      </c>
      <c r="X35">
        <v>4.4394431564369549E-2</v>
      </c>
      <c r="Y35">
        <v>-0.1361900254774486</v>
      </c>
      <c r="Z35">
        <v>-0.173169797158396</v>
      </c>
      <c r="AA35">
        <v>-2.9368080587828284E-2</v>
      </c>
      <c r="AB35">
        <v>-0.66656072899486585</v>
      </c>
      <c r="AC35">
        <v>1.1384949833450928</v>
      </c>
      <c r="AD35">
        <v>0.83134752007504231</v>
      </c>
      <c r="AE35">
        <v>0.27585874753862777</v>
      </c>
      <c r="AF35">
        <v>-6.2840156360599655E-2</v>
      </c>
      <c r="AG35">
        <v>-0.281387189657204</v>
      </c>
      <c r="AH35">
        <v>2.0598585818166565E-2</v>
      </c>
      <c r="AI35">
        <v>-0.59906276066681785</v>
      </c>
      <c r="AJ35">
        <v>1.4143383378259156</v>
      </c>
      <c r="AK35">
        <v>1.0664404347754088</v>
      </c>
      <c r="AL35">
        <v>0.48097182660161086</v>
      </c>
      <c r="AM35">
        <v>2.5122014397533341E-2</v>
      </c>
      <c r="AN35">
        <v>-0.15924364866785096</v>
      </c>
      <c r="AO35">
        <v>-0.1986775683576584</v>
      </c>
      <c r="AP35">
        <v>-0.32407705726563818</v>
      </c>
      <c r="AQ35">
        <v>-7.2377518542302982E-2</v>
      </c>
      <c r="AR35">
        <v>1.3816064608732885</v>
      </c>
      <c r="AS35">
        <v>0.46514628667200814</v>
      </c>
      <c r="AT35">
        <v>-0.15964844580204515</v>
      </c>
      <c r="AU35">
        <v>2.3189617519179005E-2</v>
      </c>
      <c r="AV35">
        <v>7.0889337405296751E-2</v>
      </c>
      <c r="AW35">
        <v>-0.24586469943164901</v>
      </c>
    </row>
    <row r="36" spans="1:49" x14ac:dyDescent="0.25">
      <c r="A36">
        <v>0.1604289066768616</v>
      </c>
      <c r="B36">
        <v>0.17094907540833088</v>
      </c>
      <c r="C36">
        <v>0.20844543043241961</v>
      </c>
      <c r="D36">
        <v>0.2369878194205163</v>
      </c>
      <c r="E36">
        <v>0.10009269606718775</v>
      </c>
      <c r="F36">
        <v>-0.1509232471432384</v>
      </c>
      <c r="G36">
        <v>-0.17056674950745535</v>
      </c>
      <c r="H36">
        <v>0.11577970975466775</v>
      </c>
      <c r="I36">
        <v>9.2482998274848807E-2</v>
      </c>
      <c r="J36">
        <v>9.2377450524220819E-2</v>
      </c>
      <c r="K36">
        <v>0.27012831762306744</v>
      </c>
      <c r="L36">
        <v>-9.2912017066819563E-2</v>
      </c>
      <c r="M36">
        <v>-0.15449810290447255</v>
      </c>
      <c r="N36">
        <v>-5.9584095557912171E-2</v>
      </c>
      <c r="O36">
        <v>8.3952033231422141E-2</v>
      </c>
      <c r="P36">
        <v>-2.2879231815934205E-2</v>
      </c>
      <c r="Q36">
        <v>3.7359833540940121E-2</v>
      </c>
      <c r="R36">
        <v>0.26912118450084571</v>
      </c>
      <c r="S36">
        <v>7.6445062724262505E-2</v>
      </c>
      <c r="T36">
        <v>-0.12085441824228092</v>
      </c>
      <c r="U36">
        <v>-0.11847347635527604</v>
      </c>
      <c r="V36">
        <v>-4.00020435580015E-2</v>
      </c>
      <c r="W36">
        <v>-6.5859997254289385E-2</v>
      </c>
      <c r="X36">
        <v>-2.0551658312838863E-2</v>
      </c>
      <c r="Y36">
        <v>0.2916993113896581</v>
      </c>
      <c r="Z36">
        <v>0.28398201334195561</v>
      </c>
      <c r="AA36">
        <v>8.2117715442954192E-3</v>
      </c>
      <c r="AB36">
        <v>-0.13068070125825429</v>
      </c>
      <c r="AC36">
        <v>-0.11802094862049188</v>
      </c>
      <c r="AD36">
        <v>-0.12129272580513599</v>
      </c>
      <c r="AE36">
        <v>-4.4205815043869827E-2</v>
      </c>
      <c r="AF36">
        <v>2.8853600029034161E-2</v>
      </c>
      <c r="AG36">
        <v>0.29791216312051932</v>
      </c>
      <c r="AH36">
        <v>3.1382242352293761E-2</v>
      </c>
      <c r="AI36">
        <v>-0.12034623594812914</v>
      </c>
      <c r="AJ36">
        <v>-0.13426253548797928</v>
      </c>
      <c r="AK36">
        <v>-0.12679724317926627</v>
      </c>
      <c r="AL36">
        <v>-5.5000368826601899E-2</v>
      </c>
      <c r="AM36">
        <v>-7.7040128057409452E-2</v>
      </c>
      <c r="AN36">
        <v>0.27017670483493311</v>
      </c>
      <c r="AO36">
        <v>0.27234128240841132</v>
      </c>
      <c r="AP36">
        <v>0.29510617650037191</v>
      </c>
      <c r="AQ36">
        <v>-6.5690583851261558E-2</v>
      </c>
      <c r="AR36">
        <v>-0.12577026699418531</v>
      </c>
      <c r="AS36">
        <v>-0.10458391068203561</v>
      </c>
      <c r="AT36">
        <v>9.6612401916470525E-2</v>
      </c>
      <c r="AU36">
        <v>4.4908574948375586E-2</v>
      </c>
      <c r="AV36">
        <v>8.6315312757461599E-2</v>
      </c>
      <c r="AW36">
        <v>0.47530603237201202</v>
      </c>
    </row>
    <row r="37" spans="1:49" x14ac:dyDescent="0.25">
      <c r="A37">
        <v>0.14469877250835311</v>
      </c>
      <c r="B37">
        <v>0.21991050286058184</v>
      </c>
      <c r="C37">
        <v>0.26777617123187353</v>
      </c>
      <c r="D37">
        <v>0.10953541861128668</v>
      </c>
      <c r="E37">
        <v>4.644610402400972E-2</v>
      </c>
      <c r="F37">
        <v>-0.14232878497716789</v>
      </c>
      <c r="G37">
        <v>-0.12863145357560962</v>
      </c>
      <c r="H37">
        <v>0.13477255257216006</v>
      </c>
      <c r="I37">
        <v>-8.4482671448554189E-2</v>
      </c>
      <c r="J37">
        <v>-5.972528750042367E-2</v>
      </c>
      <c r="K37">
        <v>0.18203171096801496</v>
      </c>
      <c r="L37">
        <v>4.5377031148595814E-2</v>
      </c>
      <c r="M37">
        <v>-0.10933305521282283</v>
      </c>
      <c r="N37">
        <v>-4.8794225374118802E-2</v>
      </c>
      <c r="O37">
        <v>-2.3105336791990425E-2</v>
      </c>
      <c r="P37">
        <v>-4.7117324163625761E-2</v>
      </c>
      <c r="Q37">
        <v>-5.3551508752937453E-2</v>
      </c>
      <c r="R37">
        <v>0.31580581755393788</v>
      </c>
      <c r="S37">
        <v>4.4045973462838194E-2</v>
      </c>
      <c r="T37">
        <v>-0.18278523311727762</v>
      </c>
      <c r="U37">
        <v>-9.0728882548604062E-2</v>
      </c>
      <c r="V37">
        <v>2.774878662608302E-2</v>
      </c>
      <c r="W37">
        <v>-5.0678432727211495E-2</v>
      </c>
      <c r="X37">
        <v>2.7579741637684181E-2</v>
      </c>
      <c r="Y37">
        <v>0.33101054648985306</v>
      </c>
      <c r="Z37">
        <v>0.30715309545518316</v>
      </c>
      <c r="AA37">
        <v>2.0345572265577309E-2</v>
      </c>
      <c r="AB37">
        <v>-0.10612509755037286</v>
      </c>
      <c r="AC37">
        <v>-0.10636712328403834</v>
      </c>
      <c r="AD37">
        <v>-8.9886401776815866E-2</v>
      </c>
      <c r="AE37">
        <v>-4.9492481052729069E-2</v>
      </c>
      <c r="AF37">
        <v>-3.2549794349742547E-2</v>
      </c>
      <c r="AG37">
        <v>0.18749826458794711</v>
      </c>
      <c r="AH37">
        <v>8.649556880756433E-2</v>
      </c>
      <c r="AI37">
        <v>-8.9854292476182249E-2</v>
      </c>
      <c r="AJ37">
        <v>-0.11908542632240317</v>
      </c>
      <c r="AK37">
        <v>-0.10394692501306063</v>
      </c>
      <c r="AL37">
        <v>-0.10415138746476582</v>
      </c>
      <c r="AM37">
        <v>-7.2393341673429645E-2</v>
      </c>
      <c r="AN37">
        <v>0.36892894917776076</v>
      </c>
      <c r="AO37">
        <v>0.31919441902379908</v>
      </c>
      <c r="AP37">
        <v>0.34174359769413609</v>
      </c>
      <c r="AQ37">
        <v>-8.5914002507897588E-2</v>
      </c>
      <c r="AR37">
        <v>-0.10637453500848693</v>
      </c>
      <c r="AS37">
        <v>-8.0809227884330481E-2</v>
      </c>
      <c r="AT37">
        <v>0.15559994743393482</v>
      </c>
      <c r="AU37">
        <v>2.0244275325670556E-2</v>
      </c>
      <c r="AV37">
        <v>-2.0673342285468174E-2</v>
      </c>
      <c r="AW37">
        <v>0.53367961641439721</v>
      </c>
    </row>
    <row r="38" spans="1:49" x14ac:dyDescent="0.25">
      <c r="A38">
        <v>0.13077448104518427</v>
      </c>
      <c r="B38">
        <v>0.21920523899607972</v>
      </c>
      <c r="C38">
        <v>0.11258707793111786</v>
      </c>
      <c r="D38">
        <v>0.19318281166547829</v>
      </c>
      <c r="E38">
        <v>-8.5424412673638317E-2</v>
      </c>
      <c r="F38">
        <v>-0.10384568275958148</v>
      </c>
      <c r="G38">
        <v>-0.14207490081580704</v>
      </c>
      <c r="H38">
        <v>0.13582885681186596</v>
      </c>
      <c r="I38">
        <v>2.8580404156986546E-2</v>
      </c>
      <c r="J38">
        <v>-6.6385416795812169E-2</v>
      </c>
      <c r="K38">
        <v>0.3029781037167128</v>
      </c>
      <c r="L38">
        <v>-7.7328737634055345E-2</v>
      </c>
      <c r="M38">
        <v>-0.10235339528491959</v>
      </c>
      <c r="N38">
        <v>4.973936243099724E-2</v>
      </c>
      <c r="O38">
        <v>9.6763782677491139E-2</v>
      </c>
      <c r="P38">
        <v>3.9405551314822575E-3</v>
      </c>
      <c r="Q38">
        <v>9.3271818691578703E-2</v>
      </c>
      <c r="R38">
        <v>0.17021737365996864</v>
      </c>
      <c r="S38">
        <v>6.3972028040294782E-2</v>
      </c>
      <c r="T38">
        <v>-0.11824987585037301</v>
      </c>
      <c r="U38">
        <v>-0.10151704273309915</v>
      </c>
      <c r="V38">
        <v>-4.3983957385743594E-2</v>
      </c>
      <c r="W38">
        <v>-4.6881108023192647E-2</v>
      </c>
      <c r="X38">
        <v>4.5662172641707091E-2</v>
      </c>
      <c r="Y38">
        <v>0.25373067529918003</v>
      </c>
      <c r="Z38">
        <v>0.31409104527234355</v>
      </c>
      <c r="AA38">
        <v>8.5151325179201168E-2</v>
      </c>
      <c r="AB38">
        <v>-0.13634178058850391</v>
      </c>
      <c r="AC38">
        <v>-0.1011928972820236</v>
      </c>
      <c r="AD38">
        <v>-8.9081996731212268E-2</v>
      </c>
      <c r="AE38">
        <v>3.9061834835059643E-2</v>
      </c>
      <c r="AF38">
        <v>1.6457380986966727E-3</v>
      </c>
      <c r="AG38">
        <v>0.24982824312647259</v>
      </c>
      <c r="AH38">
        <v>-6.3691968252918257E-2</v>
      </c>
      <c r="AI38">
        <v>-0.10320719449747129</v>
      </c>
      <c r="AJ38">
        <v>-0.143057294649856</v>
      </c>
      <c r="AK38">
        <v>-0.10144660158314381</v>
      </c>
      <c r="AL38">
        <v>-7.2702341485010452E-3</v>
      </c>
      <c r="AM38">
        <v>-4.7697708879345943E-3</v>
      </c>
      <c r="AN38">
        <v>0.15458645290049355</v>
      </c>
      <c r="AO38">
        <v>-8.212270572241237E-2</v>
      </c>
      <c r="AP38">
        <v>0.37179083912013872</v>
      </c>
      <c r="AQ38">
        <v>-9.504239575556464E-2</v>
      </c>
      <c r="AR38">
        <v>-0.10236225130442343</v>
      </c>
      <c r="AS38">
        <v>-0.10266838833467994</v>
      </c>
      <c r="AT38">
        <v>0.2307157905609746</v>
      </c>
      <c r="AU38">
        <v>-6.359222472542804E-2</v>
      </c>
      <c r="AV38">
        <v>-6.5119301382631473E-2</v>
      </c>
      <c r="AW38">
        <v>0.50933593857144177</v>
      </c>
    </row>
    <row r="39" spans="1:49" x14ac:dyDescent="0.25">
      <c r="A39">
        <v>0.17443823430165553</v>
      </c>
      <c r="B39">
        <v>6.3165549140525412E-2</v>
      </c>
      <c r="C39">
        <v>0.1990725646886122</v>
      </c>
      <c r="D39">
        <v>0.27439047869012012</v>
      </c>
      <c r="E39">
        <v>-7.1951739036689222E-2</v>
      </c>
      <c r="F39">
        <v>-0.13718832060944486</v>
      </c>
      <c r="G39">
        <v>-0.11140083818276751</v>
      </c>
      <c r="H39">
        <v>0.10593887500761658</v>
      </c>
      <c r="I39">
        <v>5.4027792225023991E-2</v>
      </c>
      <c r="J39">
        <v>-8.2022246810098648E-2</v>
      </c>
      <c r="K39">
        <v>0.31290530946705425</v>
      </c>
      <c r="L39">
        <v>2.8633051591755013E-2</v>
      </c>
      <c r="M39">
        <v>-0.10552291262747192</v>
      </c>
      <c r="N39">
        <v>-5.9360970141895501E-2</v>
      </c>
      <c r="O39">
        <v>-1.7772135302538947E-2</v>
      </c>
      <c r="P39">
        <v>-3.7019980759803943E-2</v>
      </c>
      <c r="Q39">
        <v>-1.279951621448982E-3</v>
      </c>
      <c r="R39">
        <v>0.24106199463596373</v>
      </c>
      <c r="S39">
        <v>5.0697781766134972E-2</v>
      </c>
      <c r="T39">
        <v>-9.7156162606008345E-2</v>
      </c>
      <c r="U39">
        <v>-0.16365638730181875</v>
      </c>
      <c r="V39">
        <v>-1.8207053214091263E-2</v>
      </c>
      <c r="W39">
        <v>-8.3734899462537288E-2</v>
      </c>
      <c r="X39">
        <v>3.7027884962068318E-2</v>
      </c>
      <c r="Y39">
        <v>0.16053207363975897</v>
      </c>
      <c r="Z39">
        <v>0.2113530451597419</v>
      </c>
      <c r="AA39">
        <v>-6.3108643827570763E-3</v>
      </c>
      <c r="AB39">
        <v>-0.15680810689738767</v>
      </c>
      <c r="AC39">
        <v>-9.0409574292941303E-2</v>
      </c>
      <c r="AD39">
        <v>-9.8845578725044458E-2</v>
      </c>
      <c r="AE39">
        <v>-4.8186041817690657E-2</v>
      </c>
      <c r="AF39">
        <v>9.1385951933980386E-2</v>
      </c>
      <c r="AG39">
        <v>0.11471376791104826</v>
      </c>
      <c r="AH39">
        <v>-5.875111728589958E-2</v>
      </c>
      <c r="AI39">
        <v>-0.16881859086555237</v>
      </c>
      <c r="AJ39">
        <v>-0.11173388601525301</v>
      </c>
      <c r="AK39">
        <v>-9.7095297409957468E-2</v>
      </c>
      <c r="AL39">
        <v>-3.9255712174507428E-2</v>
      </c>
      <c r="AM39">
        <v>-3.5496376864792886E-2</v>
      </c>
      <c r="AN39">
        <v>0.32720155628426656</v>
      </c>
      <c r="AO39">
        <v>0.31000520004004067</v>
      </c>
      <c r="AP39">
        <v>-4.9764613481944053E-2</v>
      </c>
      <c r="AQ39">
        <v>-3.5679173767762994E-2</v>
      </c>
      <c r="AR39">
        <v>-0.15517568180328195</v>
      </c>
      <c r="AS39">
        <v>-9.6059833858284455E-2</v>
      </c>
      <c r="AT39">
        <v>0.23333210645108846</v>
      </c>
      <c r="AU39">
        <v>2.8629740053657725E-2</v>
      </c>
      <c r="AV39">
        <v>-1.8183715901972947E-2</v>
      </c>
      <c r="AW39">
        <v>0.39839656512333971</v>
      </c>
    </row>
    <row r="40" spans="1:49" x14ac:dyDescent="0.25">
      <c r="A40">
        <v>1.3004202579061099E-2</v>
      </c>
      <c r="B40">
        <v>-4.9438226796496884E-2</v>
      </c>
      <c r="C40">
        <v>5.3493334429541108E-2</v>
      </c>
      <c r="D40">
        <v>-5.7491000965133501E-2</v>
      </c>
      <c r="E40">
        <v>4.5942087925603017E-2</v>
      </c>
      <c r="F40">
        <v>-0.61142062636402816</v>
      </c>
      <c r="G40">
        <v>-0.65032202896114688</v>
      </c>
      <c r="H40">
        <v>0.14552517690230099</v>
      </c>
      <c r="I40">
        <v>6.3553064282183061E-2</v>
      </c>
      <c r="J40">
        <v>-8.3580921561728541E-2</v>
      </c>
      <c r="K40">
        <v>-0.10324724822834794</v>
      </c>
      <c r="L40">
        <v>8.4641589151353697E-3</v>
      </c>
      <c r="M40">
        <v>-0.49429957301344718</v>
      </c>
      <c r="N40">
        <v>5.7405007154245215E-2</v>
      </c>
      <c r="O40">
        <v>0.22156445759505061</v>
      </c>
      <c r="P40">
        <v>0.42243392393088597</v>
      </c>
      <c r="Q40">
        <v>-2.5435550824584242E-2</v>
      </c>
      <c r="R40">
        <v>-3.4736912084424802E-2</v>
      </c>
      <c r="S40">
        <v>-4.5489238101288534E-2</v>
      </c>
      <c r="T40">
        <v>-0.52305466133785106</v>
      </c>
      <c r="U40">
        <v>-0.50444399745405621</v>
      </c>
      <c r="V40">
        <v>2.4618997781534181E-2</v>
      </c>
      <c r="W40">
        <v>0.63996042060335045</v>
      </c>
      <c r="X40">
        <v>3.475218393965767E-2</v>
      </c>
      <c r="Y40">
        <v>-0.13412746278312798</v>
      </c>
      <c r="Z40">
        <v>-0.17919698644396559</v>
      </c>
      <c r="AA40">
        <v>-9.5686953530820101E-2</v>
      </c>
      <c r="AB40">
        <v>-0.54509784513561998</v>
      </c>
      <c r="AC40">
        <v>1.057001056982122</v>
      </c>
      <c r="AD40">
        <v>0.79938216102535908</v>
      </c>
      <c r="AE40">
        <v>0.33371878786513492</v>
      </c>
      <c r="AF40">
        <v>8.8661194303621248E-3</v>
      </c>
      <c r="AG40">
        <v>-0.12857021077758835</v>
      </c>
      <c r="AH40">
        <v>-4.5812817520241744E-2</v>
      </c>
      <c r="AI40">
        <v>-0.47331847135830413</v>
      </c>
      <c r="AJ40">
        <v>1.4251031715537099</v>
      </c>
      <c r="AK40">
        <v>1.1534508896426947</v>
      </c>
      <c r="AL40">
        <v>0.44713218165315693</v>
      </c>
      <c r="AM40">
        <v>1.0159485791594288E-2</v>
      </c>
      <c r="AN40">
        <v>-0.17634894267383949</v>
      </c>
      <c r="AO40">
        <v>-0.22765412817504671</v>
      </c>
      <c r="AP40">
        <v>-0.24586004580294726</v>
      </c>
      <c r="AQ40">
        <v>-2.6830659678121704E-2</v>
      </c>
      <c r="AR40">
        <v>1.2172026312927049</v>
      </c>
      <c r="AS40">
        <v>0.35742087740097489</v>
      </c>
      <c r="AT40">
        <v>-6.536446974990999E-2</v>
      </c>
      <c r="AU40">
        <v>-9.1025223078554013E-2</v>
      </c>
      <c r="AV40">
        <v>2.1112560614778559E-3</v>
      </c>
      <c r="AW40">
        <v>-0.28113329009045385</v>
      </c>
    </row>
    <row r="41" spans="1:49" x14ac:dyDescent="0.25">
      <c r="A41">
        <v>6.2955797106452896E-2</v>
      </c>
      <c r="B41">
        <v>6.2341346422935762E-2</v>
      </c>
      <c r="C41">
        <v>2.3585099461691798E-2</v>
      </c>
      <c r="D41">
        <v>-8.9983088060316921E-2</v>
      </c>
      <c r="E41">
        <v>-7.5420183830001444E-2</v>
      </c>
      <c r="F41">
        <v>1.4633606783492816E-2</v>
      </c>
      <c r="G41">
        <v>2.8993429893775024E-2</v>
      </c>
      <c r="H41">
        <v>-4.3841344492339444E-2</v>
      </c>
      <c r="I41">
        <v>9.2406399388169441E-2</v>
      </c>
      <c r="J41">
        <v>8.1053134217395878E-2</v>
      </c>
      <c r="K41">
        <v>-2.9023704709624128E-2</v>
      </c>
      <c r="L41">
        <v>1.3883027396007884E-2</v>
      </c>
      <c r="M41">
        <v>3.2342077441217594E-2</v>
      </c>
      <c r="N41">
        <v>-9.8938426347998251E-2</v>
      </c>
      <c r="O41">
        <v>1.9734707885217129E-2</v>
      </c>
      <c r="P41">
        <v>-2.2449338229976943E-2</v>
      </c>
      <c r="Q41">
        <v>-9.2415768030495574E-2</v>
      </c>
      <c r="R41">
        <v>6.0623734364577193E-2</v>
      </c>
      <c r="S41">
        <v>7.5541036907617265E-2</v>
      </c>
      <c r="T41">
        <v>9.492409389607416E-3</v>
      </c>
      <c r="U41">
        <v>-3.9893714115371785E-2</v>
      </c>
      <c r="V41">
        <v>-2.5988348889653127E-2</v>
      </c>
      <c r="W41">
        <v>-6.4855991957048845E-2</v>
      </c>
      <c r="X41">
        <v>-7.0440581846266184E-2</v>
      </c>
      <c r="Y41">
        <v>2.4745982473117753E-2</v>
      </c>
      <c r="Z41">
        <v>-1.7471072903437315E-2</v>
      </c>
      <c r="AA41">
        <v>-4.5769731399106894E-2</v>
      </c>
      <c r="AB41">
        <v>-9.0754929318075279E-3</v>
      </c>
      <c r="AC41">
        <v>-3.768753130909068E-2</v>
      </c>
      <c r="AD41">
        <v>-6.8598451475465469E-3</v>
      </c>
      <c r="AE41">
        <v>-9.8467405210997214E-2</v>
      </c>
      <c r="AF41">
        <v>6.0086618453685924E-2</v>
      </c>
      <c r="AG41">
        <v>3.3352387778515555E-2</v>
      </c>
      <c r="AH41">
        <v>-2.551230625670094E-2</v>
      </c>
      <c r="AI41">
        <v>3.4101665855438862E-2</v>
      </c>
      <c r="AJ41">
        <v>-1.8903945333240538E-2</v>
      </c>
      <c r="AK41">
        <v>-5.1508518544090526E-2</v>
      </c>
      <c r="AL41">
        <v>6.3506895420128551E-2</v>
      </c>
      <c r="AM41">
        <v>-9.3233200136386002E-2</v>
      </c>
      <c r="AN41">
        <v>-9.9543004826951956E-2</v>
      </c>
      <c r="AO41">
        <v>3.2088681244271076E-2</v>
      </c>
      <c r="AP41">
        <v>3.4826306440933485E-2</v>
      </c>
      <c r="AQ41">
        <v>9.3458601482222264E-2</v>
      </c>
      <c r="AR41">
        <v>1.7746087110949257E-2</v>
      </c>
      <c r="AS41">
        <v>-3.7458445124498897E-2</v>
      </c>
      <c r="AT41">
        <v>-4.7598073729466193E-2</v>
      </c>
      <c r="AU41">
        <v>-5.8130318291247547E-2</v>
      </c>
      <c r="AV41">
        <v>-1.7322354737977445E-2</v>
      </c>
      <c r="AW41">
        <v>-2.8483960125636903E-2</v>
      </c>
    </row>
    <row r="42" spans="1:49" x14ac:dyDescent="0.25">
      <c r="A42">
        <v>0.17966952475874431</v>
      </c>
      <c r="B42">
        <v>0.21263845714282512</v>
      </c>
      <c r="C42">
        <v>0.14227478305116092</v>
      </c>
      <c r="D42">
        <v>0.1108990233307007</v>
      </c>
      <c r="E42">
        <v>-1.5171661268250111E-3</v>
      </c>
      <c r="F42">
        <v>-0.16748898750295071</v>
      </c>
      <c r="G42">
        <v>-0.19831866059640951</v>
      </c>
      <c r="H42">
        <v>8.9700727707479347E-2</v>
      </c>
      <c r="I42">
        <v>5.3296712990754024E-2</v>
      </c>
      <c r="J42">
        <v>1.3799998104441423E-2</v>
      </c>
      <c r="K42">
        <v>0.25837229683766977</v>
      </c>
      <c r="L42">
        <v>-6.2668137008891608E-2</v>
      </c>
      <c r="M42">
        <v>-0.12807985086539145</v>
      </c>
      <c r="N42">
        <v>8.1557342987110051E-2</v>
      </c>
      <c r="O42">
        <v>-1.3009003903504906E-2</v>
      </c>
      <c r="P42">
        <v>-1.3956478479263772E-2</v>
      </c>
      <c r="Q42">
        <v>-6.941015160995842E-2</v>
      </c>
      <c r="R42">
        <v>0.26849176234673483</v>
      </c>
      <c r="S42">
        <v>3.3582608893480365E-4</v>
      </c>
      <c r="T42">
        <v>-0.14438693147610659</v>
      </c>
      <c r="U42">
        <v>-0.16841434647556036</v>
      </c>
      <c r="V42">
        <v>8.2956618357671735E-2</v>
      </c>
      <c r="W42">
        <v>-5.5233811250332498E-2</v>
      </c>
      <c r="X42">
        <v>-2.5535414771641625E-2</v>
      </c>
      <c r="Y42">
        <v>0.24472463840661088</v>
      </c>
      <c r="Z42">
        <v>0.27050012862030204</v>
      </c>
      <c r="AA42">
        <v>-7.9159488355758117E-2</v>
      </c>
      <c r="AB42">
        <v>-0.13085361668856857</v>
      </c>
      <c r="AC42">
        <v>-0.12915976326499595</v>
      </c>
      <c r="AD42">
        <v>-0.14475841394042085</v>
      </c>
      <c r="AE42">
        <v>-6.9560162724892502E-2</v>
      </c>
      <c r="AF42">
        <v>-7.498826292646181E-2</v>
      </c>
      <c r="AG42">
        <v>0.27926794840096003</v>
      </c>
      <c r="AH42">
        <v>-4.3825003557073937E-2</v>
      </c>
      <c r="AI42">
        <v>-0.13295015798429161</v>
      </c>
      <c r="AJ42">
        <v>-0.12835110060122418</v>
      </c>
      <c r="AK42">
        <v>-0.12799135269678616</v>
      </c>
      <c r="AL42">
        <v>-1.9880982269480017E-2</v>
      </c>
      <c r="AM42">
        <v>-4.2454689092417598E-2</v>
      </c>
      <c r="AN42">
        <v>0.38565158643431957</v>
      </c>
      <c r="AO42">
        <v>0.32330050053952214</v>
      </c>
      <c r="AP42">
        <v>0.27219456446268875</v>
      </c>
      <c r="AQ42">
        <v>-2.4531585217722588E-2</v>
      </c>
      <c r="AR42">
        <v>-0.18411976254004089</v>
      </c>
      <c r="AS42">
        <v>-3.3341528771463923E-2</v>
      </c>
      <c r="AT42">
        <v>0.21719737291273544</v>
      </c>
      <c r="AU42">
        <v>1.085601665204204E-2</v>
      </c>
      <c r="AV42">
        <v>7.5398050713554876E-2</v>
      </c>
      <c r="AW42">
        <v>0.46188277218663498</v>
      </c>
    </row>
    <row r="43" spans="1:49" x14ac:dyDescent="0.25">
      <c r="A43">
        <v>1.3701150509583461E-2</v>
      </c>
      <c r="B43">
        <v>0.27866326009958797</v>
      </c>
      <c r="C43">
        <v>0.2953665810198271</v>
      </c>
      <c r="D43">
        <v>0.18069437991808857</v>
      </c>
      <c r="E43">
        <v>-7.7390223865054383E-2</v>
      </c>
      <c r="F43">
        <v>-0.22152018366450729</v>
      </c>
      <c r="G43">
        <v>-0.22262223093315836</v>
      </c>
      <c r="H43">
        <v>0.12741859560747307</v>
      </c>
      <c r="I43">
        <v>-8.4824783438895476E-2</v>
      </c>
      <c r="J43">
        <v>3.2525517765000268E-2</v>
      </c>
      <c r="K43">
        <v>0.37138703238080673</v>
      </c>
      <c r="L43">
        <v>1.7547178069891273E-2</v>
      </c>
      <c r="M43">
        <v>-0.22273654609419308</v>
      </c>
      <c r="N43">
        <v>-4.1841705327675158E-2</v>
      </c>
      <c r="O43">
        <v>1.2683726149597091E-2</v>
      </c>
      <c r="P43">
        <v>-3.3699750720511339E-2</v>
      </c>
      <c r="Q43">
        <v>2.9081927570352752E-3</v>
      </c>
      <c r="R43">
        <v>0.24543304975558169</v>
      </c>
      <c r="S43">
        <v>-2.8309159081927149E-2</v>
      </c>
      <c r="T43">
        <v>-0.22290544092221609</v>
      </c>
      <c r="U43">
        <v>-0.22122046290972303</v>
      </c>
      <c r="V43">
        <v>4.806421787399668E-2</v>
      </c>
      <c r="W43">
        <v>-7.716886433194986E-2</v>
      </c>
      <c r="X43">
        <v>2.4967793057853623E-4</v>
      </c>
      <c r="Y43">
        <v>0.14100460288006139</v>
      </c>
      <c r="Z43">
        <v>3.5173412714630904E-2</v>
      </c>
      <c r="AA43">
        <v>-6.1184567941308145E-2</v>
      </c>
      <c r="AB43">
        <v>-0.22325215077690264</v>
      </c>
      <c r="AC43">
        <v>-0.15509508220023169</v>
      </c>
      <c r="AD43">
        <v>-0.16724421347097229</v>
      </c>
      <c r="AE43">
        <v>9.178566720502363E-4</v>
      </c>
      <c r="AF43">
        <v>1.9126938287733319E-2</v>
      </c>
      <c r="AG43">
        <v>-9.5692627666919786E-2</v>
      </c>
      <c r="AH43">
        <v>-9.1448931367612382E-2</v>
      </c>
      <c r="AI43">
        <v>-0.22351380658732062</v>
      </c>
      <c r="AJ43">
        <v>-0.16658707738342213</v>
      </c>
      <c r="AK43">
        <v>-0.16650036628763379</v>
      </c>
      <c r="AL43">
        <v>-3.2084012725722519E-2</v>
      </c>
      <c r="AM43">
        <v>6.5064028801298607E-2</v>
      </c>
      <c r="AN43">
        <v>0.10728231798398524</v>
      </c>
      <c r="AO43">
        <v>-0.10054660651295368</v>
      </c>
      <c r="AP43">
        <v>-0.15735380904945337</v>
      </c>
      <c r="AQ43">
        <v>4.1317530993723525E-2</v>
      </c>
      <c r="AR43">
        <v>-0.18090713102367706</v>
      </c>
      <c r="AS43">
        <v>-3.2030874801831671E-2</v>
      </c>
      <c r="AT43">
        <v>9.1026777044778517E-2</v>
      </c>
      <c r="AU43">
        <v>3.1024885244748248E-2</v>
      </c>
      <c r="AV43">
        <v>7.9444039792990237E-2</v>
      </c>
      <c r="AW43">
        <v>-0.186269112116008</v>
      </c>
    </row>
    <row r="44" spans="1:49" x14ac:dyDescent="0.25">
      <c r="A44">
        <v>0.13883515531230273</v>
      </c>
      <c r="B44">
        <v>0.19708796374103146</v>
      </c>
      <c r="C44">
        <v>0.13866814070261027</v>
      </c>
      <c r="D44">
        <v>6.4869796710224178E-2</v>
      </c>
      <c r="E44">
        <v>-4.0121391391027637E-3</v>
      </c>
      <c r="F44">
        <v>-0.22013081624707456</v>
      </c>
      <c r="G44">
        <v>-0.21878377145543243</v>
      </c>
      <c r="H44">
        <v>1.8346331400685822E-2</v>
      </c>
      <c r="I44">
        <v>-1.1204799886404765E-3</v>
      </c>
      <c r="J44">
        <v>-7.2601113594631644E-2</v>
      </c>
      <c r="K44">
        <v>0.11856183863607603</v>
      </c>
      <c r="L44">
        <v>-5.471901258255937E-3</v>
      </c>
      <c r="M44">
        <v>-0.21927778863615907</v>
      </c>
      <c r="N44">
        <v>-7.2655976749436108E-2</v>
      </c>
      <c r="O44">
        <v>9.8715826206387511E-2</v>
      </c>
      <c r="P44">
        <v>3.6695501086009257E-3</v>
      </c>
      <c r="Q44">
        <v>1.2183955471009854E-2</v>
      </c>
      <c r="R44">
        <v>0.31260832076315409</v>
      </c>
      <c r="S44">
        <v>-9.5487008881484425E-2</v>
      </c>
      <c r="T44">
        <v>-0.21848363329921144</v>
      </c>
      <c r="U44">
        <v>-0.21921438949145941</v>
      </c>
      <c r="V44">
        <v>1.4946753642639263E-2</v>
      </c>
      <c r="W44">
        <v>-6.0155557333205809E-2</v>
      </c>
      <c r="X44">
        <v>-7.8242360890204352E-2</v>
      </c>
      <c r="Y44">
        <v>0.14560310598967743</v>
      </c>
      <c r="Z44">
        <v>-4.9260661439108934E-2</v>
      </c>
      <c r="AA44">
        <v>-5.9952157964979449E-2</v>
      </c>
      <c r="AB44">
        <v>-0.2190563993997284</v>
      </c>
      <c r="AC44">
        <v>-0.10260133213517682</v>
      </c>
      <c r="AD44">
        <v>-0.1460515897949905</v>
      </c>
      <c r="AE44">
        <v>-6.6829850042106592E-2</v>
      </c>
      <c r="AF44">
        <v>6.2982335743561976E-2</v>
      </c>
      <c r="AG44">
        <v>-0.16713084106007681</v>
      </c>
      <c r="AH44">
        <v>4.6740939292278502E-2</v>
      </c>
      <c r="AI44">
        <v>-0.21843887152851152</v>
      </c>
      <c r="AJ44">
        <v>-0.1363416915586721</v>
      </c>
      <c r="AK44">
        <v>-0.14797777185932692</v>
      </c>
      <c r="AL44">
        <v>-2.4683357698116548E-3</v>
      </c>
      <c r="AM44">
        <v>6.6566371279404513E-2</v>
      </c>
      <c r="AN44">
        <v>-0.14822078174546849</v>
      </c>
      <c r="AO44">
        <v>-0.11175726285507676</v>
      </c>
      <c r="AP44">
        <v>-0.18801439648435489</v>
      </c>
      <c r="AQ44">
        <v>-4.1512719070155831E-3</v>
      </c>
      <c r="AR44">
        <v>-0.15804457986977319</v>
      </c>
      <c r="AS44">
        <v>-8.6611119080414078E-2</v>
      </c>
      <c r="AT44">
        <v>0.10094892010908139</v>
      </c>
      <c r="AU44">
        <v>-1.9196926140174837E-2</v>
      </c>
      <c r="AV44">
        <v>-7.6401290211594766E-2</v>
      </c>
      <c r="AW44">
        <v>-0.12370924615713992</v>
      </c>
    </row>
    <row r="45" spans="1:49" x14ac:dyDescent="0.25">
      <c r="A45">
        <v>6.9572729952015494E-2</v>
      </c>
      <c r="B45">
        <v>0.23831498629121739</v>
      </c>
      <c r="C45">
        <v>0.14613692132499276</v>
      </c>
      <c r="D45">
        <v>0.18494054668790808</v>
      </c>
      <c r="E45">
        <v>1.0651339513716421E-2</v>
      </c>
      <c r="F45">
        <v>-0.10297873194088079</v>
      </c>
      <c r="G45">
        <v>-0.103604120267435</v>
      </c>
      <c r="H45">
        <v>0.13656761557791122</v>
      </c>
      <c r="I45">
        <v>5.6463807817213357E-2</v>
      </c>
      <c r="J45">
        <v>-3.5394658456401024E-2</v>
      </c>
      <c r="K45">
        <v>0.283507652676527</v>
      </c>
      <c r="L45">
        <v>-7.085222409469373E-2</v>
      </c>
      <c r="M45">
        <v>0.67572505274672534</v>
      </c>
      <c r="N45">
        <v>-7.1091594110322176E-2</v>
      </c>
      <c r="O45">
        <v>-2.8992132725046495E-2</v>
      </c>
      <c r="P45">
        <v>-2.8148437147691106E-4</v>
      </c>
      <c r="Q45">
        <v>-5.3372228101328828E-2</v>
      </c>
      <c r="R45">
        <v>0.31150725791739947</v>
      </c>
      <c r="S45">
        <v>-2.990464609524212E-2</v>
      </c>
      <c r="T45">
        <v>-8.302093480493343E-2</v>
      </c>
      <c r="U45">
        <v>-0.13750729333705392</v>
      </c>
      <c r="V45">
        <v>8.450830877440553E-2</v>
      </c>
      <c r="W45">
        <v>-4.1936006769468168E-2</v>
      </c>
      <c r="X45">
        <v>-9.03650589273928E-2</v>
      </c>
      <c r="Y45">
        <v>0.35972638325594958</v>
      </c>
      <c r="Z45">
        <v>0.23615371069422508</v>
      </c>
      <c r="AA45">
        <v>-6.837445903856515E-2</v>
      </c>
      <c r="AB45">
        <v>-0.16038588783009292</v>
      </c>
      <c r="AC45">
        <v>-7.6518966699223964E-2</v>
      </c>
      <c r="AD45">
        <v>-9.4860397900527832E-2</v>
      </c>
      <c r="AE45">
        <v>-2.6586978546707704E-2</v>
      </c>
      <c r="AF45">
        <v>4.4991255023197244E-2</v>
      </c>
      <c r="AG45">
        <v>0.29115258292013618</v>
      </c>
      <c r="AH45">
        <v>8.1401435773489905E-2</v>
      </c>
      <c r="AI45">
        <v>-0.12378187849081332</v>
      </c>
      <c r="AJ45">
        <v>-9.6414240280192617E-2</v>
      </c>
      <c r="AK45">
        <v>-0.10918232775405776</v>
      </c>
      <c r="AL45">
        <v>-8.5160022653319928E-2</v>
      </c>
      <c r="AM45">
        <v>-3.8317012554535956E-2</v>
      </c>
      <c r="AN45">
        <v>0.35983828707481946</v>
      </c>
      <c r="AO45">
        <v>0.34993673029132627</v>
      </c>
      <c r="AP45">
        <v>0.29068992186714254</v>
      </c>
      <c r="AQ45">
        <v>-1.4867902910053738E-2</v>
      </c>
      <c r="AR45">
        <v>-0.15121885740352031</v>
      </c>
      <c r="AS45">
        <v>-8.4120169537104425E-2</v>
      </c>
      <c r="AT45">
        <v>0.16310548695743862</v>
      </c>
      <c r="AU45">
        <v>8.6951417079101451E-2</v>
      </c>
      <c r="AV45">
        <v>4.6152484993369396E-3</v>
      </c>
      <c r="AW45">
        <v>0.48384370858724446</v>
      </c>
    </row>
    <row r="46" spans="1:49" x14ac:dyDescent="0.25">
      <c r="A46">
        <v>6.9242092814445627E-2</v>
      </c>
      <c r="B46">
        <v>6.4833038762718509E-2</v>
      </c>
      <c r="C46">
        <v>0.24064168262050223</v>
      </c>
      <c r="D46">
        <v>8.8213274057288071E-2</v>
      </c>
      <c r="E46">
        <v>0.10072391135440033</v>
      </c>
      <c r="F46">
        <v>-0.12719677747673733</v>
      </c>
      <c r="G46">
        <v>-0.1181812268119906</v>
      </c>
      <c r="H46">
        <v>9.4846249744095182E-2</v>
      </c>
      <c r="I46">
        <v>4.7361015769527488E-4</v>
      </c>
      <c r="J46">
        <v>-6.7198008035102202E-2</v>
      </c>
      <c r="K46">
        <v>0.2593414522344436</v>
      </c>
      <c r="L46">
        <v>0.10022374868214319</v>
      </c>
      <c r="M46">
        <v>-9.9545928729201871E-2</v>
      </c>
      <c r="N46">
        <v>7.9015863937989705E-2</v>
      </c>
      <c r="O46">
        <v>-6.6200225366621289E-4</v>
      </c>
      <c r="P46">
        <v>-3.8450713780356485E-2</v>
      </c>
      <c r="Q46">
        <v>5.4008585304059741E-2</v>
      </c>
      <c r="R46">
        <v>0.14725371568204562</v>
      </c>
      <c r="S46">
        <v>7.6191338696226921E-2</v>
      </c>
      <c r="T46">
        <v>-0.10067601590644103</v>
      </c>
      <c r="U46">
        <v>-0.11842586951337811</v>
      </c>
      <c r="V46">
        <v>2.2559799098945638E-2</v>
      </c>
      <c r="W46">
        <v>-4.5550302538074364E-2</v>
      </c>
      <c r="X46">
        <v>9.3904466971640663E-2</v>
      </c>
      <c r="Y46">
        <v>0.13922636068309288</v>
      </c>
      <c r="Z46">
        <v>0.20467183951743761</v>
      </c>
      <c r="AA46">
        <v>-7.8700111790902805E-2</v>
      </c>
      <c r="AB46">
        <v>-0.15719417329910365</v>
      </c>
      <c r="AC46">
        <v>-9.9403374736374922E-2</v>
      </c>
      <c r="AD46">
        <v>-0.10415092732052676</v>
      </c>
      <c r="AE46">
        <v>2.9033327434661926E-2</v>
      </c>
      <c r="AF46">
        <v>8.3529984084813935E-2</v>
      </c>
      <c r="AG46">
        <v>0.19616520118576558</v>
      </c>
      <c r="AH46">
        <v>4.2118200695863341E-2</v>
      </c>
      <c r="AI46">
        <v>-0.17188584376292823</v>
      </c>
      <c r="AJ46">
        <v>-9.9049498889004967E-2</v>
      </c>
      <c r="AK46">
        <v>-0.11592299689843269</v>
      </c>
      <c r="AL46">
        <v>-7.8279241337482805E-2</v>
      </c>
      <c r="AM46">
        <v>-3.9727185895926886E-2</v>
      </c>
      <c r="AN46">
        <v>0.28038916589138657</v>
      </c>
      <c r="AO46">
        <v>0.28714947245314915</v>
      </c>
      <c r="AP46">
        <v>-9.730329962021525E-2</v>
      </c>
      <c r="AQ46">
        <v>-3.6215125135384239E-2</v>
      </c>
      <c r="AR46">
        <v>-0.116245174301598</v>
      </c>
      <c r="AS46">
        <v>-9.891818655920033E-2</v>
      </c>
      <c r="AT46">
        <v>0.16817233234026069</v>
      </c>
      <c r="AU46">
        <v>2.1963951038612053E-2</v>
      </c>
      <c r="AV46">
        <v>-9.5194040116506839E-2</v>
      </c>
      <c r="AW46">
        <v>0.37569061007922755</v>
      </c>
    </row>
    <row r="47" spans="1:49" x14ac:dyDescent="0.25">
      <c r="A47">
        <v>-7.6028423063797243E-2</v>
      </c>
      <c r="B47">
        <v>-5.9612261694674165E-2</v>
      </c>
      <c r="C47">
        <v>5.9759109159696989E-2</v>
      </c>
      <c r="D47">
        <v>6.025609790822864E-2</v>
      </c>
      <c r="E47">
        <v>8.5458888795720236E-2</v>
      </c>
      <c r="F47">
        <v>-1.8232582162332148E-2</v>
      </c>
      <c r="G47">
        <v>1.9405086604107016E-2</v>
      </c>
      <c r="H47">
        <v>-3.679306680607905E-2</v>
      </c>
      <c r="I47">
        <v>-8.7388612359683315E-2</v>
      </c>
      <c r="J47">
        <v>6.0982347362152876E-2</v>
      </c>
      <c r="K47">
        <v>-3.2957017200054804E-2</v>
      </c>
      <c r="L47">
        <v>-9.1643384884684924E-3</v>
      </c>
      <c r="M47">
        <v>-7.67074449191779E-2</v>
      </c>
      <c r="N47">
        <v>7.7492399867801502E-4</v>
      </c>
      <c r="O47">
        <v>6.9145216375857951E-2</v>
      </c>
      <c r="P47">
        <v>-9.8336810190397028E-2</v>
      </c>
      <c r="Q47">
        <v>9.2606175450111072E-2</v>
      </c>
      <c r="R47">
        <v>3.4751861837034242E-2</v>
      </c>
      <c r="S47">
        <v>-1.1688705917093416E-2</v>
      </c>
      <c r="T47">
        <v>-4.8800583527265587E-2</v>
      </c>
      <c r="U47">
        <v>2.7854414001966876E-2</v>
      </c>
      <c r="V47">
        <v>-2.1930137224149597E-2</v>
      </c>
      <c r="W47">
        <v>1.2709924056512377E-3</v>
      </c>
      <c r="X47">
        <v>7.7111320105522713E-2</v>
      </c>
      <c r="Y47">
        <v>2.857596986830483E-2</v>
      </c>
      <c r="Z47">
        <v>-1.3602835147107461E-2</v>
      </c>
      <c r="AA47">
        <v>-7.8904307250959732E-2</v>
      </c>
      <c r="AB47">
        <v>-7.2366500151906571E-2</v>
      </c>
      <c r="AC47">
        <v>-9.2090900122173608E-2</v>
      </c>
      <c r="AD47">
        <v>5.5803583456268561E-2</v>
      </c>
      <c r="AE47">
        <v>8.1087077470281141E-2</v>
      </c>
      <c r="AF47">
        <v>-4.9361112528547045E-2</v>
      </c>
      <c r="AG47">
        <v>-9.2004342537288952E-2</v>
      </c>
      <c r="AH47">
        <v>0.10077388547477753</v>
      </c>
      <c r="AI47">
        <v>2.8536068893312727E-2</v>
      </c>
      <c r="AJ47">
        <v>-9.3179529135296563E-2</v>
      </c>
      <c r="AK47">
        <v>-2.0082985357397724E-2</v>
      </c>
      <c r="AL47">
        <v>-8.7911389826655723E-2</v>
      </c>
      <c r="AM47">
        <v>2.1166267741738157E-3</v>
      </c>
      <c r="AN47">
        <v>2.6883323293094199E-2</v>
      </c>
      <c r="AO47">
        <v>-4.840542671758416E-2</v>
      </c>
      <c r="AP47">
        <v>-3.1897168463486426E-2</v>
      </c>
      <c r="AQ47">
        <v>-2.8559101935553468E-2</v>
      </c>
      <c r="AR47">
        <v>-7.7582232864913296E-3</v>
      </c>
      <c r="AS47">
        <v>7.7305135398889238E-2</v>
      </c>
      <c r="AT47">
        <v>7.4196949824691411E-2</v>
      </c>
      <c r="AU47">
        <v>7.2263336708708617E-2</v>
      </c>
      <c r="AV47">
        <v>9.9211778765483191E-2</v>
      </c>
      <c r="AW47">
        <v>-7.1956351106111987E-3</v>
      </c>
    </row>
    <row r="48" spans="1:49" x14ac:dyDescent="0.25">
      <c r="A48">
        <v>0.17211305423350196</v>
      </c>
      <c r="B48">
        <v>9.7011793030405191E-2</v>
      </c>
      <c r="C48">
        <v>-5.1201138130632574E-2</v>
      </c>
      <c r="D48">
        <v>-5.6409629309352914E-2</v>
      </c>
      <c r="E48">
        <v>-7.2974257707433658E-4</v>
      </c>
      <c r="F48">
        <v>-0.52691934607703306</v>
      </c>
      <c r="G48">
        <v>-0.57038705797421008</v>
      </c>
      <c r="H48">
        <v>0.13956790888837903</v>
      </c>
      <c r="I48">
        <v>8.264996992986319E-2</v>
      </c>
      <c r="J48">
        <v>9.0457240106064485E-2</v>
      </c>
      <c r="K48">
        <v>9.3064086250306439E-3</v>
      </c>
      <c r="L48">
        <v>-1.914207502732709E-2</v>
      </c>
      <c r="M48">
        <v>-0.48848646424023257</v>
      </c>
      <c r="N48">
        <v>9.5983426505202446E-3</v>
      </c>
      <c r="O48">
        <v>0.21027192436114725</v>
      </c>
      <c r="P48">
        <v>0.37480652038966322</v>
      </c>
      <c r="Q48">
        <v>-4.2428293123293062E-2</v>
      </c>
      <c r="R48">
        <v>-7.7995529746736708E-2</v>
      </c>
      <c r="S48">
        <v>-6.4854920222900986E-2</v>
      </c>
      <c r="T48">
        <v>-0.6164522168583213</v>
      </c>
      <c r="U48">
        <v>-0.67645745645035504</v>
      </c>
      <c r="V48">
        <v>3.7187814189232088E-2</v>
      </c>
      <c r="W48">
        <v>0.49653289873924122</v>
      </c>
      <c r="X48">
        <v>1.548630555531901E-2</v>
      </c>
      <c r="Y48">
        <v>-0.11449555945939399</v>
      </c>
      <c r="Z48">
        <v>-0.14026781492525336</v>
      </c>
      <c r="AA48">
        <v>7.873154129793522E-2</v>
      </c>
      <c r="AB48">
        <v>-0.53030900065494224</v>
      </c>
      <c r="AC48">
        <v>1.0404220157296304</v>
      </c>
      <c r="AD48">
        <v>0.62446056588592058</v>
      </c>
      <c r="AE48">
        <v>0.13603754062002957</v>
      </c>
      <c r="AF48">
        <v>7.7325799396616296E-2</v>
      </c>
      <c r="AG48">
        <v>-0.15472064099399846</v>
      </c>
      <c r="AH48">
        <v>-8.4499193013170465E-2</v>
      </c>
      <c r="AI48">
        <v>-0.46680440543390744</v>
      </c>
      <c r="AJ48">
        <v>1.4378365437443095</v>
      </c>
      <c r="AK48">
        <v>0.87646254651888766</v>
      </c>
      <c r="AL48">
        <v>0.2919512108654489</v>
      </c>
      <c r="AM48">
        <v>7.4238976253635139E-2</v>
      </c>
      <c r="AN48">
        <v>-0.17110246255005657</v>
      </c>
      <c r="AO48">
        <v>-0.14619679063689497</v>
      </c>
      <c r="AP48">
        <v>-0.2050492940242736</v>
      </c>
      <c r="AQ48">
        <v>1.3803044719490926E-2</v>
      </c>
      <c r="AR48">
        <v>1.4151793403246895</v>
      </c>
      <c r="AS48">
        <v>0.27134158067188152</v>
      </c>
      <c r="AT48">
        <v>-0.21606330530117929</v>
      </c>
      <c r="AU48">
        <v>2.6610725380635143E-2</v>
      </c>
      <c r="AV48">
        <v>-4.1338724837546144E-2</v>
      </c>
      <c r="AW48">
        <v>-0.37312989274665781</v>
      </c>
    </row>
    <row r="49" spans="1:49" x14ac:dyDescent="0.25">
      <c r="A49">
        <v>0.20615728968699629</v>
      </c>
      <c r="B49">
        <v>0.17205869259165119</v>
      </c>
      <c r="C49">
        <v>0.17917906066283898</v>
      </c>
      <c r="D49">
        <v>0.23863171362544844</v>
      </c>
      <c r="E49">
        <v>3.3638423362865502E-2</v>
      </c>
      <c r="F49">
        <v>-6.8622631020842276E-2</v>
      </c>
      <c r="G49">
        <v>-0.11011891981293441</v>
      </c>
      <c r="H49">
        <v>2.4352901779519289E-2</v>
      </c>
      <c r="I49">
        <v>-7.32796537717436E-2</v>
      </c>
      <c r="J49">
        <v>-9.6934981925011265E-2</v>
      </c>
      <c r="K49">
        <v>0.25851261713659851</v>
      </c>
      <c r="L49">
        <v>0.10024688128099732</v>
      </c>
      <c r="M49">
        <v>-0.10747241540485057</v>
      </c>
      <c r="N49">
        <v>-8.7761852808139071E-2</v>
      </c>
      <c r="O49">
        <v>8.4402321524261567E-2</v>
      </c>
      <c r="P49">
        <v>-3.9031231692277669E-3</v>
      </c>
      <c r="Q49">
        <v>7.5675786403284942E-2</v>
      </c>
      <c r="R49">
        <v>0.14399020056218417</v>
      </c>
      <c r="S49">
        <v>6.3863325297006834E-2</v>
      </c>
      <c r="T49">
        <v>-7.3552077620250317E-2</v>
      </c>
      <c r="U49">
        <v>-7.1162209369526733E-2</v>
      </c>
      <c r="V49">
        <v>-4.2245086793794566E-2</v>
      </c>
      <c r="W49">
        <v>-6.3387044912201693E-2</v>
      </c>
      <c r="X49">
        <v>-8.4760587767635023E-2</v>
      </c>
      <c r="Y49">
        <v>0.26266300988596947</v>
      </c>
      <c r="Z49">
        <v>0.25257474719709322</v>
      </c>
      <c r="AA49">
        <v>-4.4952022328211966E-3</v>
      </c>
      <c r="AB49">
        <v>-8.9055731228684556E-2</v>
      </c>
      <c r="AC49">
        <v>-6.8973076490361288E-2</v>
      </c>
      <c r="AD49">
        <v>-6.830167076770359E-2</v>
      </c>
      <c r="AE49">
        <v>5.1460553358411334E-2</v>
      </c>
      <c r="AF49">
        <v>-2.1607605455430802E-3</v>
      </c>
      <c r="AG49">
        <v>0.28916400072779835</v>
      </c>
      <c r="AH49">
        <v>2.3989263654997837E-3</v>
      </c>
      <c r="AI49">
        <v>-0.11540247775102234</v>
      </c>
      <c r="AJ49">
        <v>-6.8540377793571E-2</v>
      </c>
      <c r="AK49">
        <v>-6.9412772737818262E-2</v>
      </c>
      <c r="AL49">
        <v>-6.9769176697592576E-3</v>
      </c>
      <c r="AM49">
        <v>-5.9796539758320513E-2</v>
      </c>
      <c r="AN49">
        <v>0.21047839759389464</v>
      </c>
      <c r="AO49">
        <v>0.2602674203525312</v>
      </c>
      <c r="AP49">
        <v>-8.1720653851815997E-2</v>
      </c>
      <c r="AQ49">
        <v>4.3243545635017644E-2</v>
      </c>
      <c r="AR49">
        <v>-6.9098149816269633E-2</v>
      </c>
      <c r="AS49">
        <v>-6.4387412431434393E-2</v>
      </c>
      <c r="AT49">
        <v>0.19563868413955568</v>
      </c>
      <c r="AU49">
        <v>-8.4545072868263751E-2</v>
      </c>
      <c r="AV49">
        <v>1.1118338637173845E-2</v>
      </c>
      <c r="AW49">
        <v>0.33304773391212833</v>
      </c>
    </row>
    <row r="50" spans="1:49" x14ac:dyDescent="0.25">
      <c r="A50">
        <v>1.9915090153110677E-2</v>
      </c>
      <c r="B50">
        <v>0.12398578999150621</v>
      </c>
      <c r="C50">
        <v>0.1270455103587842</v>
      </c>
      <c r="D50">
        <v>0.27583194021965679</v>
      </c>
      <c r="E50">
        <v>4.2364205829643072E-2</v>
      </c>
      <c r="F50">
        <v>-6.8260174922496725E-2</v>
      </c>
      <c r="G50">
        <v>-9.6752104732937202E-2</v>
      </c>
      <c r="H50">
        <v>5.3511316407901549E-2</v>
      </c>
      <c r="I50">
        <v>-2.6888364734711477E-2</v>
      </c>
      <c r="J50">
        <v>3.3737950135134798E-4</v>
      </c>
      <c r="K50">
        <v>0.1509179323892724</v>
      </c>
      <c r="L50">
        <v>-8.4360770720703967E-3</v>
      </c>
      <c r="M50">
        <v>-0.12323273889917498</v>
      </c>
      <c r="N50">
        <v>-7.4129069314675444E-2</v>
      </c>
      <c r="O50">
        <v>1.9091419938211847E-2</v>
      </c>
      <c r="P50">
        <v>-1.2853538083969508E-2</v>
      </c>
      <c r="Q50">
        <v>-4.7060183606813445E-2</v>
      </c>
      <c r="R50">
        <v>0.14133303411537609</v>
      </c>
      <c r="S50">
        <v>6.5154403686462692E-2</v>
      </c>
      <c r="T50">
        <v>-9.3444299518169682E-2</v>
      </c>
      <c r="U50">
        <v>-6.8265316515608174E-2</v>
      </c>
      <c r="V50">
        <v>6.6193925600092102E-2</v>
      </c>
      <c r="W50">
        <v>-1.4205400236681107E-2</v>
      </c>
      <c r="X50">
        <v>2.109306468685309E-2</v>
      </c>
      <c r="Y50">
        <v>0.22496088456798491</v>
      </c>
      <c r="Z50">
        <v>0.20098530023819516</v>
      </c>
      <c r="AA50">
        <v>7.3276751660174702E-3</v>
      </c>
      <c r="AB50">
        <v>-9.0241795271308572E-2</v>
      </c>
      <c r="AC50">
        <v>-6.6889259063170572E-2</v>
      </c>
      <c r="AD50">
        <v>-8.9061175722403435E-2</v>
      </c>
      <c r="AE50">
        <v>5.1180562370984228E-2</v>
      </c>
      <c r="AF50">
        <v>8.8392863382087461E-2</v>
      </c>
      <c r="AG50">
        <v>0.30889845581847147</v>
      </c>
      <c r="AH50">
        <v>-4.7388941067155139E-2</v>
      </c>
      <c r="AI50">
        <v>-8.8035535948632712E-2</v>
      </c>
      <c r="AJ50">
        <v>-6.8289174842998429E-2</v>
      </c>
      <c r="AK50">
        <v>-6.55609563029112E-2</v>
      </c>
      <c r="AL50">
        <v>-2.455992007659806E-2</v>
      </c>
      <c r="AM50">
        <v>-8.3878153179384074E-2</v>
      </c>
      <c r="AN50">
        <v>0.33880197134084539</v>
      </c>
      <c r="AO50">
        <v>0.32340943628106833</v>
      </c>
      <c r="AP50">
        <v>-9.5997527440848399E-2</v>
      </c>
      <c r="AQ50">
        <v>-7.9079818770115815E-2</v>
      </c>
      <c r="AR50">
        <v>-6.6613837782761878E-2</v>
      </c>
      <c r="AS50">
        <v>-0.11907441776161534</v>
      </c>
      <c r="AT50">
        <v>0.1580682850071134</v>
      </c>
      <c r="AU50">
        <v>-9.0332545644255829E-2</v>
      </c>
      <c r="AV50">
        <v>-8.1030531464637318E-2</v>
      </c>
      <c r="AW50">
        <v>0.32119966832524049</v>
      </c>
    </row>
    <row r="51" spans="1:49" x14ac:dyDescent="0.25">
      <c r="A51">
        <v>0.74087524643009506</v>
      </c>
      <c r="B51">
        <v>-2.0329361512106899E-2</v>
      </c>
      <c r="C51">
        <v>-1.9141370716486399E-2</v>
      </c>
      <c r="D51">
        <v>-4.7497500027973483E-2</v>
      </c>
      <c r="E51">
        <v>-2.9210045612013152E-2</v>
      </c>
      <c r="F51">
        <v>0.71086183607166742</v>
      </c>
      <c r="G51">
        <v>-6.695091028071197E-2</v>
      </c>
      <c r="H51">
        <v>-3.2638639232792234E-2</v>
      </c>
      <c r="I51">
        <v>-4.786509571687235E-2</v>
      </c>
      <c r="J51">
        <v>-6.0605396802238136E-2</v>
      </c>
      <c r="K51">
        <v>6.7052587656416737E-2</v>
      </c>
      <c r="L51">
        <v>-4.0605687517657287E-2</v>
      </c>
      <c r="M51">
        <v>-8.7377617705963737E-2</v>
      </c>
      <c r="N51">
        <v>0.70574193472835334</v>
      </c>
      <c r="O51">
        <v>-6.5978998717772144E-2</v>
      </c>
      <c r="P51">
        <v>-6.8938867016840308E-2</v>
      </c>
    </row>
    <row r="52" spans="1:49" x14ac:dyDescent="0.25">
      <c r="A52">
        <v>1.3998212415414442</v>
      </c>
      <c r="B52">
        <v>-0.33092896368246477</v>
      </c>
      <c r="C52">
        <v>-0.17634762149371896</v>
      </c>
      <c r="D52">
        <v>-0.13961283587920595</v>
      </c>
      <c r="E52">
        <v>-0.33135611803465609</v>
      </c>
      <c r="F52">
        <v>1.4331512201436387</v>
      </c>
      <c r="G52">
        <v>3.1008937660421714E-2</v>
      </c>
      <c r="H52">
        <v>-0.24057093538174978</v>
      </c>
      <c r="I52">
        <v>-0.38872452145343134</v>
      </c>
      <c r="J52">
        <v>-0.3550870440224867</v>
      </c>
      <c r="K52">
        <v>-0.26090764695520274</v>
      </c>
      <c r="L52">
        <v>-0.26938277424032808</v>
      </c>
      <c r="M52">
        <v>4.4540171393831686E-2</v>
      </c>
      <c r="N52">
        <v>1.5737893730948171</v>
      </c>
      <c r="O52">
        <v>-0.34456951991890322</v>
      </c>
      <c r="P52">
        <v>-0.30035375895486655</v>
      </c>
    </row>
    <row r="53" spans="1:49" x14ac:dyDescent="0.25">
      <c r="A53">
        <v>0.54578696020873174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A728-BE73-4BDB-A3C8-154C1BCE8E42}">
  <sheetPr codeName="Sheet10"/>
  <dimension ref="B2:X33"/>
  <sheetViews>
    <sheetView workbookViewId="0">
      <selection activeCell="J26" sqref="J26"/>
    </sheetView>
  </sheetViews>
  <sheetFormatPr defaultRowHeight="15" x14ac:dyDescent="0.25"/>
  <cols>
    <col min="3" max="21" width="4" customWidth="1"/>
  </cols>
  <sheetData>
    <row r="2" spans="2:24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L2" s="14"/>
      <c r="M2" s="33" t="s">
        <v>26</v>
      </c>
      <c r="N2" s="34"/>
      <c r="O2" s="34"/>
      <c r="P2" s="34"/>
      <c r="Q2" s="34"/>
      <c r="R2" s="35"/>
      <c r="S2" s="36"/>
    </row>
    <row r="3" spans="2:24" ht="18" customHeight="1" x14ac:dyDescent="0.25">
      <c r="B3" s="14">
        <v>7</v>
      </c>
      <c r="C3" s="18">
        <v>3</v>
      </c>
      <c r="D3" s="19">
        <v>2</v>
      </c>
      <c r="E3" s="20">
        <v>2</v>
      </c>
      <c r="F3" s="20">
        <v>2</v>
      </c>
      <c r="G3" s="20">
        <v>2</v>
      </c>
      <c r="H3" s="20">
        <v>3</v>
      </c>
      <c r="I3" s="21">
        <v>4</v>
      </c>
      <c r="M3" s="37" t="str">
        <f t="shared" ref="M3:S9" si="0">INDEX($X$3:$X$6,MATCH(C3,$W$3:$W$6,0))</f>
        <v>↓</v>
      </c>
      <c r="N3" s="38" t="str">
        <f t="shared" si="0"/>
        <v>→</v>
      </c>
      <c r="O3" s="39" t="str">
        <f t="shared" si="0"/>
        <v>→</v>
      </c>
      <c r="P3" s="39" t="str">
        <f t="shared" si="0"/>
        <v>→</v>
      </c>
      <c r="Q3" s="39" t="str">
        <f t="shared" si="0"/>
        <v>→</v>
      </c>
      <c r="R3" s="39" t="str">
        <f t="shared" si="0"/>
        <v>↓</v>
      </c>
      <c r="S3" s="52" t="str">
        <f t="shared" si="0"/>
        <v>←</v>
      </c>
      <c r="W3">
        <v>1</v>
      </c>
      <c r="X3" s="32" t="s">
        <v>22</v>
      </c>
    </row>
    <row r="4" spans="2:24" ht="18" customHeight="1" x14ac:dyDescent="0.25">
      <c r="B4" s="14">
        <v>6</v>
      </c>
      <c r="C4" s="22">
        <v>2</v>
      </c>
      <c r="D4" s="23">
        <v>2</v>
      </c>
      <c r="E4" s="23">
        <v>1</v>
      </c>
      <c r="F4" s="24">
        <v>2</v>
      </c>
      <c r="G4" s="24">
        <v>2</v>
      </c>
      <c r="H4" s="23">
        <v>3</v>
      </c>
      <c r="I4" s="25">
        <v>2</v>
      </c>
      <c r="M4" s="40" t="str">
        <f t="shared" si="0"/>
        <v>→</v>
      </c>
      <c r="N4" s="41" t="str">
        <f t="shared" si="0"/>
        <v>→</v>
      </c>
      <c r="O4" s="41" t="str">
        <f t="shared" si="0"/>
        <v>↑</v>
      </c>
      <c r="P4" s="42" t="str">
        <f t="shared" si="0"/>
        <v>→</v>
      </c>
      <c r="Q4" s="42" t="str">
        <f t="shared" si="0"/>
        <v>→</v>
      </c>
      <c r="R4" s="41" t="str">
        <f t="shared" si="0"/>
        <v>↓</v>
      </c>
      <c r="S4" s="54" t="str">
        <f t="shared" si="0"/>
        <v>→</v>
      </c>
      <c r="W4">
        <v>2</v>
      </c>
      <c r="X4" s="32" t="s">
        <v>23</v>
      </c>
    </row>
    <row r="5" spans="2:24" ht="18" customHeight="1" x14ac:dyDescent="0.25">
      <c r="B5" s="14">
        <v>5</v>
      </c>
      <c r="C5" s="26">
        <v>3</v>
      </c>
      <c r="D5" s="24">
        <v>2</v>
      </c>
      <c r="E5" s="24">
        <v>2</v>
      </c>
      <c r="F5" s="23">
        <v>3</v>
      </c>
      <c r="G5" s="23">
        <v>4</v>
      </c>
      <c r="H5" s="23">
        <v>4</v>
      </c>
      <c r="I5" s="25">
        <v>3</v>
      </c>
      <c r="M5" s="43" t="str">
        <f t="shared" si="0"/>
        <v>↓</v>
      </c>
      <c r="N5" s="42" t="str">
        <f t="shared" si="0"/>
        <v>→</v>
      </c>
      <c r="O5" s="42" t="str">
        <f t="shared" si="0"/>
        <v>→</v>
      </c>
      <c r="P5" s="41" t="str">
        <f t="shared" si="0"/>
        <v>↓</v>
      </c>
      <c r="Q5" s="41" t="str">
        <f t="shared" si="0"/>
        <v>←</v>
      </c>
      <c r="R5" s="41" t="str">
        <f t="shared" si="0"/>
        <v>←</v>
      </c>
      <c r="S5" s="54" t="str">
        <f t="shared" si="0"/>
        <v>↓</v>
      </c>
      <c r="W5">
        <v>3</v>
      </c>
      <c r="X5" s="32" t="s">
        <v>24</v>
      </c>
    </row>
    <row r="6" spans="2:24" ht="18" customHeight="1" x14ac:dyDescent="0.25">
      <c r="B6" s="14">
        <v>4</v>
      </c>
      <c r="C6" s="22">
        <v>3</v>
      </c>
      <c r="D6" s="23">
        <v>4</v>
      </c>
      <c r="E6" s="23">
        <v>4</v>
      </c>
      <c r="F6" s="23">
        <v>4</v>
      </c>
      <c r="G6" s="24">
        <v>2</v>
      </c>
      <c r="H6" s="24">
        <v>2</v>
      </c>
      <c r="I6" s="27">
        <v>3</v>
      </c>
      <c r="M6" s="40" t="str">
        <f t="shared" si="0"/>
        <v>↓</v>
      </c>
      <c r="N6" s="41" t="str">
        <f t="shared" si="0"/>
        <v>←</v>
      </c>
      <c r="O6" s="41" t="str">
        <f t="shared" si="0"/>
        <v>←</v>
      </c>
      <c r="P6" s="41" t="str">
        <f t="shared" si="0"/>
        <v>←</v>
      </c>
      <c r="Q6" s="42" t="str">
        <f t="shared" si="0"/>
        <v>→</v>
      </c>
      <c r="R6" s="42" t="str">
        <f t="shared" si="0"/>
        <v>→</v>
      </c>
      <c r="S6" s="53" t="str">
        <f t="shared" si="0"/>
        <v>↓</v>
      </c>
      <c r="W6">
        <v>4</v>
      </c>
      <c r="X6" s="32" t="s">
        <v>25</v>
      </c>
    </row>
    <row r="7" spans="2:24" ht="18" customHeight="1" x14ac:dyDescent="0.25">
      <c r="B7" s="14">
        <v>3</v>
      </c>
      <c r="C7" s="22">
        <v>3</v>
      </c>
      <c r="D7" s="24">
        <v>2</v>
      </c>
      <c r="E7" s="24">
        <v>2</v>
      </c>
      <c r="F7" s="24">
        <v>2</v>
      </c>
      <c r="G7" s="23">
        <v>3</v>
      </c>
      <c r="H7" s="23">
        <v>3</v>
      </c>
      <c r="I7" s="27">
        <v>3</v>
      </c>
      <c r="M7" s="40" t="str">
        <f t="shared" si="0"/>
        <v>↓</v>
      </c>
      <c r="N7" s="42" t="str">
        <f t="shared" si="0"/>
        <v>→</v>
      </c>
      <c r="O7" s="42" t="str">
        <f t="shared" si="0"/>
        <v>→</v>
      </c>
      <c r="P7" s="42" t="str">
        <f t="shared" si="0"/>
        <v>→</v>
      </c>
      <c r="Q7" s="41" t="str">
        <f t="shared" si="0"/>
        <v>↓</v>
      </c>
      <c r="R7" s="41" t="str">
        <f t="shared" si="0"/>
        <v>↓</v>
      </c>
      <c r="S7" s="53" t="str">
        <f t="shared" si="0"/>
        <v>↓</v>
      </c>
    </row>
    <row r="8" spans="2:24" ht="18" customHeight="1" x14ac:dyDescent="0.25">
      <c r="B8" s="14">
        <v>2</v>
      </c>
      <c r="C8" s="22">
        <v>3</v>
      </c>
      <c r="D8" s="24">
        <v>3</v>
      </c>
      <c r="E8" s="23">
        <v>2</v>
      </c>
      <c r="F8" s="23">
        <v>2</v>
      </c>
      <c r="G8" s="23">
        <v>2</v>
      </c>
      <c r="H8" s="23">
        <v>3</v>
      </c>
      <c r="I8" s="27">
        <v>3</v>
      </c>
      <c r="M8" s="40" t="str">
        <f t="shared" si="0"/>
        <v>↓</v>
      </c>
      <c r="N8" s="42" t="str">
        <f t="shared" si="0"/>
        <v>↓</v>
      </c>
      <c r="O8" s="41" t="str">
        <f t="shared" si="0"/>
        <v>→</v>
      </c>
      <c r="P8" s="41" t="str">
        <f t="shared" si="0"/>
        <v>→</v>
      </c>
      <c r="Q8" s="41" t="str">
        <f t="shared" si="0"/>
        <v>→</v>
      </c>
      <c r="R8" s="41" t="str">
        <f t="shared" si="0"/>
        <v>↓</v>
      </c>
      <c r="S8" s="53" t="str">
        <f t="shared" si="0"/>
        <v>↓</v>
      </c>
    </row>
    <row r="9" spans="2:24" ht="18" customHeight="1" x14ac:dyDescent="0.25">
      <c r="B9" s="14">
        <v>1</v>
      </c>
      <c r="C9" s="28">
        <v>2</v>
      </c>
      <c r="D9" s="29">
        <v>2</v>
      </c>
      <c r="E9" s="29">
        <v>1</v>
      </c>
      <c r="F9" s="30">
        <v>3</v>
      </c>
      <c r="G9" s="29">
        <v>2</v>
      </c>
      <c r="H9" s="29">
        <v>2</v>
      </c>
      <c r="I9" s="31">
        <v>2</v>
      </c>
      <c r="M9" s="44" t="str">
        <f t="shared" si="0"/>
        <v>→</v>
      </c>
      <c r="N9" s="45" t="str">
        <f t="shared" si="0"/>
        <v>→</v>
      </c>
      <c r="O9" s="45" t="str">
        <f t="shared" si="0"/>
        <v>↑</v>
      </c>
      <c r="P9" s="46" t="str">
        <f t="shared" si="0"/>
        <v>↓</v>
      </c>
      <c r="Q9" s="45" t="str">
        <f t="shared" si="0"/>
        <v>→</v>
      </c>
      <c r="R9" s="45" t="str">
        <f t="shared" si="0"/>
        <v>→</v>
      </c>
      <c r="S9" s="55" t="str">
        <f t="shared" si="0"/>
        <v>→</v>
      </c>
    </row>
    <row r="10" spans="2:24" x14ac:dyDescent="0.25">
      <c r="B10" s="14"/>
      <c r="C10" s="17"/>
      <c r="D10" s="17"/>
      <c r="E10" s="17"/>
      <c r="F10" s="17"/>
      <c r="G10" s="17"/>
      <c r="H10" s="17"/>
      <c r="I10" s="17"/>
      <c r="L10" s="17"/>
      <c r="M10" s="17"/>
      <c r="N10" s="17"/>
      <c r="O10" s="17"/>
      <c r="P10" s="17"/>
      <c r="Q10" s="17"/>
    </row>
    <row r="11" spans="2:24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24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2:24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2:24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2:24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2:24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2:17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2:17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2:17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2:17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2:17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2:17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2:17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2:17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2:17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2:17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2:17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2:17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2:17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2:17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FAB5-0DB6-4827-B5E7-70C21DD5B7E8}">
  <sheetPr codeName="Sheet5"/>
  <dimension ref="B2:S33"/>
  <sheetViews>
    <sheetView workbookViewId="0">
      <selection activeCell="O12" sqref="O12"/>
    </sheetView>
  </sheetViews>
  <sheetFormatPr defaultRowHeight="15" x14ac:dyDescent="0.25"/>
  <cols>
    <col min="3" max="9" width="4" customWidth="1"/>
    <col min="11" max="17" width="4" customWidth="1"/>
  </cols>
  <sheetData>
    <row r="2" spans="2:19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/>
      <c r="K2" s="14"/>
      <c r="L2" s="14"/>
      <c r="M2" s="14"/>
      <c r="O2" s="14"/>
      <c r="P2" s="14"/>
      <c r="Q2" s="14"/>
      <c r="R2" s="14"/>
      <c r="S2" s="14"/>
    </row>
    <row r="3" spans="2:19" ht="18" customHeight="1" x14ac:dyDescent="0.25">
      <c r="B3" s="14">
        <v>7</v>
      </c>
      <c r="C3" s="18">
        <v>1.1471938099738779</v>
      </c>
      <c r="D3" s="19">
        <v>3.7395028433101674</v>
      </c>
      <c r="E3" s="20">
        <v>1.1797555112320985</v>
      </c>
      <c r="F3" s="20">
        <v>1.163473353470921</v>
      </c>
      <c r="G3" s="20">
        <v>1.4607719975090734</v>
      </c>
      <c r="H3" s="20">
        <v>2.2395673549006503</v>
      </c>
      <c r="I3" s="21">
        <v>1.4448731349110147</v>
      </c>
      <c r="J3" s="15"/>
      <c r="K3" s="18"/>
      <c r="L3" s="19"/>
      <c r="M3" s="20"/>
      <c r="N3" s="20"/>
      <c r="O3" s="20"/>
      <c r="P3" s="20"/>
      <c r="Q3" s="21"/>
      <c r="R3" s="15"/>
      <c r="S3" s="15"/>
    </row>
    <row r="4" spans="2:19" ht="18" customHeight="1" x14ac:dyDescent="0.25">
      <c r="B4" s="14">
        <v>6</v>
      </c>
      <c r="C4" s="22">
        <v>1.0812485114547439</v>
      </c>
      <c r="D4" s="23">
        <v>1.3113618222358965</v>
      </c>
      <c r="E4" s="23">
        <v>1.1690231953210621</v>
      </c>
      <c r="F4" s="24">
        <v>3.6525351426337034</v>
      </c>
      <c r="G4" s="24">
        <v>3.4884562089829467</v>
      </c>
      <c r="H4" s="23">
        <v>2.2600156206852073</v>
      </c>
      <c r="I4" s="25">
        <v>3.6869708009536053</v>
      </c>
      <c r="J4" s="15"/>
      <c r="K4" s="22"/>
      <c r="L4" s="23"/>
      <c r="M4" s="23"/>
      <c r="N4" s="24"/>
      <c r="O4" s="24"/>
      <c r="P4" s="23"/>
      <c r="Q4" s="25"/>
      <c r="R4" s="15"/>
      <c r="S4" s="15"/>
    </row>
    <row r="5" spans="2:19" ht="18" customHeight="1" x14ac:dyDescent="0.25">
      <c r="B5" s="14">
        <v>5</v>
      </c>
      <c r="C5" s="26">
        <v>3.6276164219989528</v>
      </c>
      <c r="D5" s="24">
        <v>3.5922703506730671</v>
      </c>
      <c r="E5" s="24">
        <v>3.5159994733767661</v>
      </c>
      <c r="F5" s="23">
        <v>2.4722679878280411</v>
      </c>
      <c r="G5" s="23">
        <v>2.3688909563926677</v>
      </c>
      <c r="H5" s="23">
        <v>2.2945180133926373</v>
      </c>
      <c r="I5" s="25">
        <v>3.6077203279860464</v>
      </c>
      <c r="J5" s="15"/>
      <c r="K5" s="26"/>
      <c r="L5" s="24"/>
      <c r="M5" s="24"/>
      <c r="N5" s="23"/>
      <c r="O5" s="23"/>
      <c r="P5" s="23"/>
      <c r="Q5" s="25"/>
      <c r="R5" s="15"/>
      <c r="S5" s="15"/>
    </row>
    <row r="6" spans="2:19" ht="18" customHeight="1" x14ac:dyDescent="0.25">
      <c r="B6" s="14">
        <v>4</v>
      </c>
      <c r="C6" s="22">
        <v>3.0146204000803336</v>
      </c>
      <c r="D6" s="23">
        <v>2.8611518514205949</v>
      </c>
      <c r="E6" s="23">
        <v>2.6892330250994365</v>
      </c>
      <c r="F6" s="23">
        <v>2.5622156452590055</v>
      </c>
      <c r="G6" s="24">
        <v>3.687871010805865</v>
      </c>
      <c r="H6" s="24">
        <v>3.8626048098529089</v>
      </c>
      <c r="I6" s="27">
        <v>2.6712574882998847</v>
      </c>
      <c r="J6" s="15"/>
      <c r="K6" s="22"/>
      <c r="L6" s="23"/>
      <c r="M6" s="23"/>
      <c r="N6" s="23"/>
      <c r="O6" s="24"/>
      <c r="P6" s="24"/>
      <c r="Q6" s="27"/>
      <c r="R6" s="15"/>
      <c r="S6" s="15"/>
    </row>
    <row r="7" spans="2:19" ht="18" customHeight="1" x14ac:dyDescent="0.25">
      <c r="B7" s="14">
        <v>3</v>
      </c>
      <c r="C7" s="22">
        <v>3.1983201158853642</v>
      </c>
      <c r="D7" s="24">
        <v>3.7556600386760337</v>
      </c>
      <c r="E7" s="24">
        <v>3.5445128636497198</v>
      </c>
      <c r="F7" s="24">
        <v>3.83022676986092</v>
      </c>
      <c r="G7" s="23">
        <v>4.7803006036340445</v>
      </c>
      <c r="H7" s="23">
        <v>5.4858938565201862</v>
      </c>
      <c r="I7" s="27">
        <v>5.3027358474361241</v>
      </c>
      <c r="J7" s="15"/>
      <c r="K7" s="22"/>
      <c r="L7" s="24"/>
      <c r="M7" s="24"/>
      <c r="N7" s="24"/>
      <c r="O7" s="23"/>
      <c r="P7" s="23"/>
      <c r="Q7" s="27"/>
      <c r="R7" s="15"/>
      <c r="S7" s="15"/>
    </row>
    <row r="8" spans="2:19" ht="18" customHeight="1" x14ac:dyDescent="0.25">
      <c r="B8" s="14">
        <v>2</v>
      </c>
      <c r="C8" s="22">
        <v>3.4301618268652452</v>
      </c>
      <c r="D8" s="24">
        <v>3.9112743778206678</v>
      </c>
      <c r="E8" s="23">
        <v>5.2520003983977839</v>
      </c>
      <c r="F8" s="23">
        <v>6.0081580744106393</v>
      </c>
      <c r="G8" s="23">
        <v>7.0044843718827829</v>
      </c>
      <c r="H8" s="23">
        <v>8.237604497167899</v>
      </c>
      <c r="I8" s="27">
        <v>9.6179732466431922</v>
      </c>
      <c r="J8" s="15"/>
      <c r="K8" s="22"/>
      <c r="L8" s="24"/>
      <c r="M8" s="23"/>
      <c r="N8" s="23"/>
      <c r="O8" s="23"/>
      <c r="P8" s="23"/>
      <c r="Q8" s="27"/>
      <c r="R8" s="15"/>
      <c r="S8" s="15"/>
    </row>
    <row r="9" spans="2:19" ht="18" customHeight="1" x14ac:dyDescent="0.25">
      <c r="B9" s="14">
        <v>1</v>
      </c>
      <c r="C9" s="28">
        <v>3.7540171529129616</v>
      </c>
      <c r="D9" s="29">
        <v>4.1210689386082766</v>
      </c>
      <c r="E9" s="29">
        <v>4.5851671679343049</v>
      </c>
      <c r="F9" s="30">
        <v>3.8812153594258412</v>
      </c>
      <c r="G9" s="29">
        <v>8.4582784597074046</v>
      </c>
      <c r="H9" s="29">
        <v>9.997402602186428</v>
      </c>
      <c r="I9" s="31">
        <v>3.5815032288514166</v>
      </c>
      <c r="J9" s="15"/>
      <c r="K9" s="28"/>
      <c r="L9" s="29"/>
      <c r="M9" s="29"/>
      <c r="N9" s="30"/>
      <c r="O9" s="29"/>
      <c r="P9" s="29"/>
      <c r="Q9" s="31"/>
      <c r="R9" s="15"/>
      <c r="S9" s="15"/>
    </row>
    <row r="10" spans="2:19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O10" s="14"/>
      <c r="P10" s="15"/>
      <c r="Q10" s="15"/>
      <c r="R10" s="15"/>
      <c r="S10" s="15"/>
    </row>
    <row r="11" spans="2:19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O11" s="14"/>
      <c r="P11" s="15"/>
      <c r="Q11" s="15"/>
      <c r="R11" s="15"/>
      <c r="S11" s="15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O12" s="14"/>
      <c r="P12" s="15"/>
      <c r="Q12" s="15"/>
      <c r="R12" s="15"/>
      <c r="S12" s="15"/>
    </row>
    <row r="13" spans="2:19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O13" s="14"/>
      <c r="P13" s="15"/>
      <c r="Q13" s="15"/>
      <c r="R13" s="15"/>
      <c r="S13" s="15"/>
    </row>
    <row r="14" spans="2:19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O14" s="14"/>
      <c r="P14" s="15"/>
      <c r="Q14" s="15"/>
      <c r="R14" s="15"/>
      <c r="S14" s="15"/>
    </row>
    <row r="15" spans="2:19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O15" s="14"/>
      <c r="P15" s="15"/>
      <c r="Q15" s="15"/>
      <c r="R15" s="15"/>
      <c r="S15" s="15"/>
    </row>
    <row r="16" spans="2:19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O16" s="14"/>
      <c r="P16" s="15"/>
      <c r="Q16" s="15"/>
      <c r="R16" s="15"/>
      <c r="S16" s="15"/>
    </row>
    <row r="17" spans="2:19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O17" s="14"/>
      <c r="P17" s="15"/>
      <c r="Q17" s="15"/>
      <c r="R17" s="15"/>
      <c r="S17" s="15"/>
    </row>
    <row r="18" spans="2:19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O18" s="14"/>
      <c r="P18" s="15"/>
      <c r="Q18" s="15"/>
      <c r="R18" s="15"/>
      <c r="S18" s="15"/>
    </row>
    <row r="19" spans="2:19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O19" s="14"/>
      <c r="P19" s="15"/>
      <c r="Q19" s="15"/>
      <c r="R19" s="15"/>
      <c r="S19" s="15"/>
    </row>
    <row r="20" spans="2:19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O20" s="14"/>
      <c r="P20" s="15"/>
      <c r="Q20" s="15"/>
      <c r="R20" s="15"/>
      <c r="S20" s="15"/>
    </row>
    <row r="21" spans="2:19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O21" s="14"/>
      <c r="P21" s="15"/>
      <c r="Q21" s="15"/>
      <c r="R21" s="15"/>
      <c r="S21" s="15"/>
    </row>
    <row r="22" spans="2:19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O22" s="14"/>
      <c r="P22" s="15"/>
      <c r="Q22" s="15"/>
      <c r="R22" s="15"/>
      <c r="S22" s="15"/>
    </row>
    <row r="23" spans="2:19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O23" s="14"/>
      <c r="P23" s="15"/>
      <c r="Q23" s="15"/>
      <c r="R23" s="15"/>
      <c r="S23" s="15"/>
    </row>
    <row r="24" spans="2:19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O24" s="14"/>
      <c r="P24" s="15"/>
      <c r="Q24" s="15"/>
      <c r="R24" s="15"/>
      <c r="S24" s="15"/>
    </row>
    <row r="25" spans="2:19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O25" s="14"/>
      <c r="P25" s="15"/>
      <c r="Q25" s="15"/>
      <c r="R25" s="15"/>
      <c r="S25" s="15"/>
    </row>
    <row r="26" spans="2:19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O26" s="14"/>
      <c r="P26" s="15"/>
      <c r="Q26" s="15"/>
      <c r="R26" s="15"/>
      <c r="S26" s="15"/>
    </row>
    <row r="27" spans="2:19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O27" s="14"/>
      <c r="P27" s="15"/>
      <c r="Q27" s="15"/>
      <c r="R27" s="15"/>
      <c r="S27" s="15"/>
    </row>
    <row r="28" spans="2:19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O28" s="14"/>
      <c r="P28" s="15"/>
      <c r="Q28" s="15"/>
      <c r="R28" s="15"/>
      <c r="S28" s="15"/>
    </row>
    <row r="29" spans="2:19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O29" s="14"/>
      <c r="P29" s="15"/>
      <c r="Q29" s="15"/>
      <c r="R29" s="15"/>
      <c r="S29" s="15"/>
    </row>
    <row r="30" spans="2:19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O30" s="14"/>
      <c r="P30" s="15"/>
      <c r="Q30" s="15"/>
      <c r="R30" s="15"/>
      <c r="S30" s="15"/>
    </row>
    <row r="31" spans="2:19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O31" s="14"/>
      <c r="P31" s="15"/>
      <c r="Q31" s="15"/>
      <c r="R31" s="15"/>
      <c r="S31" s="15"/>
    </row>
    <row r="32" spans="2:19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O32" s="14"/>
      <c r="P32" s="15"/>
      <c r="Q32" s="15"/>
      <c r="R32" s="15"/>
      <c r="S32" s="15"/>
    </row>
    <row r="33" spans="2:19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O33" s="14"/>
      <c r="P33" s="15"/>
      <c r="Q33" s="15"/>
      <c r="R33" s="15"/>
      <c r="S33" s="15"/>
    </row>
  </sheetData>
  <conditionalFormatting sqref="C3:I9">
    <cfRule type="colorScale" priority="10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3E67-4738-403C-99D2-C204E4AFBF28}">
  <sheetPr codeName="Sheet13"/>
  <dimension ref="A1:G23"/>
  <sheetViews>
    <sheetView zoomScaleNormal="100" workbookViewId="0">
      <pane xSplit="1" ySplit="1" topLeftCell="B2" activePane="bottomRight" state="frozen"/>
      <selection activeCell="D27" sqref="D27"/>
      <selection pane="topRight" activeCell="D27" sqref="D27"/>
      <selection pane="bottomLeft" activeCell="D27" sqref="D27"/>
      <selection pane="bottomRight" sqref="A1:D23"/>
    </sheetView>
  </sheetViews>
  <sheetFormatPr defaultRowHeight="15" x14ac:dyDescent="0.25"/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7" x14ac:dyDescent="0.25">
      <c r="A2">
        <v>1</v>
      </c>
      <c r="B2">
        <v>-71.258000000000052</v>
      </c>
      <c r="C2">
        <v>109</v>
      </c>
      <c r="D2">
        <v>0</v>
      </c>
      <c r="F2">
        <v>1</v>
      </c>
      <c r="G2">
        <v>1.8076285164275065</v>
      </c>
    </row>
    <row r="3" spans="1:7" x14ac:dyDescent="0.25">
      <c r="A3">
        <v>2</v>
      </c>
      <c r="B3">
        <v>-57.991999999999962</v>
      </c>
      <c r="C3">
        <v>109</v>
      </c>
      <c r="D3">
        <v>0</v>
      </c>
      <c r="F3">
        <v>2</v>
      </c>
      <c r="G3">
        <v>1.8032872480047606</v>
      </c>
    </row>
    <row r="4" spans="1:7" x14ac:dyDescent="0.25">
      <c r="A4">
        <v>3</v>
      </c>
      <c r="B4">
        <v>-45.920999999999943</v>
      </c>
      <c r="C4">
        <v>109</v>
      </c>
      <c r="D4">
        <v>0</v>
      </c>
      <c r="F4">
        <v>3</v>
      </c>
      <c r="G4">
        <v>1.7314562263136164</v>
      </c>
    </row>
    <row r="5" spans="1:7" x14ac:dyDescent="0.25">
      <c r="A5">
        <v>4</v>
      </c>
      <c r="B5">
        <v>-35.180999999999948</v>
      </c>
      <c r="C5">
        <v>109</v>
      </c>
      <c r="D5">
        <v>0</v>
      </c>
      <c r="F5">
        <v>4</v>
      </c>
      <c r="G5">
        <v>1.7046564498113039</v>
      </c>
    </row>
    <row r="6" spans="1:7" x14ac:dyDescent="0.25">
      <c r="A6">
        <v>5</v>
      </c>
      <c r="B6">
        <v>-23.431999999999952</v>
      </c>
      <c r="C6">
        <v>109</v>
      </c>
      <c r="D6">
        <v>0</v>
      </c>
      <c r="F6">
        <v>5</v>
      </c>
      <c r="G6">
        <v>1.6224562729656504</v>
      </c>
    </row>
    <row r="7" spans="1:7" x14ac:dyDescent="0.25">
      <c r="A7">
        <v>6</v>
      </c>
      <c r="B7">
        <v>-9.9979999999999869</v>
      </c>
      <c r="C7">
        <v>108.32</v>
      </c>
      <c r="D7">
        <v>0.02</v>
      </c>
      <c r="F7">
        <v>6</v>
      </c>
      <c r="G7">
        <v>1.6634067137915416</v>
      </c>
    </row>
    <row r="8" spans="1:7" x14ac:dyDescent="0.25">
      <c r="A8">
        <v>7</v>
      </c>
      <c r="B8">
        <v>-1.0161999999999802</v>
      </c>
      <c r="C8">
        <v>106.94</v>
      </c>
      <c r="D8">
        <v>0.06</v>
      </c>
      <c r="F8">
        <v>7</v>
      </c>
      <c r="G8">
        <v>1.5786757619212841</v>
      </c>
    </row>
    <row r="9" spans="1:7" x14ac:dyDescent="0.25">
      <c r="A9">
        <v>8</v>
      </c>
      <c r="B9">
        <v>4.5876000000000428</v>
      </c>
      <c r="C9">
        <v>106.04</v>
      </c>
      <c r="D9">
        <v>0.08</v>
      </c>
      <c r="F9">
        <v>8</v>
      </c>
      <c r="G9">
        <v>1.5528679716563114</v>
      </c>
    </row>
    <row r="10" spans="1:7" x14ac:dyDescent="0.25">
      <c r="A10">
        <v>9</v>
      </c>
      <c r="B10">
        <v>29.94800000000005</v>
      </c>
      <c r="C10">
        <v>90.64</v>
      </c>
      <c r="D10">
        <v>0.44</v>
      </c>
      <c r="F10">
        <v>9</v>
      </c>
      <c r="G10">
        <v>1.5153901873357503</v>
      </c>
    </row>
    <row r="11" spans="1:7" x14ac:dyDescent="0.25">
      <c r="A11">
        <v>10</v>
      </c>
      <c r="B11">
        <v>38.705200000000055</v>
      </c>
      <c r="C11">
        <v>87.6</v>
      </c>
      <c r="D11">
        <v>0.57999999999999996</v>
      </c>
      <c r="F11">
        <v>10</v>
      </c>
      <c r="G11">
        <v>1.4608099230767126</v>
      </c>
    </row>
    <row r="12" spans="1:7" x14ac:dyDescent="0.25">
      <c r="A12">
        <v>11</v>
      </c>
      <c r="B12">
        <v>54.173800000000028</v>
      </c>
      <c r="C12">
        <v>75.599999999999994</v>
      </c>
      <c r="D12">
        <v>0.82</v>
      </c>
      <c r="F12">
        <v>11</v>
      </c>
      <c r="G12">
        <v>1.3962009820430306</v>
      </c>
    </row>
    <row r="13" spans="1:7" x14ac:dyDescent="0.25">
      <c r="A13">
        <v>12</v>
      </c>
      <c r="B13">
        <v>57.382000000000026</v>
      </c>
      <c r="C13">
        <v>66.36</v>
      </c>
      <c r="D13">
        <v>0.86</v>
      </c>
      <c r="F13">
        <v>12</v>
      </c>
      <c r="G13">
        <v>1.3102722744778239</v>
      </c>
    </row>
    <row r="14" spans="1:7" x14ac:dyDescent="0.25">
      <c r="A14">
        <v>13</v>
      </c>
      <c r="B14">
        <v>60.468600000000016</v>
      </c>
      <c r="C14">
        <v>57.88</v>
      </c>
      <c r="D14">
        <v>0.92</v>
      </c>
      <c r="F14">
        <v>13</v>
      </c>
      <c r="G14">
        <v>1.2553937409016163</v>
      </c>
    </row>
    <row r="15" spans="1:7" x14ac:dyDescent="0.25">
      <c r="A15">
        <v>14</v>
      </c>
      <c r="B15">
        <v>67.551000000000002</v>
      </c>
      <c r="C15">
        <v>47.7</v>
      </c>
      <c r="D15">
        <v>1</v>
      </c>
      <c r="F15">
        <v>14</v>
      </c>
      <c r="G15">
        <v>1.2598203862513997</v>
      </c>
    </row>
    <row r="16" spans="1:7" x14ac:dyDescent="0.25">
      <c r="A16">
        <v>15</v>
      </c>
      <c r="B16">
        <v>64.918000000000006</v>
      </c>
      <c r="C16">
        <v>43.38</v>
      </c>
      <c r="D16">
        <v>0.98</v>
      </c>
      <c r="F16">
        <v>15</v>
      </c>
      <c r="G16">
        <v>1.2106417539141157</v>
      </c>
    </row>
    <row r="17" spans="1:7" x14ac:dyDescent="0.25">
      <c r="A17">
        <v>16</v>
      </c>
      <c r="B17">
        <v>66.058199999999985</v>
      </c>
      <c r="C17">
        <v>38.520000000000003</v>
      </c>
      <c r="D17">
        <v>1</v>
      </c>
      <c r="F17">
        <v>16</v>
      </c>
      <c r="G17">
        <v>1.152820732274334</v>
      </c>
    </row>
    <row r="18" spans="1:7" x14ac:dyDescent="0.25">
      <c r="A18">
        <v>17</v>
      </c>
      <c r="B18">
        <v>63.839999999999989</v>
      </c>
      <c r="C18">
        <v>39.08</v>
      </c>
      <c r="D18">
        <v>0.98</v>
      </c>
      <c r="F18">
        <v>17</v>
      </c>
      <c r="G18">
        <v>1.100625891601535</v>
      </c>
    </row>
    <row r="19" spans="1:7" x14ac:dyDescent="0.25">
      <c r="A19">
        <v>18</v>
      </c>
      <c r="B19">
        <v>61.837399999999988</v>
      </c>
      <c r="C19">
        <v>39</v>
      </c>
      <c r="D19">
        <v>0.96</v>
      </c>
      <c r="F19">
        <v>18</v>
      </c>
      <c r="G19">
        <v>1.0809085395088587</v>
      </c>
    </row>
    <row r="20" spans="1:7" x14ac:dyDescent="0.25">
      <c r="A20">
        <v>19</v>
      </c>
      <c r="B20">
        <v>65.527600000000007</v>
      </c>
      <c r="C20">
        <v>37.56</v>
      </c>
      <c r="D20">
        <v>1</v>
      </c>
      <c r="F20">
        <v>19</v>
      </c>
      <c r="G20">
        <v>1.2761264878610914</v>
      </c>
    </row>
    <row r="21" spans="1:7" x14ac:dyDescent="0.25">
      <c r="A21">
        <v>20</v>
      </c>
      <c r="B21">
        <v>65.363599999999991</v>
      </c>
      <c r="C21">
        <v>36.159999999999997</v>
      </c>
      <c r="D21">
        <v>1</v>
      </c>
      <c r="F21">
        <v>20</v>
      </c>
      <c r="G21">
        <v>1.2836528828650562</v>
      </c>
    </row>
    <row r="22" spans="1:7" x14ac:dyDescent="0.25">
      <c r="A22">
        <v>21</v>
      </c>
      <c r="B22">
        <v>65.470399999999984</v>
      </c>
      <c r="C22">
        <v>35.74</v>
      </c>
      <c r="D22">
        <v>1</v>
      </c>
      <c r="F22">
        <v>21</v>
      </c>
      <c r="G22">
        <v>1.2148217964722186</v>
      </c>
    </row>
    <row r="23" spans="1:7" x14ac:dyDescent="0.25">
      <c r="A23">
        <v>22</v>
      </c>
      <c r="B23">
        <v>65.845199999999977</v>
      </c>
      <c r="C23">
        <v>36.72</v>
      </c>
      <c r="D23">
        <v>1</v>
      </c>
      <c r="F23">
        <v>22</v>
      </c>
      <c r="G23">
        <v>1.1894439323035004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BC2F-BD6D-4BB9-B7C3-531FD8DB905E}">
  <sheetPr codeName="Sheet14"/>
  <dimension ref="A1:T53"/>
  <sheetViews>
    <sheetView workbookViewId="0">
      <selection activeCell="D28" sqref="A28:D28"/>
    </sheetView>
  </sheetViews>
  <sheetFormatPr defaultRowHeight="15" x14ac:dyDescent="0.25"/>
  <sheetData>
    <row r="1" spans="1:20" x14ac:dyDescent="0.25">
      <c r="A1" t="s">
        <v>11</v>
      </c>
    </row>
    <row r="2" spans="1:20" x14ac:dyDescent="0.25">
      <c r="A2">
        <v>20</v>
      </c>
    </row>
    <row r="3" spans="1:20" x14ac:dyDescent="0.25">
      <c r="A3">
        <v>4</v>
      </c>
    </row>
    <row r="4" spans="1:20" x14ac:dyDescent="0.25">
      <c r="A4">
        <v>1</v>
      </c>
    </row>
    <row r="5" spans="1:20" x14ac:dyDescent="0.25">
      <c r="A5" t="s">
        <v>6</v>
      </c>
    </row>
    <row r="6" spans="1:20" x14ac:dyDescent="0.25">
      <c r="A6">
        <v>16</v>
      </c>
    </row>
    <row r="7" spans="1:20" x14ac:dyDescent="0.25">
      <c r="A7">
        <v>1.6675549459547568E-2</v>
      </c>
      <c r="B7">
        <v>0.26709660932337054</v>
      </c>
      <c r="C7">
        <v>-5.5177766217733501E-2</v>
      </c>
      <c r="D7">
        <v>0.18987868547834841</v>
      </c>
      <c r="E7">
        <v>0.35375118916882181</v>
      </c>
      <c r="F7">
        <v>0.59160117796745104</v>
      </c>
      <c r="G7">
        <v>-2.3645936646870553E-2</v>
      </c>
      <c r="H7">
        <v>0.6192900676957227</v>
      </c>
      <c r="I7">
        <v>-1.3535972669583134</v>
      </c>
      <c r="J7">
        <v>-1.6056522951661278E-2</v>
      </c>
      <c r="K7">
        <v>0.22043587551125682</v>
      </c>
      <c r="L7">
        <v>-0.35063515450743232</v>
      </c>
      <c r="M7">
        <v>0.50100073749264917</v>
      </c>
      <c r="N7">
        <v>7.378392995905346E-2</v>
      </c>
      <c r="O7">
        <v>6.4487010949229776E-2</v>
      </c>
      <c r="P7">
        <v>0.40691409565332026</v>
      </c>
      <c r="Q7">
        <v>-0.47360380336275504</v>
      </c>
      <c r="R7">
        <v>6.1043142391821049E-2</v>
      </c>
      <c r="S7">
        <v>0.21265753159968501</v>
      </c>
      <c r="T7">
        <v>-0.42229479949552967</v>
      </c>
    </row>
    <row r="8" spans="1:20" x14ac:dyDescent="0.25">
      <c r="A8">
        <v>0.15882138109701888</v>
      </c>
      <c r="B8">
        <v>0.30965128859105151</v>
      </c>
      <c r="C8">
        <v>3.3784308135727671E-2</v>
      </c>
      <c r="D8">
        <v>0.59824982599689713</v>
      </c>
      <c r="E8">
        <v>0.56447212568306449</v>
      </c>
      <c r="F8">
        <v>-0.5757730355568641</v>
      </c>
      <c r="G8">
        <v>0.15953817177247895</v>
      </c>
      <c r="H8">
        <v>0.83713448352504438</v>
      </c>
      <c r="I8">
        <v>-0.30767166724914019</v>
      </c>
      <c r="J8">
        <v>4.3690539450962733E-2</v>
      </c>
      <c r="K8">
        <v>0.55403676659136103</v>
      </c>
      <c r="L8">
        <v>-3.9483187682596219E-2</v>
      </c>
      <c r="M8">
        <v>-0.58220281846772348</v>
      </c>
      <c r="N8">
        <v>-0.22024260175116323</v>
      </c>
      <c r="O8">
        <v>-0.46392870790779162</v>
      </c>
      <c r="P8">
        <v>-4.4517369024166392E-2</v>
      </c>
      <c r="Q8">
        <v>-0.19030532637985956</v>
      </c>
      <c r="R8">
        <v>-5.7908102027960609E-2</v>
      </c>
      <c r="S8">
        <v>0.10887413389604139</v>
      </c>
      <c r="T8">
        <v>-0.29642564425502832</v>
      </c>
    </row>
    <row r="9" spans="1:20" x14ac:dyDescent="0.25">
      <c r="A9">
        <v>0.25871927554881591</v>
      </c>
      <c r="B9">
        <v>-0.10761741461954001</v>
      </c>
      <c r="C9">
        <v>0.3740323954193408</v>
      </c>
      <c r="D9">
        <v>-0.29609105671142172</v>
      </c>
      <c r="E9">
        <v>-0.29206264709781637</v>
      </c>
      <c r="F9">
        <v>-0.39570439806193103</v>
      </c>
      <c r="G9">
        <v>-6.0845633480251723E-2</v>
      </c>
      <c r="H9">
        <v>0.13114358924357392</v>
      </c>
      <c r="I9">
        <v>0.34259318541996364</v>
      </c>
      <c r="J9">
        <v>-2.8293707956603114E-3</v>
      </c>
      <c r="K9">
        <v>-0.70702388670401772</v>
      </c>
      <c r="L9">
        <v>0.35075757526842127</v>
      </c>
      <c r="M9">
        <v>0.2047724054960228</v>
      </c>
      <c r="N9">
        <v>-0.10129451508314925</v>
      </c>
      <c r="O9">
        <v>4.5587462526097335E-2</v>
      </c>
      <c r="P9">
        <v>0.37887687018196259</v>
      </c>
      <c r="Q9">
        <v>0.40023799066146676</v>
      </c>
      <c r="R9">
        <v>0.44861290470757742</v>
      </c>
      <c r="S9">
        <v>1.6206686473036688E-2</v>
      </c>
      <c r="T9">
        <v>0.2099594188977027</v>
      </c>
    </row>
    <row r="10" spans="1:20" x14ac:dyDescent="0.25">
      <c r="A10">
        <v>6.4438519608785074E-3</v>
      </c>
      <c r="B10">
        <v>0.24612689077859512</v>
      </c>
      <c r="C10">
        <v>-6.5051108407202735E-3</v>
      </c>
      <c r="D10">
        <v>0.1179796258478248</v>
      </c>
      <c r="E10">
        <v>0.12628239441538891</v>
      </c>
      <c r="F10">
        <v>-1.189420984519086</v>
      </c>
      <c r="G10">
        <v>0.44461190600219569</v>
      </c>
      <c r="H10">
        <v>0.37255183056970997</v>
      </c>
      <c r="I10">
        <v>0.87565379610336957</v>
      </c>
      <c r="J10">
        <v>0.18313697490472799</v>
      </c>
      <c r="K10">
        <v>0.10662754309630625</v>
      </c>
      <c r="L10">
        <v>0.52214852273504164</v>
      </c>
      <c r="M10">
        <v>-0.17548239525671477</v>
      </c>
      <c r="N10">
        <v>-0.37247002629575038</v>
      </c>
      <c r="O10">
        <v>-0.38968288826324859</v>
      </c>
      <c r="P10">
        <v>8.7505151754408789E-2</v>
      </c>
      <c r="Q10">
        <v>0.54405885962558709</v>
      </c>
      <c r="R10">
        <v>0.27581510746271798</v>
      </c>
      <c r="S10">
        <v>-0.2234463818393744</v>
      </c>
      <c r="T10">
        <v>0.57420613798966014</v>
      </c>
    </row>
    <row r="11" spans="1:20" x14ac:dyDescent="0.25">
      <c r="A11">
        <v>0.15495023041916425</v>
      </c>
      <c r="B11">
        <v>0.39967579269049908</v>
      </c>
      <c r="C11">
        <v>0.23976519786937492</v>
      </c>
      <c r="D11">
        <v>0.47668223487526917</v>
      </c>
      <c r="E11">
        <v>9.6975597126516946E-2</v>
      </c>
      <c r="F11">
        <v>0.55283459102717769</v>
      </c>
      <c r="G11">
        <v>5.2281752109736054E-2</v>
      </c>
      <c r="H11">
        <v>-0.37346433910814614</v>
      </c>
      <c r="I11">
        <v>-0.461343715938695</v>
      </c>
      <c r="J11">
        <v>-0.11543305521960537</v>
      </c>
      <c r="K11">
        <v>0.98682083704932178</v>
      </c>
      <c r="L11">
        <v>0.26362954897174506</v>
      </c>
      <c r="M11">
        <v>0.10547142224469484</v>
      </c>
      <c r="N11">
        <v>0.1568246727539313</v>
      </c>
      <c r="O11">
        <v>0.15805416406316561</v>
      </c>
      <c r="P11">
        <v>-0.29058099799411846</v>
      </c>
      <c r="Q11">
        <v>-0.23814363727988178</v>
      </c>
      <c r="R11">
        <v>-9.3126870212968796E-2</v>
      </c>
      <c r="S11">
        <v>0.54525188493740373</v>
      </c>
      <c r="T11">
        <v>0.29268853783712584</v>
      </c>
    </row>
    <row r="12" spans="1:20" x14ac:dyDescent="0.25">
      <c r="A12">
        <v>0.28962502424052677</v>
      </c>
      <c r="B12">
        <v>0.20690829286721055</v>
      </c>
      <c r="C12">
        <v>4.9769176580481335E-2</v>
      </c>
      <c r="D12">
        <v>0.27974766877249646</v>
      </c>
      <c r="E12">
        <v>0.59361747074557047</v>
      </c>
      <c r="F12">
        <v>0.84893712477190331</v>
      </c>
      <c r="G12">
        <v>-9.7629738463220844E-2</v>
      </c>
      <c r="H12">
        <v>-0.24463763939415423</v>
      </c>
      <c r="I12">
        <v>-0.63675987931226907</v>
      </c>
      <c r="J12">
        <v>4.4854390093304733E-2</v>
      </c>
      <c r="K12">
        <v>-0.53320664583709876</v>
      </c>
      <c r="L12">
        <v>-0.28097109209396703</v>
      </c>
      <c r="M12">
        <v>0.14337912988948201</v>
      </c>
      <c r="N12">
        <v>7.9600446336010267E-2</v>
      </c>
      <c r="O12">
        <v>0.4629628628274346</v>
      </c>
      <c r="P12">
        <v>0.46743523765275763</v>
      </c>
      <c r="Q12">
        <v>-9.5852146141564731E-2</v>
      </c>
      <c r="R12">
        <v>0.44336555990613524</v>
      </c>
      <c r="S12">
        <v>-6.293522130906215E-2</v>
      </c>
      <c r="T12">
        <v>-0.24134900254324312</v>
      </c>
    </row>
    <row r="13" spans="1:20" x14ac:dyDescent="0.25">
      <c r="A13">
        <v>0.34629722958352499</v>
      </c>
      <c r="B13">
        <v>-0.13609305024192014</v>
      </c>
      <c r="C13">
        <v>0.37940728415274522</v>
      </c>
      <c r="D13">
        <v>-0.12520147661833461</v>
      </c>
      <c r="E13">
        <v>-0.16220059294168368</v>
      </c>
      <c r="F13">
        <v>0.67863049985987567</v>
      </c>
      <c r="G13">
        <v>-3.8995798310750764E-2</v>
      </c>
      <c r="H13">
        <v>-0.87750579035956788</v>
      </c>
      <c r="I13">
        <v>0.57706443523431283</v>
      </c>
      <c r="J13">
        <v>0.38452135362563095</v>
      </c>
      <c r="K13">
        <v>-0.65325640808476448</v>
      </c>
      <c r="L13">
        <v>0.37335775433165647</v>
      </c>
      <c r="M13">
        <v>0.16007668392155044</v>
      </c>
      <c r="N13">
        <v>0.34045006374250691</v>
      </c>
      <c r="O13">
        <v>0.27149504398262886</v>
      </c>
      <c r="P13">
        <v>0.15753629065907984</v>
      </c>
      <c r="Q13">
        <v>0.56971542430012745</v>
      </c>
      <c r="R13">
        <v>-5.8677561392503512E-2</v>
      </c>
      <c r="S13">
        <v>1.404339034393208E-2</v>
      </c>
      <c r="T13">
        <v>0.17601877346218034</v>
      </c>
    </row>
    <row r="14" spans="1:20" x14ac:dyDescent="0.25">
      <c r="A14">
        <v>-0.37233465724247422</v>
      </c>
      <c r="B14">
        <v>0.57339114260989366</v>
      </c>
      <c r="C14">
        <v>-8.53849007464315E-2</v>
      </c>
      <c r="D14">
        <v>0.52361191072663382</v>
      </c>
      <c r="E14">
        <v>0.15885752828161859</v>
      </c>
      <c r="F14">
        <v>-0.89010667100508234</v>
      </c>
      <c r="G14">
        <v>0.60972795913044275</v>
      </c>
      <c r="H14">
        <v>1.0282319723616595</v>
      </c>
      <c r="I14">
        <v>-0.11681198604812174</v>
      </c>
      <c r="J14">
        <v>7.5869307154099508E-2</v>
      </c>
      <c r="K14">
        <v>-0.16965747116741159</v>
      </c>
      <c r="L14">
        <v>-0.15746898450157379</v>
      </c>
      <c r="M14">
        <v>0.21155241082701273</v>
      </c>
      <c r="N14">
        <v>-0.20600696127083656</v>
      </c>
      <c r="O14">
        <v>0.13899781454076127</v>
      </c>
      <c r="P14">
        <v>7.0569496121779068E-2</v>
      </c>
      <c r="Q14">
        <v>-6.5156868320405889E-2</v>
      </c>
      <c r="R14">
        <v>0.3484853296905675</v>
      </c>
      <c r="S14">
        <v>0.20343722264879927</v>
      </c>
      <c r="T14">
        <v>6.0082158984410973E-4</v>
      </c>
    </row>
    <row r="15" spans="1:20" x14ac:dyDescent="0.25">
      <c r="A15">
        <v>0.27257498662433916</v>
      </c>
      <c r="B15">
        <v>-0.29530553323012493</v>
      </c>
      <c r="C15">
        <v>9.96168844485079E-2</v>
      </c>
      <c r="D15">
        <v>-0.14483853517032019</v>
      </c>
      <c r="E15">
        <v>0.13245645164380926</v>
      </c>
      <c r="F15">
        <v>-0.16872794379770556</v>
      </c>
      <c r="G15">
        <v>0.20021208230302712</v>
      </c>
      <c r="H15">
        <v>-0.77064429812398383</v>
      </c>
      <c r="I15">
        <v>1.3700034849943568</v>
      </c>
      <c r="J15">
        <v>0.20081798405934326</v>
      </c>
      <c r="K15">
        <v>8.9796839954370294E-2</v>
      </c>
      <c r="L15">
        <v>0.27278953045134935</v>
      </c>
      <c r="M15">
        <v>-0.23455981645901894</v>
      </c>
      <c r="N15">
        <v>-4.7458570572481464E-2</v>
      </c>
      <c r="O15">
        <v>2.4349829179808328E-2</v>
      </c>
      <c r="P15">
        <v>-2.724272700515231E-2</v>
      </c>
      <c r="Q15">
        <v>0.4845262913179762</v>
      </c>
      <c r="R15">
        <v>-0.50918111927853216</v>
      </c>
      <c r="S15">
        <v>0.431197548335918</v>
      </c>
      <c r="T15">
        <v>0.37601339585249721</v>
      </c>
    </row>
    <row r="16" spans="1:20" x14ac:dyDescent="0.25">
      <c r="A16">
        <v>0.25053353955898189</v>
      </c>
      <c r="B16">
        <v>0.3842006937425006</v>
      </c>
      <c r="C16">
        <v>0.21564455126271059</v>
      </c>
      <c r="D16">
        <v>0.44493603456192432</v>
      </c>
      <c r="E16">
        <v>0.39748397368704735</v>
      </c>
      <c r="F16">
        <v>0.10285094423043635</v>
      </c>
      <c r="G16">
        <v>0.14114098246921863</v>
      </c>
      <c r="H16">
        <v>0.4201209565268807</v>
      </c>
      <c r="I16">
        <v>-0.58637139273203509</v>
      </c>
      <c r="J16">
        <v>-0.20875731270540229</v>
      </c>
      <c r="K16">
        <v>1.5074590524633973</v>
      </c>
      <c r="L16">
        <v>-6.5788734687782222E-2</v>
      </c>
      <c r="M16">
        <v>-0.12789492376427145</v>
      </c>
      <c r="N16">
        <v>-0.14647712805273339</v>
      </c>
      <c r="O16">
        <v>-1.6940536500914042E-2</v>
      </c>
      <c r="P16">
        <v>-0.1394262605031894</v>
      </c>
      <c r="Q16">
        <v>-0.17753727592160118</v>
      </c>
      <c r="R16">
        <v>7.2613885390682184E-2</v>
      </c>
      <c r="S16">
        <v>0.32303443216836675</v>
      </c>
      <c r="T16">
        <v>0.36425467645462312</v>
      </c>
    </row>
    <row r="17" spans="1:20" x14ac:dyDescent="0.25">
      <c r="A17">
        <v>-0.17425928111430436</v>
      </c>
      <c r="B17">
        <v>0.40584524527468846</v>
      </c>
      <c r="C17">
        <v>-8.4666601343956024E-2</v>
      </c>
      <c r="D17">
        <v>0.29917507546330563</v>
      </c>
      <c r="E17">
        <v>0.30157052071726603</v>
      </c>
      <c r="F17">
        <v>0.44851856040330557</v>
      </c>
      <c r="G17">
        <v>0.19939334340605255</v>
      </c>
      <c r="H17">
        <v>0.50892786343086815</v>
      </c>
      <c r="I17">
        <v>-0.74928459535073966</v>
      </c>
      <c r="J17">
        <v>0.32054797947132307</v>
      </c>
      <c r="K17">
        <v>-0.77206895368078832</v>
      </c>
      <c r="L17">
        <v>-0.44296575104311797</v>
      </c>
      <c r="M17">
        <v>0.74489124408934226</v>
      </c>
      <c r="N17">
        <v>0.45347936950181056</v>
      </c>
      <c r="O17">
        <v>0.21780836062788522</v>
      </c>
      <c r="P17">
        <v>0.62405813219065542</v>
      </c>
      <c r="Q17">
        <v>-0.37190739880553014</v>
      </c>
      <c r="R17">
        <v>0.17558100238210173</v>
      </c>
      <c r="S17">
        <v>-8.7590289673097343E-2</v>
      </c>
      <c r="T17">
        <v>-0.49220789209673027</v>
      </c>
    </row>
    <row r="18" spans="1:20" x14ac:dyDescent="0.25">
      <c r="A18">
        <v>0.34499057614308748</v>
      </c>
      <c r="B18">
        <v>0.3013841556842517</v>
      </c>
      <c r="C18">
        <v>0.44920418707007503</v>
      </c>
      <c r="D18">
        <v>0.19846655619728662</v>
      </c>
      <c r="E18">
        <v>-3.2482781958449169E-2</v>
      </c>
      <c r="F18">
        <v>0.62371778746444895</v>
      </c>
      <c r="G18">
        <v>5.9040412330256462E-2</v>
      </c>
      <c r="H18">
        <v>-1.0560430213737571</v>
      </c>
      <c r="I18">
        <v>-0.1478243309028491</v>
      </c>
      <c r="J18">
        <v>-2.6748719401170028E-2</v>
      </c>
      <c r="K18">
        <v>1.0684744640546162</v>
      </c>
      <c r="L18">
        <v>0.28492387096167615</v>
      </c>
      <c r="M18">
        <v>3.2609492435706263E-3</v>
      </c>
      <c r="N18">
        <v>4.3003485812008788E-2</v>
      </c>
      <c r="O18">
        <v>0.24916400915574691</v>
      </c>
      <c r="P18">
        <v>-0.50592668165652366</v>
      </c>
      <c r="Q18">
        <v>0.32526781041705355</v>
      </c>
      <c r="R18">
        <v>-0.10852148501067564</v>
      </c>
      <c r="S18">
        <v>0.38979566770646235</v>
      </c>
      <c r="T18">
        <v>0.53578172202770369</v>
      </c>
    </row>
    <row r="19" spans="1:20" x14ac:dyDescent="0.25">
      <c r="A19">
        <v>0.44311161796978821</v>
      </c>
      <c r="B19">
        <v>0.39287252362673797</v>
      </c>
      <c r="C19">
        <v>0.20154502893456502</v>
      </c>
      <c r="D19">
        <v>0.31871650510576544</v>
      </c>
      <c r="E19">
        <v>-7.7771027291859043E-2</v>
      </c>
      <c r="F19">
        <v>-0.4170478014854494</v>
      </c>
      <c r="G19">
        <v>-0.21977785304012898</v>
      </c>
      <c r="H19">
        <v>0.19323695017263831</v>
      </c>
      <c r="I19">
        <v>-0.60999037512203602</v>
      </c>
      <c r="J19">
        <v>0.32591290485857538</v>
      </c>
      <c r="K19">
        <v>0.21721662426408939</v>
      </c>
      <c r="L19">
        <v>-0.32358215578164101</v>
      </c>
      <c r="M19">
        <v>0.1256636728821211</v>
      </c>
      <c r="N19">
        <v>-0.13941289826361877</v>
      </c>
      <c r="O19">
        <v>-7.0301663797975337E-3</v>
      </c>
      <c r="P19">
        <v>0.19109345922788634</v>
      </c>
      <c r="Q19">
        <v>-0.34334767358281426</v>
      </c>
      <c r="R19">
        <v>-5.1126824243216303E-2</v>
      </c>
      <c r="S19">
        <v>-6.8167806654683055E-2</v>
      </c>
      <c r="T19">
        <v>-9.7367794152130073E-3</v>
      </c>
    </row>
    <row r="20" spans="1:20" x14ac:dyDescent="0.25">
      <c r="A20">
        <v>0.47260356762955513</v>
      </c>
      <c r="B20">
        <v>0.3738527451692778</v>
      </c>
      <c r="C20">
        <v>0.23066733045821791</v>
      </c>
      <c r="D20">
        <v>0.37958627808958972</v>
      </c>
      <c r="E20">
        <v>-0.12955424827172293</v>
      </c>
      <c r="F20">
        <v>8.3124623593773844E-2</v>
      </c>
      <c r="G20">
        <v>-0.19036197253257736</v>
      </c>
      <c r="H20">
        <v>0.34286839188705825</v>
      </c>
      <c r="I20">
        <v>-0.68799416004656821</v>
      </c>
      <c r="J20">
        <v>0.36572128782022684</v>
      </c>
      <c r="K20">
        <v>-2.1512388198824395E-2</v>
      </c>
      <c r="L20">
        <v>-4.9242281837373982E-2</v>
      </c>
      <c r="M20">
        <v>0.67972406775280381</v>
      </c>
      <c r="N20">
        <v>0.44900608464329328</v>
      </c>
      <c r="O20">
        <v>-0.10029282021932419</v>
      </c>
      <c r="P20">
        <v>0.11730385331469691</v>
      </c>
      <c r="Q20">
        <v>-0.75024508767858511</v>
      </c>
      <c r="R20">
        <v>-0.29863580364606951</v>
      </c>
      <c r="S20">
        <v>-0.34777221379251327</v>
      </c>
      <c r="T20">
        <v>-0.1311483751606882</v>
      </c>
    </row>
    <row r="21" spans="1:20" x14ac:dyDescent="0.25">
      <c r="A21">
        <v>0.20365901159600269</v>
      </c>
      <c r="B21">
        <v>-0.24163765851311761</v>
      </c>
      <c r="C21">
        <v>0.21144782600187836</v>
      </c>
      <c r="D21">
        <v>1.8648903695375673E-3</v>
      </c>
      <c r="E21">
        <v>0.13956594664471025</v>
      </c>
      <c r="F21">
        <v>-0.74805032991256915</v>
      </c>
      <c r="G21">
        <v>2.0243459554932671E-2</v>
      </c>
      <c r="H21">
        <v>0.2079899636244314</v>
      </c>
      <c r="I21">
        <v>1.139393365071937</v>
      </c>
      <c r="J21">
        <v>0.18174205902095636</v>
      </c>
      <c r="K21">
        <v>-0.52394053851663525</v>
      </c>
      <c r="L21">
        <v>0.35588243418200732</v>
      </c>
      <c r="M21">
        <v>-0.13018976331755305</v>
      </c>
      <c r="N21">
        <v>-4.7057484451757718E-2</v>
      </c>
      <c r="O21">
        <v>-7.7487999431813892E-2</v>
      </c>
      <c r="P21">
        <v>0.48483164710847398</v>
      </c>
      <c r="Q21">
        <v>0.34236825873797189</v>
      </c>
      <c r="R21">
        <v>0.38086183641356564</v>
      </c>
      <c r="S21">
        <v>-8.9057831749711672E-2</v>
      </c>
      <c r="T21">
        <v>-2.625742277057231E-2</v>
      </c>
    </row>
    <row r="22" spans="1:20" x14ac:dyDescent="0.25">
      <c r="A22">
        <v>0.22913662351175104</v>
      </c>
      <c r="B22">
        <v>-0.28981931200487149</v>
      </c>
      <c r="C22">
        <v>0.25109400042374735</v>
      </c>
      <c r="D22">
        <v>-0.43585553965501539</v>
      </c>
      <c r="E22">
        <v>0.1217408238224173</v>
      </c>
      <c r="F22">
        <v>0.32490652144499127</v>
      </c>
      <c r="G22">
        <v>0.18931974476739472</v>
      </c>
      <c r="H22">
        <v>0.23712001336446439</v>
      </c>
      <c r="I22">
        <v>0.2735527611553446</v>
      </c>
      <c r="J22">
        <v>0.15513827796814963</v>
      </c>
      <c r="K22">
        <v>-0.74519273924545881</v>
      </c>
      <c r="L22">
        <v>-0.23961390883114422</v>
      </c>
      <c r="M22">
        <v>0.20563867192838736</v>
      </c>
      <c r="N22">
        <v>0.50961268005092264</v>
      </c>
      <c r="O22">
        <v>0.13727142581299157</v>
      </c>
      <c r="P22">
        <v>0.2646172400052329</v>
      </c>
      <c r="Q22">
        <v>-9.7129432870808025E-2</v>
      </c>
      <c r="R22">
        <v>0.16976358038808487</v>
      </c>
      <c r="S22">
        <v>-0.35675175391641117</v>
      </c>
      <c r="T22">
        <v>-0.17945796528349647</v>
      </c>
    </row>
    <row r="23" spans="1:20" x14ac:dyDescent="0.25">
      <c r="A23">
        <v>-2.2157125584632349E-2</v>
      </c>
      <c r="B23">
        <v>-9.6319837075869441E-3</v>
      </c>
      <c r="C23">
        <v>0.32650031062824914</v>
      </c>
      <c r="D23">
        <v>0.20753487196684423</v>
      </c>
      <c r="E23">
        <v>-1.9980488520769332E-2</v>
      </c>
      <c r="F23">
        <v>0.28280622121983851</v>
      </c>
      <c r="G23">
        <v>0.35652888242429143</v>
      </c>
      <c r="H23">
        <v>5.1215010257833565E-2</v>
      </c>
      <c r="I23">
        <v>0.2705878641810443</v>
      </c>
      <c r="J23">
        <v>8.6303506967028171E-3</v>
      </c>
      <c r="K23">
        <v>0.23952857535454425</v>
      </c>
      <c r="L23">
        <v>-4.048599594461505E-2</v>
      </c>
      <c r="M23">
        <v>7.1271684516531056E-2</v>
      </c>
      <c r="N23">
        <v>9.7468819262049297E-2</v>
      </c>
      <c r="O23">
        <v>0.36695652483217911</v>
      </c>
      <c r="P23">
        <v>0.33069530223198512</v>
      </c>
    </row>
    <row r="24" spans="1:20" x14ac:dyDescent="0.25">
      <c r="A24">
        <v>-0.104971458716635</v>
      </c>
      <c r="B24">
        <v>-1.0798888334358614</v>
      </c>
      <c r="C24">
        <v>0.9279876033117177</v>
      </c>
      <c r="D24">
        <v>-0.15344696092822088</v>
      </c>
      <c r="E24">
        <v>-0.8991562486445559</v>
      </c>
      <c r="F24">
        <v>0.402101273730053</v>
      </c>
      <c r="G24">
        <v>0.77634320990832373</v>
      </c>
      <c r="H24">
        <v>-0.24615306932256611</v>
      </c>
      <c r="I24">
        <v>0.15818061292967223</v>
      </c>
      <c r="J24">
        <v>-1.0759296929159512</v>
      </c>
      <c r="K24">
        <v>0.44265853900265606</v>
      </c>
      <c r="L24">
        <v>-0.75566527102577152</v>
      </c>
      <c r="M24">
        <v>-1.2649115714002113E-2</v>
      </c>
      <c r="N24">
        <v>0.27178184701762009</v>
      </c>
      <c r="O24">
        <v>0.63403293517962478</v>
      </c>
      <c r="P24">
        <v>0.6317158491314564</v>
      </c>
    </row>
    <row r="25" spans="1:20" x14ac:dyDescent="0.25">
      <c r="A25">
        <v>0.86989601544860706</v>
      </c>
      <c r="B25">
        <v>0.64674273321764963</v>
      </c>
      <c r="C25">
        <v>-0.86127839485390201</v>
      </c>
      <c r="D25">
        <v>-0.95135735908398578</v>
      </c>
      <c r="E25">
        <v>0.44415931833525768</v>
      </c>
      <c r="F25">
        <v>0.40207385465691931</v>
      </c>
      <c r="G25">
        <v>-0.51711627528116444</v>
      </c>
      <c r="H25">
        <v>0.52901999302980363</v>
      </c>
      <c r="I25">
        <v>-1.2345137826281909</v>
      </c>
      <c r="J25">
        <v>0.49755125086130003</v>
      </c>
      <c r="K25">
        <v>0.4467177808905351</v>
      </c>
      <c r="L25">
        <v>2.3464423258085765E-3</v>
      </c>
      <c r="M25">
        <v>0.70710341323380554</v>
      </c>
      <c r="N25">
        <v>0.74589401755681906</v>
      </c>
      <c r="O25">
        <v>-1.0945756097512276</v>
      </c>
      <c r="P25">
        <v>6.709104124719048E-2</v>
      </c>
    </row>
    <row r="26" spans="1:20" x14ac:dyDescent="0.25">
      <c r="A26">
        <v>-0.55936441622500144</v>
      </c>
      <c r="B26">
        <v>0.76915107336181121</v>
      </c>
      <c r="C26">
        <v>0.39602640885829388</v>
      </c>
      <c r="D26">
        <v>0.86568793780273745</v>
      </c>
      <c r="E26">
        <v>-0.43049336964926765</v>
      </c>
      <c r="F26">
        <v>-1.2274380464176446</v>
      </c>
      <c r="G26">
        <v>-0.68330863715694046</v>
      </c>
      <c r="H26">
        <v>1.0330032190043235</v>
      </c>
      <c r="I26">
        <v>0.62704647726702989</v>
      </c>
      <c r="J26">
        <v>0.22168734503558926</v>
      </c>
      <c r="K26">
        <v>-1.007633544312778</v>
      </c>
      <c r="L26">
        <v>-0.3683144779797779</v>
      </c>
      <c r="M26">
        <v>0.13708918328864136</v>
      </c>
      <c r="N26">
        <v>-0.72606384987386696</v>
      </c>
      <c r="O26">
        <v>0.59502989950368779</v>
      </c>
      <c r="P26">
        <v>-1.0169219041286046</v>
      </c>
    </row>
    <row r="27" spans="1:20" x14ac:dyDescent="0.25">
      <c r="A27">
        <v>-0.37116719572762619</v>
      </c>
      <c r="B27">
        <v>-0.79640004663783637</v>
      </c>
      <c r="C27">
        <v>-0.27996129455324315</v>
      </c>
      <c r="D27">
        <v>-0.30015520927042488</v>
      </c>
      <c r="E27">
        <v>0.64659132660745022</v>
      </c>
      <c r="F27">
        <v>-5.6012665137674139E-2</v>
      </c>
      <c r="G27">
        <v>0.60676432002459957</v>
      </c>
      <c r="H27">
        <v>-1.4555670875970215</v>
      </c>
      <c r="I27">
        <v>0.72237217833833522</v>
      </c>
      <c r="J27">
        <v>0.2365004819319956</v>
      </c>
      <c r="K27">
        <v>-1.0100668087125926</v>
      </c>
      <c r="L27">
        <v>0.88115459340190827</v>
      </c>
      <c r="M27">
        <v>-1.0784886749635978</v>
      </c>
      <c r="N27">
        <v>-0.71168324754609147</v>
      </c>
      <c r="O27">
        <v>-0.19860900184673194</v>
      </c>
      <c r="P27">
        <v>-0.29246862322660883</v>
      </c>
    </row>
    <row r="28" spans="1:20" x14ac:dyDescent="0.25">
      <c r="A28">
        <v>0.1751877831638268</v>
      </c>
      <c r="B28">
        <v>-0.12376595157196575</v>
      </c>
      <c r="C28">
        <v>-0.13252846192048034</v>
      </c>
      <c r="D28">
        <v>-7.0056737176509339E-3</v>
      </c>
    </row>
    <row r="29" spans="1:20" x14ac:dyDescent="0.25">
      <c r="A29" t="s">
        <v>7</v>
      </c>
    </row>
    <row r="30" spans="1:20" x14ac:dyDescent="0.25">
      <c r="A30">
        <v>20</v>
      </c>
    </row>
    <row r="31" spans="1:20" x14ac:dyDescent="0.25">
      <c r="A31">
        <v>1</v>
      </c>
    </row>
    <row r="32" spans="1:20" x14ac:dyDescent="0.25">
      <c r="A32">
        <v>1</v>
      </c>
    </row>
    <row r="33" spans="1:20" x14ac:dyDescent="0.25">
      <c r="A33" t="s">
        <v>6</v>
      </c>
    </row>
    <row r="34" spans="1:20" x14ac:dyDescent="0.25">
      <c r="A34">
        <v>16</v>
      </c>
    </row>
    <row r="35" spans="1:20" x14ac:dyDescent="0.25">
      <c r="A35">
        <v>1.3267995763155105</v>
      </c>
      <c r="B35">
        <v>1.8628394683340483</v>
      </c>
      <c r="C35">
        <v>1.4561842074527116</v>
      </c>
      <c r="D35">
        <v>1.8828785696735371</v>
      </c>
      <c r="E35">
        <v>-0.52713838033034</v>
      </c>
      <c r="F35">
        <v>-0.99055556125493482</v>
      </c>
      <c r="G35">
        <v>-0.46014615010844623</v>
      </c>
      <c r="H35">
        <v>-1.4440103233319206</v>
      </c>
      <c r="I35">
        <v>0.10172382481586087</v>
      </c>
      <c r="J35">
        <v>-1.1940500915916696</v>
      </c>
      <c r="K35">
        <v>-1.2297983040197396</v>
      </c>
      <c r="L35">
        <v>-0.23507799939879084</v>
      </c>
      <c r="M35">
        <v>-4.0502643847517214E-2</v>
      </c>
      <c r="N35">
        <v>-0.64937672110838784</v>
      </c>
      <c r="O35">
        <v>0.12516160076050978</v>
      </c>
      <c r="P35">
        <v>-0.78174556157080821</v>
      </c>
      <c r="Q35">
        <v>-0.4792468473387852</v>
      </c>
      <c r="R35">
        <v>-1.0224638220461439</v>
      </c>
      <c r="S35">
        <v>-0.77218721808403401</v>
      </c>
      <c r="T35">
        <v>-0.56653479307042953</v>
      </c>
    </row>
    <row r="36" spans="1:20" x14ac:dyDescent="0.25">
      <c r="A36">
        <v>0.38997381342452841</v>
      </c>
      <c r="B36">
        <v>0.49689814299598761</v>
      </c>
      <c r="C36">
        <v>0.45192219098406478</v>
      </c>
      <c r="D36">
        <v>0.49207342396408121</v>
      </c>
      <c r="E36">
        <v>-1.2800014099127179</v>
      </c>
      <c r="F36">
        <v>-2.3099348651125569E-2</v>
      </c>
      <c r="G36">
        <v>-1.2771392927658822</v>
      </c>
      <c r="H36">
        <v>0.26665641163608345</v>
      </c>
      <c r="I36">
        <v>0.25381178386746955</v>
      </c>
      <c r="J36">
        <v>0.31431549896461275</v>
      </c>
      <c r="K36">
        <v>3.3585878392761233E-2</v>
      </c>
      <c r="L36">
        <v>0.59766680066941547</v>
      </c>
      <c r="M36">
        <v>0.78189561706843214</v>
      </c>
      <c r="N36">
        <v>0.66344199999873199</v>
      </c>
      <c r="O36">
        <v>0.21480124296530695</v>
      </c>
      <c r="P36">
        <v>0.21777964926393265</v>
      </c>
      <c r="Q36">
        <v>0.43270537042673923</v>
      </c>
      <c r="R36">
        <v>-8.6858911331518199E-2</v>
      </c>
      <c r="S36">
        <v>-0.97494196961600132</v>
      </c>
      <c r="T36">
        <v>-0.53049759581399436</v>
      </c>
    </row>
    <row r="37" spans="1:20" x14ac:dyDescent="0.25">
      <c r="A37">
        <v>1.4958162758642883</v>
      </c>
      <c r="B37">
        <v>1.6600608971277575</v>
      </c>
      <c r="C37">
        <v>1.5248351432437626</v>
      </c>
      <c r="D37">
        <v>1.9537725296951403</v>
      </c>
      <c r="E37">
        <v>-0.51666475426760583</v>
      </c>
      <c r="F37">
        <v>-0.76837450590236434</v>
      </c>
      <c r="G37">
        <v>-0.23596744328818833</v>
      </c>
      <c r="H37">
        <v>-0.77039802029617843</v>
      </c>
      <c r="I37">
        <v>-0.25190681500043738</v>
      </c>
      <c r="J37">
        <v>-0.94430355418140355</v>
      </c>
      <c r="K37">
        <v>-0.41869372832047941</v>
      </c>
      <c r="L37">
        <v>-0.95126121695529453</v>
      </c>
      <c r="M37">
        <v>-0.61099934887361251</v>
      </c>
      <c r="N37">
        <v>-0.90397349183935416</v>
      </c>
      <c r="O37">
        <v>-0.39836084649349229</v>
      </c>
      <c r="P37">
        <v>-1.2936112718142634</v>
      </c>
      <c r="Q37">
        <v>-1.1117107716784491</v>
      </c>
      <c r="R37">
        <v>-0.85143739531327323</v>
      </c>
      <c r="S37">
        <v>-0.81454470234733267</v>
      </c>
      <c r="T37">
        <v>-0.34089603350244047</v>
      </c>
    </row>
    <row r="38" spans="1:20" x14ac:dyDescent="0.25">
      <c r="A38">
        <v>0.54651988172244281</v>
      </c>
      <c r="B38">
        <v>0.78537767907340739</v>
      </c>
      <c r="C38">
        <v>0.579596217534321</v>
      </c>
      <c r="D38">
        <v>0.88070093558080087</v>
      </c>
      <c r="E38">
        <v>5.6881229979107002E-2</v>
      </c>
      <c r="F38">
        <v>0.40893398675158382</v>
      </c>
      <c r="G38">
        <v>0.1043493959108666</v>
      </c>
      <c r="H38">
        <v>0.59315811757943182</v>
      </c>
      <c r="I38">
        <v>-0.46333698635159359</v>
      </c>
      <c r="J38">
        <v>0.31390690939409988</v>
      </c>
      <c r="K38">
        <v>0.39909458323237973</v>
      </c>
      <c r="L38">
        <v>-0.143760743561471</v>
      </c>
      <c r="M38">
        <v>0.1078194450483438</v>
      </c>
      <c r="N38">
        <v>-0.34690845276324461</v>
      </c>
      <c r="O38">
        <v>-5.3296089233538298E-2</v>
      </c>
      <c r="P38">
        <v>-0.39756197942739063</v>
      </c>
      <c r="Q38">
        <v>-0.48565673381575375</v>
      </c>
      <c r="R38">
        <v>-0.18280333280064123</v>
      </c>
      <c r="S38">
        <v>-1.806612444601277</v>
      </c>
      <c r="T38">
        <v>-2.5260211326607225</v>
      </c>
    </row>
    <row r="39" spans="1:20" x14ac:dyDescent="0.25">
      <c r="A39">
        <v>-0.25348214604622765</v>
      </c>
      <c r="B39">
        <v>-0.41503706815145347</v>
      </c>
      <c r="C39">
        <v>-0.18969731782720661</v>
      </c>
      <c r="D39">
        <v>-0.31164621484387062</v>
      </c>
      <c r="E39">
        <v>6.2362769352939933E-2</v>
      </c>
      <c r="F39">
        <v>0.46217857150815111</v>
      </c>
      <c r="G39">
        <v>0.48861719531149578</v>
      </c>
      <c r="H39">
        <v>-0.45087349259448189</v>
      </c>
      <c r="I39">
        <v>0.2189279353459728</v>
      </c>
      <c r="J39">
        <v>-0.21901499827546028</v>
      </c>
      <c r="K39">
        <v>0.38715676056220705</v>
      </c>
      <c r="L39">
        <v>0.66083284125083253</v>
      </c>
      <c r="M39">
        <v>0.25604592910598578</v>
      </c>
      <c r="N39">
        <v>-3.383586636032232E-2</v>
      </c>
      <c r="O39">
        <v>-0.21881953065949394</v>
      </c>
      <c r="P39">
        <v>0.4492291550240225</v>
      </c>
      <c r="Q39">
        <v>0.10842358403022005</v>
      </c>
      <c r="R39">
        <v>-0.11934399087247448</v>
      </c>
      <c r="S39">
        <v>-3.3975785080474011E-2</v>
      </c>
      <c r="T39">
        <v>-6.4345279626713547E-2</v>
      </c>
    </row>
    <row r="40" spans="1:20" x14ac:dyDescent="0.25">
      <c r="A40">
        <v>0.56453021159610539</v>
      </c>
      <c r="B40">
        <v>0.9893167991015418</v>
      </c>
      <c r="C40">
        <v>0.39745140085649494</v>
      </c>
      <c r="D40">
        <v>1.0554996548944178</v>
      </c>
      <c r="E40">
        <v>0.8337325105725204</v>
      </c>
      <c r="F40">
        <v>0.38602235855411743</v>
      </c>
      <c r="G40">
        <v>0.26304708008519445</v>
      </c>
      <c r="H40">
        <v>0.75436875616520505</v>
      </c>
      <c r="I40">
        <v>3.1078501782829063E-2</v>
      </c>
      <c r="J40">
        <v>0.63756801101735516</v>
      </c>
      <c r="K40">
        <v>0.15755717377759743</v>
      </c>
      <c r="L40">
        <v>-0.19036161624490219</v>
      </c>
      <c r="M40">
        <v>-0.12143142095969586</v>
      </c>
      <c r="N40">
        <v>-0.31753208491624041</v>
      </c>
      <c r="O40">
        <v>-6.6136588534175617E-2</v>
      </c>
      <c r="P40">
        <v>5.4440681621963208E-2</v>
      </c>
      <c r="Q40">
        <v>-0.38846439702311236</v>
      </c>
      <c r="R40">
        <v>3.1152984697019721E-2</v>
      </c>
      <c r="S40">
        <v>-0.36917113524999484</v>
      </c>
      <c r="T40">
        <v>-0.32896698209388803</v>
      </c>
    </row>
    <row r="41" spans="1:20" x14ac:dyDescent="0.25">
      <c r="A41">
        <v>0.67224850867590469</v>
      </c>
      <c r="B41">
        <v>0.84387296548928292</v>
      </c>
      <c r="C41">
        <v>0.69930825168178179</v>
      </c>
      <c r="D41">
        <v>0.87257027912380225</v>
      </c>
      <c r="E41">
        <v>0.68493037680574742</v>
      </c>
      <c r="F41">
        <v>0.2975768030080147</v>
      </c>
      <c r="G41">
        <v>0.26084736046887946</v>
      </c>
      <c r="H41">
        <v>0.85821415547571656</v>
      </c>
      <c r="I41">
        <v>0.38917834542398999</v>
      </c>
      <c r="J41">
        <v>0.73669514338712905</v>
      </c>
      <c r="K41">
        <v>-5.8147833741864094E-2</v>
      </c>
      <c r="L41">
        <v>-0.22053105657981883</v>
      </c>
      <c r="M41">
        <v>8.4622326918741039E-2</v>
      </c>
      <c r="N41">
        <v>1.7271846267976725E-2</v>
      </c>
      <c r="O41">
        <v>0.21956741117887441</v>
      </c>
      <c r="P41">
        <v>0.14333048157942924</v>
      </c>
      <c r="Q41">
        <v>-0.3594035515557667</v>
      </c>
      <c r="R41">
        <v>0.49864901658121347</v>
      </c>
      <c r="S41">
        <v>0.35867277861632163</v>
      </c>
      <c r="T41">
        <v>0.21718789733467805</v>
      </c>
    </row>
    <row r="42" spans="1:20" x14ac:dyDescent="0.25">
      <c r="A42">
        <v>-0.12794617959717242</v>
      </c>
      <c r="B42">
        <v>-0.31482607739055535</v>
      </c>
      <c r="C42">
        <v>-0.21336377103381887</v>
      </c>
      <c r="D42">
        <v>-0.13712827596213012</v>
      </c>
      <c r="E42">
        <v>1.9729599513972747E-2</v>
      </c>
      <c r="F42">
        <v>0.65692290203511672</v>
      </c>
      <c r="G42">
        <v>0.43484530675684702</v>
      </c>
      <c r="H42">
        <v>-1.2310829335310738</v>
      </c>
      <c r="I42">
        <v>0.32148059048822147</v>
      </c>
      <c r="J42">
        <v>-0.42738415937970803</v>
      </c>
      <c r="K42">
        <v>-0.19448240500945502</v>
      </c>
      <c r="L42">
        <v>1.1452179262608112E-2</v>
      </c>
      <c r="M42">
        <v>0.22392945875424466</v>
      </c>
      <c r="N42">
        <v>4.2014761092523181E-2</v>
      </c>
      <c r="O42">
        <v>-0.42392025456954391</v>
      </c>
      <c r="P42">
        <v>0.34806799492075158</v>
      </c>
      <c r="Q42">
        <v>-0.3226813487049936</v>
      </c>
      <c r="R42">
        <v>-0.90721935782973628</v>
      </c>
      <c r="S42">
        <v>0.20392098694471517</v>
      </c>
      <c r="T42">
        <v>0.51955652062680668</v>
      </c>
    </row>
    <row r="43" spans="1:20" x14ac:dyDescent="0.25">
      <c r="A43">
        <v>1.3125046831303939</v>
      </c>
      <c r="B43">
        <v>1.7393912432605483</v>
      </c>
      <c r="C43">
        <v>1.5165122960369137</v>
      </c>
      <c r="D43">
        <v>1.770934769387472</v>
      </c>
      <c r="E43">
        <v>-0.29339128737501974</v>
      </c>
      <c r="F43">
        <v>-0.93583366615403574</v>
      </c>
      <c r="G43">
        <v>-0.4314822824494059</v>
      </c>
      <c r="H43">
        <v>-0.28717725711558473</v>
      </c>
      <c r="I43">
        <v>-4.6049674057641245E-2</v>
      </c>
      <c r="J43">
        <v>-0.69082950655174213</v>
      </c>
      <c r="K43">
        <v>-0.93122258947856351</v>
      </c>
      <c r="L43">
        <v>-0.50194088461783404</v>
      </c>
      <c r="M43">
        <v>-0.16290215787830817</v>
      </c>
      <c r="N43">
        <v>-1.0772758213262434</v>
      </c>
      <c r="O43">
        <v>-0.39028692566976381</v>
      </c>
      <c r="P43">
        <v>-1.1257063638167841</v>
      </c>
      <c r="Q43">
        <v>-1.1474747639753182</v>
      </c>
      <c r="R43">
        <v>-1.3546348623697939</v>
      </c>
      <c r="S43">
        <v>-1.0466732896706128</v>
      </c>
      <c r="T43">
        <v>0.35521159282558024</v>
      </c>
    </row>
    <row r="44" spans="1:20" x14ac:dyDescent="0.25">
      <c r="A44">
        <v>1.1604369252890827</v>
      </c>
      <c r="B44">
        <v>1.692818030050633</v>
      </c>
      <c r="C44">
        <v>1.3117560252688052</v>
      </c>
      <c r="D44">
        <v>1.5755095659603335</v>
      </c>
      <c r="E44">
        <v>-0.14493812407572049</v>
      </c>
      <c r="F44">
        <v>-0.6685478167783484</v>
      </c>
      <c r="G44">
        <v>-0.26284013199939882</v>
      </c>
      <c r="H44">
        <v>-0.46454331753572481</v>
      </c>
      <c r="I44">
        <v>-0.23013441224734429</v>
      </c>
      <c r="J44">
        <v>-0.53279950032274925</v>
      </c>
      <c r="K44">
        <v>-0.20665238853760301</v>
      </c>
      <c r="L44">
        <v>-0.57384920128878436</v>
      </c>
      <c r="M44">
        <v>-0.74264548474487702</v>
      </c>
      <c r="N44">
        <v>-1.0587677787751817</v>
      </c>
      <c r="O44">
        <v>-0.28969575272542297</v>
      </c>
      <c r="P44">
        <v>-1.2538279856123822</v>
      </c>
      <c r="Q44">
        <v>-1.1785010742159818</v>
      </c>
      <c r="R44">
        <v>-0.91200379272879295</v>
      </c>
      <c r="S44">
        <v>-0.67357949304535825</v>
      </c>
      <c r="T44">
        <v>-0.431149151688142</v>
      </c>
    </row>
    <row r="45" spans="1:20" x14ac:dyDescent="0.25">
      <c r="A45">
        <v>-0.19325907034088216</v>
      </c>
      <c r="B45">
        <v>-0.27873621810553773</v>
      </c>
      <c r="C45">
        <v>-0.2877479082206521</v>
      </c>
      <c r="D45">
        <v>-0.23923479505476314</v>
      </c>
      <c r="E45">
        <v>-8.1421482161144962E-2</v>
      </c>
      <c r="F45">
        <v>0.59527166028847833</v>
      </c>
      <c r="G45">
        <v>0.29279382786672131</v>
      </c>
      <c r="H45">
        <v>-1.2934585410526733</v>
      </c>
      <c r="I45">
        <v>0.42391180448506449</v>
      </c>
      <c r="J45">
        <v>-0.5727961348091789</v>
      </c>
      <c r="K45">
        <v>-6.7106368723347479E-2</v>
      </c>
      <c r="L45">
        <v>4.8702809171996278E-2</v>
      </c>
      <c r="M45">
        <v>0.26189009542086056</v>
      </c>
      <c r="N45">
        <v>-0.13712844094983506</v>
      </c>
      <c r="O45">
        <v>-0.75141568726980335</v>
      </c>
      <c r="P45">
        <v>0.51029898498269588</v>
      </c>
      <c r="Q45">
        <v>-0.15170160759541151</v>
      </c>
      <c r="R45">
        <v>-0.58366967496325417</v>
      </c>
      <c r="S45">
        <v>0.37967367299309096</v>
      </c>
      <c r="T45">
        <v>0.5898517463096089</v>
      </c>
    </row>
    <row r="46" spans="1:20" x14ac:dyDescent="0.25">
      <c r="A46">
        <v>0.49028668386329488</v>
      </c>
      <c r="B46">
        <v>-0.87281707883760506</v>
      </c>
      <c r="C46">
        <v>0.38099863831628661</v>
      </c>
      <c r="D46">
        <v>-0.88144757468976875</v>
      </c>
      <c r="E46">
        <v>0.53187372415108991</v>
      </c>
      <c r="F46">
        <v>-0.21355831446952842</v>
      </c>
      <c r="G46">
        <v>-0.57802511190740047</v>
      </c>
      <c r="H46">
        <v>-1.5142473398260545</v>
      </c>
      <c r="I46">
        <v>5.5715669307556309E-2</v>
      </c>
      <c r="J46">
        <v>-3.738589658903109E-2</v>
      </c>
      <c r="K46">
        <v>1.0342087457417062</v>
      </c>
      <c r="L46">
        <v>0.8275516064274222</v>
      </c>
      <c r="M46">
        <v>-0.29827194319002903</v>
      </c>
      <c r="N46">
        <v>0.17146640353716663</v>
      </c>
      <c r="O46">
        <v>0.48334668361694133</v>
      </c>
      <c r="P46">
        <v>0.44180030193693687</v>
      </c>
      <c r="Q46">
        <v>-0.71903476431975766</v>
      </c>
      <c r="R46">
        <v>-1.6441312811177595</v>
      </c>
      <c r="S46">
        <v>0.38500154592463326</v>
      </c>
      <c r="T46">
        <v>-1.082851165381528</v>
      </c>
    </row>
    <row r="47" spans="1:20" x14ac:dyDescent="0.25">
      <c r="A47">
        <v>0.71162696355918587</v>
      </c>
      <c r="B47">
        <v>0.97920203972073816</v>
      </c>
      <c r="C47">
        <v>0.51419235549128339</v>
      </c>
      <c r="D47">
        <v>1.1468382059212539</v>
      </c>
      <c r="E47">
        <v>0.73214398602159347</v>
      </c>
      <c r="F47">
        <v>0.60177172365774367</v>
      </c>
      <c r="G47">
        <v>0.30413503454015717</v>
      </c>
      <c r="H47">
        <v>-0.88703253567681184</v>
      </c>
      <c r="I47">
        <v>-1.5252503235012147E-2</v>
      </c>
      <c r="J47">
        <v>0.19995361607733955</v>
      </c>
      <c r="K47">
        <v>-0.37010302610003587</v>
      </c>
      <c r="L47">
        <v>-0.70744847764459651</v>
      </c>
      <c r="M47">
        <v>-0.13852141133245904</v>
      </c>
      <c r="N47">
        <v>-0.68891208170499774</v>
      </c>
      <c r="O47">
        <v>0.44066961083900796</v>
      </c>
      <c r="P47">
        <v>-1.0345413553681578E-3</v>
      </c>
      <c r="Q47">
        <v>5.1359084691785808E-2</v>
      </c>
      <c r="R47">
        <v>0.1118475540299143</v>
      </c>
      <c r="S47">
        <v>-0.24072348697556104</v>
      </c>
      <c r="T47">
        <v>6.8729028364937508E-2</v>
      </c>
    </row>
    <row r="48" spans="1:20" x14ac:dyDescent="0.25">
      <c r="A48">
        <v>-1.7712154001908915</v>
      </c>
      <c r="B48">
        <v>2.032027108791477</v>
      </c>
      <c r="C48">
        <v>-2.0511898416201784</v>
      </c>
      <c r="D48">
        <v>1.9105531622708776</v>
      </c>
      <c r="E48">
        <v>0.21279578200885158</v>
      </c>
      <c r="F48">
        <v>0.54165074073412511</v>
      </c>
      <c r="G48">
        <v>-0.13814995535552804</v>
      </c>
      <c r="H48">
        <v>0.39035617995973998</v>
      </c>
      <c r="I48">
        <v>0.6069433052280172</v>
      </c>
      <c r="J48">
        <v>-0.44575256848958245</v>
      </c>
      <c r="K48">
        <v>-0.23807112115346257</v>
      </c>
      <c r="L48">
        <v>0.18219464947651115</v>
      </c>
      <c r="M48">
        <v>0.37275833337715136</v>
      </c>
      <c r="N48">
        <v>0.46807972790229629</v>
      </c>
      <c r="O48">
        <v>0.1108159533189188</v>
      </c>
      <c r="P48">
        <v>-1.4061921931056192E-2</v>
      </c>
      <c r="Q48">
        <v>0.18238111750459157</v>
      </c>
      <c r="R48">
        <v>-0.12054429015862253</v>
      </c>
      <c r="S48">
        <v>-0.5533851028198028</v>
      </c>
      <c r="T48">
        <v>0.62239165747867786</v>
      </c>
    </row>
    <row r="49" spans="1:20" x14ac:dyDescent="0.25">
      <c r="A49">
        <v>-0.32639370409074464</v>
      </c>
      <c r="B49">
        <v>-0.4200166728534907</v>
      </c>
      <c r="C49">
        <v>-0.27301911703734916</v>
      </c>
      <c r="D49">
        <v>-0.38035879683630142</v>
      </c>
      <c r="E49">
        <v>3.3846885517004821E-2</v>
      </c>
      <c r="F49">
        <v>0.43214041786021151</v>
      </c>
      <c r="G49">
        <v>0.72677815953392877</v>
      </c>
      <c r="H49">
        <v>-0.20581825293732747</v>
      </c>
      <c r="I49">
        <v>-0.70728120600559086</v>
      </c>
      <c r="J49">
        <v>-0.19339748101841689</v>
      </c>
      <c r="K49">
        <v>9.1294355643507463E-2</v>
      </c>
      <c r="L49">
        <v>0.19220416381471153</v>
      </c>
      <c r="M49">
        <v>0.10706697549629948</v>
      </c>
      <c r="N49">
        <v>8.4366086855701863E-2</v>
      </c>
      <c r="O49">
        <v>-0.2663689539740377</v>
      </c>
      <c r="P49">
        <v>0.14337635135734164</v>
      </c>
      <c r="Q49">
        <v>0.24305569692500745</v>
      </c>
      <c r="R49">
        <v>-0.40942063549440555</v>
      </c>
      <c r="S49">
        <v>-0.25698809029052494</v>
      </c>
      <c r="T49">
        <v>0.14463185158800429</v>
      </c>
    </row>
    <row r="50" spans="1:20" x14ac:dyDescent="0.25">
      <c r="A50">
        <v>0.53109334144502318</v>
      </c>
      <c r="B50">
        <v>-1.0275140038978188</v>
      </c>
      <c r="C50">
        <v>0.60175092310673595</v>
      </c>
      <c r="D50">
        <v>-0.95059076381231633</v>
      </c>
      <c r="E50">
        <v>-0.32288602030595143</v>
      </c>
      <c r="F50">
        <v>5.7425664117241156E-2</v>
      </c>
      <c r="G50">
        <v>0.98907135472782215</v>
      </c>
      <c r="H50">
        <v>0.45389964204092703</v>
      </c>
      <c r="I50">
        <v>-0.38822620785250384</v>
      </c>
      <c r="J50">
        <v>-0.27659149892117496</v>
      </c>
      <c r="K50">
        <v>0.17266828347811156</v>
      </c>
      <c r="L50">
        <v>0.61905706840640473</v>
      </c>
      <c r="M50">
        <v>0.14989116026288657</v>
      </c>
      <c r="N50">
        <v>7.1936249891724938E-2</v>
      </c>
      <c r="O50">
        <v>-0.17938761252475621</v>
      </c>
      <c r="P50">
        <v>-7.6747208074140122E-2</v>
      </c>
      <c r="Q50">
        <v>8.5129172558281674E-2</v>
      </c>
      <c r="R50">
        <v>4.2458303223654473E-2</v>
      </c>
      <c r="S50">
        <v>0.19142111999511768</v>
      </c>
      <c r="T50">
        <v>0.37222821748499962</v>
      </c>
    </row>
    <row r="51" spans="1:20" x14ac:dyDescent="0.25">
      <c r="A51">
        <v>-0.93795256083387757</v>
      </c>
      <c r="B51">
        <v>-2.6615244869154987E-2</v>
      </c>
      <c r="C51">
        <v>-1.1538074794296056</v>
      </c>
      <c r="D51">
        <v>3.5735354696323822E-2</v>
      </c>
      <c r="E51">
        <v>8.6739278114498455E-2</v>
      </c>
      <c r="F51">
        <v>0.27195998086931078</v>
      </c>
      <c r="G51">
        <v>0.4304447471279706</v>
      </c>
      <c r="H51">
        <v>0.1516351793447058</v>
      </c>
      <c r="I51">
        <v>-0.86060124337014243</v>
      </c>
      <c r="J51">
        <v>-1.0787070873380151</v>
      </c>
      <c r="K51">
        <v>0.24786806161214991</v>
      </c>
      <c r="L51">
        <v>0.53139113891158807</v>
      </c>
      <c r="M51">
        <v>-4.3583894338165873E-4</v>
      </c>
      <c r="N51">
        <v>-0.58875414269851067</v>
      </c>
      <c r="O51">
        <v>4.4123038873792784E-2</v>
      </c>
      <c r="P51">
        <v>3.1205889140345021E-2</v>
      </c>
    </row>
    <row r="52" spans="1:20" x14ac:dyDescent="0.25">
      <c r="A52">
        <v>3.9688451599850159</v>
      </c>
      <c r="B52">
        <v>1.6804558472143933</v>
      </c>
      <c r="C52">
        <v>4.1028638214833277</v>
      </c>
      <c r="D52">
        <v>1.4217224188619517</v>
      </c>
      <c r="E52">
        <v>-0.9875680928151167</v>
      </c>
      <c r="F52">
        <v>1.1195157844752264</v>
      </c>
      <c r="G52">
        <v>1.2642280423478804</v>
      </c>
      <c r="H52">
        <v>-1.1965758568916858</v>
      </c>
      <c r="I52">
        <v>4.1791184689807164</v>
      </c>
      <c r="J52">
        <v>3.799209464631021</v>
      </c>
      <c r="K52">
        <v>-1.4631615954423227</v>
      </c>
      <c r="L52">
        <v>-3.826583939046877</v>
      </c>
      <c r="M52">
        <v>1.2673821414513251</v>
      </c>
      <c r="N52">
        <v>-4.6953397858462624</v>
      </c>
      <c r="O52">
        <v>-1.0049665111710897</v>
      </c>
      <c r="P52">
        <v>-2.6907562588872582</v>
      </c>
    </row>
    <row r="53" spans="1:20" x14ac:dyDescent="0.25">
      <c r="A53">
        <v>0.32854479755712795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3D95-1CE3-45C5-8211-1BD5AD45C8C7}">
  <sheetPr codeName="Sheet15"/>
  <dimension ref="B2:AL33"/>
  <sheetViews>
    <sheetView workbookViewId="0">
      <selection activeCell="D27" sqref="D27"/>
    </sheetView>
  </sheetViews>
  <sheetFormatPr defaultRowHeight="15" x14ac:dyDescent="0.25"/>
  <cols>
    <col min="3" max="35" width="4" customWidth="1"/>
  </cols>
  <sheetData>
    <row r="2" spans="2:38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  <c r="R2" s="14"/>
      <c r="S2" s="33" t="s">
        <v>26</v>
      </c>
      <c r="T2" s="34"/>
      <c r="U2" s="34"/>
      <c r="V2" s="34"/>
      <c r="W2" s="34"/>
      <c r="X2" s="35"/>
      <c r="Y2" s="36"/>
      <c r="Z2" s="2"/>
      <c r="AA2" s="2"/>
      <c r="AB2" s="2"/>
      <c r="AC2" s="2"/>
      <c r="AD2" s="2"/>
      <c r="AE2" s="2"/>
      <c r="AF2" s="2"/>
      <c r="AG2" s="2"/>
    </row>
    <row r="3" spans="2:38" ht="18" customHeight="1" x14ac:dyDescent="0.25">
      <c r="B3" s="14">
        <v>7</v>
      </c>
      <c r="C3" s="18">
        <v>2</v>
      </c>
      <c r="D3" s="19">
        <v>2</v>
      </c>
      <c r="E3" s="20">
        <v>2</v>
      </c>
      <c r="F3" s="20">
        <v>2</v>
      </c>
      <c r="G3" s="20">
        <v>2</v>
      </c>
      <c r="H3" s="20">
        <v>2</v>
      </c>
      <c r="I3" s="19">
        <v>2</v>
      </c>
      <c r="J3" s="20">
        <v>2</v>
      </c>
      <c r="K3" s="20">
        <v>2</v>
      </c>
      <c r="L3" s="20">
        <v>2</v>
      </c>
      <c r="M3" s="20">
        <v>2</v>
      </c>
      <c r="N3" s="20">
        <v>2</v>
      </c>
      <c r="O3" s="21">
        <v>2</v>
      </c>
      <c r="S3" s="37" t="str">
        <f t="shared" ref="S3:AE9" si="0">INDEX($AL$3:$AL$6,MATCH(C3,$AK$3:$AK$6,0))</f>
        <v>→</v>
      </c>
      <c r="T3" s="38" t="str">
        <f t="shared" si="0"/>
        <v>→</v>
      </c>
      <c r="U3" s="39" t="str">
        <f t="shared" si="0"/>
        <v>→</v>
      </c>
      <c r="V3" s="39" t="str">
        <f t="shared" si="0"/>
        <v>→</v>
      </c>
      <c r="W3" s="39" t="str">
        <f t="shared" si="0"/>
        <v>→</v>
      </c>
      <c r="X3" s="39" t="str">
        <f t="shared" si="0"/>
        <v>→</v>
      </c>
      <c r="Y3" s="38" t="str">
        <f t="shared" si="0"/>
        <v>→</v>
      </c>
      <c r="Z3" s="39" t="str">
        <f t="shared" si="0"/>
        <v>→</v>
      </c>
      <c r="AA3" s="39" t="str">
        <f t="shared" si="0"/>
        <v>→</v>
      </c>
      <c r="AB3" s="39" t="str">
        <f t="shared" si="0"/>
        <v>→</v>
      </c>
      <c r="AC3" s="39" t="str">
        <f t="shared" si="0"/>
        <v>→</v>
      </c>
      <c r="AD3" s="39" t="str">
        <f t="shared" si="0"/>
        <v>→</v>
      </c>
      <c r="AE3" s="52" t="str">
        <f t="shared" si="0"/>
        <v>→</v>
      </c>
      <c r="AF3" s="41"/>
      <c r="AG3" s="41"/>
      <c r="AK3">
        <v>1</v>
      </c>
      <c r="AL3" s="32" t="s">
        <v>22</v>
      </c>
    </row>
    <row r="4" spans="2:38" ht="18" customHeight="1" x14ac:dyDescent="0.25">
      <c r="B4" s="14">
        <v>6</v>
      </c>
      <c r="C4" s="22">
        <v>2</v>
      </c>
      <c r="D4" s="23">
        <v>2</v>
      </c>
      <c r="E4" s="23">
        <v>2</v>
      </c>
      <c r="F4" s="24">
        <v>2</v>
      </c>
      <c r="G4" s="24">
        <v>2</v>
      </c>
      <c r="H4" s="23">
        <v>2</v>
      </c>
      <c r="I4" s="24">
        <v>2</v>
      </c>
      <c r="J4" s="23">
        <v>2</v>
      </c>
      <c r="K4" s="23">
        <v>2</v>
      </c>
      <c r="L4" s="23">
        <v>2</v>
      </c>
      <c r="M4" s="23">
        <v>2</v>
      </c>
      <c r="N4" s="23">
        <v>2</v>
      </c>
      <c r="O4" s="27">
        <v>2</v>
      </c>
      <c r="S4" s="40" t="str">
        <f t="shared" si="0"/>
        <v>→</v>
      </c>
      <c r="T4" s="41" t="str">
        <f t="shared" si="0"/>
        <v>→</v>
      </c>
      <c r="U4" s="41" t="str">
        <f t="shared" si="0"/>
        <v>→</v>
      </c>
      <c r="V4" s="42" t="str">
        <f t="shared" si="0"/>
        <v>→</v>
      </c>
      <c r="W4" s="42" t="str">
        <f t="shared" si="0"/>
        <v>→</v>
      </c>
      <c r="X4" s="41" t="str">
        <f t="shared" si="0"/>
        <v>→</v>
      </c>
      <c r="Y4" s="42" t="str">
        <f t="shared" si="0"/>
        <v>→</v>
      </c>
      <c r="Z4" s="41" t="str">
        <f t="shared" si="0"/>
        <v>→</v>
      </c>
      <c r="AA4" s="41" t="str">
        <f t="shared" si="0"/>
        <v>→</v>
      </c>
      <c r="AB4" s="41" t="str">
        <f t="shared" si="0"/>
        <v>→</v>
      </c>
      <c r="AC4" s="41" t="str">
        <f t="shared" si="0"/>
        <v>→</v>
      </c>
      <c r="AD4" s="41" t="str">
        <f t="shared" si="0"/>
        <v>→</v>
      </c>
      <c r="AE4" s="53" t="str">
        <f t="shared" si="0"/>
        <v>→</v>
      </c>
      <c r="AF4" s="41"/>
      <c r="AG4" s="41"/>
      <c r="AK4">
        <v>2</v>
      </c>
      <c r="AL4" s="32" t="s">
        <v>23</v>
      </c>
    </row>
    <row r="5" spans="2:38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2</v>
      </c>
      <c r="G5" s="23">
        <v>2</v>
      </c>
      <c r="H5" s="23">
        <v>2</v>
      </c>
      <c r="I5" s="24">
        <v>2</v>
      </c>
      <c r="J5" s="23">
        <v>2</v>
      </c>
      <c r="K5" s="24">
        <v>2</v>
      </c>
      <c r="L5" s="24">
        <v>2</v>
      </c>
      <c r="M5" s="24">
        <v>2</v>
      </c>
      <c r="N5" s="24">
        <v>2</v>
      </c>
      <c r="O5" s="25">
        <v>2</v>
      </c>
      <c r="S5" s="43" t="str">
        <f t="shared" si="0"/>
        <v>→</v>
      </c>
      <c r="T5" s="42" t="str">
        <f t="shared" si="0"/>
        <v>→</v>
      </c>
      <c r="U5" s="42" t="str">
        <f t="shared" si="0"/>
        <v>→</v>
      </c>
      <c r="V5" s="41" t="str">
        <f t="shared" si="0"/>
        <v>→</v>
      </c>
      <c r="W5" s="41" t="str">
        <f t="shared" si="0"/>
        <v>→</v>
      </c>
      <c r="X5" s="41" t="str">
        <f t="shared" si="0"/>
        <v>→</v>
      </c>
      <c r="Y5" s="42" t="str">
        <f t="shared" si="0"/>
        <v>→</v>
      </c>
      <c r="Z5" s="41" t="str">
        <f t="shared" si="0"/>
        <v>→</v>
      </c>
      <c r="AA5" s="42" t="str">
        <f t="shared" si="0"/>
        <v>→</v>
      </c>
      <c r="AB5" s="42" t="str">
        <f t="shared" si="0"/>
        <v>→</v>
      </c>
      <c r="AC5" s="42" t="str">
        <f t="shared" si="0"/>
        <v>→</v>
      </c>
      <c r="AD5" s="42" t="str">
        <f t="shared" si="0"/>
        <v>→</v>
      </c>
      <c r="AE5" s="54" t="str">
        <f t="shared" si="0"/>
        <v>→</v>
      </c>
      <c r="AF5" s="41"/>
      <c r="AG5" s="41"/>
      <c r="AK5">
        <v>3</v>
      </c>
      <c r="AL5" s="32" t="s">
        <v>24</v>
      </c>
    </row>
    <row r="6" spans="2:38" ht="18" customHeight="1" x14ac:dyDescent="0.25">
      <c r="B6" s="14">
        <v>4</v>
      </c>
      <c r="C6" s="22">
        <v>2</v>
      </c>
      <c r="D6" s="23">
        <v>2</v>
      </c>
      <c r="E6" s="23">
        <v>2</v>
      </c>
      <c r="F6" s="23">
        <v>2</v>
      </c>
      <c r="G6" s="24">
        <v>2</v>
      </c>
      <c r="H6" s="24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>
        <v>2</v>
      </c>
      <c r="O6" s="27">
        <v>2</v>
      </c>
      <c r="S6" s="40" t="str">
        <f t="shared" si="0"/>
        <v>→</v>
      </c>
      <c r="T6" s="41" t="str">
        <f t="shared" si="0"/>
        <v>→</v>
      </c>
      <c r="U6" s="41" t="str">
        <f t="shared" si="0"/>
        <v>→</v>
      </c>
      <c r="V6" s="41" t="str">
        <f t="shared" si="0"/>
        <v>→</v>
      </c>
      <c r="W6" s="42" t="str">
        <f t="shared" si="0"/>
        <v>→</v>
      </c>
      <c r="X6" s="42" t="str">
        <f t="shared" si="0"/>
        <v>→</v>
      </c>
      <c r="Y6" s="41" t="str">
        <f t="shared" si="0"/>
        <v>→</v>
      </c>
      <c r="Z6" s="41" t="str">
        <f t="shared" si="0"/>
        <v>→</v>
      </c>
      <c r="AA6" s="41" t="str">
        <f t="shared" si="0"/>
        <v>→</v>
      </c>
      <c r="AB6" s="41" t="str">
        <f t="shared" si="0"/>
        <v>→</v>
      </c>
      <c r="AC6" s="41" t="str">
        <f t="shared" si="0"/>
        <v>→</v>
      </c>
      <c r="AD6" s="41" t="str">
        <f t="shared" si="0"/>
        <v>→</v>
      </c>
      <c r="AE6" s="53" t="str">
        <f t="shared" si="0"/>
        <v>→</v>
      </c>
      <c r="AF6" s="41"/>
      <c r="AG6" s="41"/>
      <c r="AK6">
        <v>4</v>
      </c>
      <c r="AL6" s="32" t="s">
        <v>25</v>
      </c>
    </row>
    <row r="7" spans="2:38" ht="18" customHeight="1" x14ac:dyDescent="0.25">
      <c r="B7" s="14">
        <v>3</v>
      </c>
      <c r="C7" s="22">
        <v>2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>
        <v>2</v>
      </c>
      <c r="N7" s="23">
        <v>2</v>
      </c>
      <c r="O7" s="27">
        <v>2</v>
      </c>
      <c r="S7" s="40" t="str">
        <f t="shared" si="0"/>
        <v>→</v>
      </c>
      <c r="T7" s="42" t="str">
        <f t="shared" si="0"/>
        <v>→</v>
      </c>
      <c r="U7" s="42" t="str">
        <f t="shared" si="0"/>
        <v>→</v>
      </c>
      <c r="V7" s="42" t="str">
        <f t="shared" si="0"/>
        <v>→</v>
      </c>
      <c r="W7" s="41" t="str">
        <f t="shared" si="0"/>
        <v>→</v>
      </c>
      <c r="X7" s="41" t="str">
        <f t="shared" si="0"/>
        <v>→</v>
      </c>
      <c r="Y7" s="41" t="str">
        <f t="shared" si="0"/>
        <v>→</v>
      </c>
      <c r="Z7" s="41" t="str">
        <f t="shared" si="0"/>
        <v>→</v>
      </c>
      <c r="AA7" s="41" t="str">
        <f t="shared" si="0"/>
        <v>→</v>
      </c>
      <c r="AB7" s="41" t="str">
        <f t="shared" si="0"/>
        <v>→</v>
      </c>
      <c r="AC7" s="41" t="str">
        <f t="shared" si="0"/>
        <v>→</v>
      </c>
      <c r="AD7" s="41" t="str">
        <f t="shared" si="0"/>
        <v>→</v>
      </c>
      <c r="AE7" s="53" t="str">
        <f t="shared" si="0"/>
        <v>→</v>
      </c>
      <c r="AF7" s="41"/>
      <c r="AG7" s="41"/>
    </row>
    <row r="8" spans="2:38" ht="18" customHeight="1" x14ac:dyDescent="0.25">
      <c r="B8" s="14">
        <v>2</v>
      </c>
      <c r="C8" s="22">
        <v>1</v>
      </c>
      <c r="D8" s="24">
        <v>1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4">
        <v>1</v>
      </c>
      <c r="K8" s="24">
        <v>1</v>
      </c>
      <c r="L8" s="24">
        <v>1</v>
      </c>
      <c r="M8" s="24">
        <v>1</v>
      </c>
      <c r="N8" s="24">
        <v>1</v>
      </c>
      <c r="O8" s="25">
        <v>1</v>
      </c>
      <c r="S8" s="40" t="str">
        <f t="shared" si="0"/>
        <v>↑</v>
      </c>
      <c r="T8" s="42" t="str">
        <f t="shared" si="0"/>
        <v>↑</v>
      </c>
      <c r="U8" s="41" t="str">
        <f t="shared" si="0"/>
        <v>↑</v>
      </c>
      <c r="V8" s="41" t="str">
        <f t="shared" si="0"/>
        <v>↑</v>
      </c>
      <c r="W8" s="41" t="str">
        <f t="shared" si="0"/>
        <v>↑</v>
      </c>
      <c r="X8" s="41" t="str">
        <f t="shared" si="0"/>
        <v>↑</v>
      </c>
      <c r="Y8" s="41" t="str">
        <f t="shared" si="0"/>
        <v>↑</v>
      </c>
      <c r="Z8" s="42" t="str">
        <f t="shared" si="0"/>
        <v>↑</v>
      </c>
      <c r="AA8" s="42" t="str">
        <f t="shared" si="0"/>
        <v>↑</v>
      </c>
      <c r="AB8" s="42" t="str">
        <f t="shared" si="0"/>
        <v>↑</v>
      </c>
      <c r="AC8" s="42" t="str">
        <f t="shared" si="0"/>
        <v>↑</v>
      </c>
      <c r="AD8" s="42" t="str">
        <f t="shared" si="0"/>
        <v>↑</v>
      </c>
      <c r="AE8" s="54" t="str">
        <f t="shared" si="0"/>
        <v>↑</v>
      </c>
      <c r="AF8" s="41"/>
      <c r="AG8" s="41"/>
    </row>
    <row r="9" spans="2:38" ht="18" customHeight="1" x14ac:dyDescent="0.25">
      <c r="B9" s="14">
        <v>1</v>
      </c>
      <c r="C9" s="28">
        <v>1</v>
      </c>
      <c r="D9" s="29">
        <v>1</v>
      </c>
      <c r="E9" s="29">
        <v>1</v>
      </c>
      <c r="F9" s="30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31">
        <v>1</v>
      </c>
      <c r="S9" s="44" t="str">
        <f t="shared" si="0"/>
        <v>↑</v>
      </c>
      <c r="T9" s="45" t="str">
        <f t="shared" si="0"/>
        <v>↑</v>
      </c>
      <c r="U9" s="45" t="str">
        <f t="shared" si="0"/>
        <v>↑</v>
      </c>
      <c r="V9" s="46" t="str">
        <f t="shared" si="0"/>
        <v>↑</v>
      </c>
      <c r="W9" s="45" t="str">
        <f t="shared" si="0"/>
        <v>↑</v>
      </c>
      <c r="X9" s="45" t="str">
        <f t="shared" si="0"/>
        <v>↑</v>
      </c>
      <c r="Y9" s="45" t="str">
        <f t="shared" si="0"/>
        <v>↑</v>
      </c>
      <c r="Z9" s="45" t="str">
        <f t="shared" si="0"/>
        <v>↑</v>
      </c>
      <c r="AA9" s="45" t="str">
        <f t="shared" si="0"/>
        <v>↑</v>
      </c>
      <c r="AB9" s="45" t="str">
        <f t="shared" si="0"/>
        <v>↑</v>
      </c>
      <c r="AC9" s="45" t="str">
        <f t="shared" si="0"/>
        <v>↑</v>
      </c>
      <c r="AD9" s="45" t="str">
        <f t="shared" si="0"/>
        <v>↑</v>
      </c>
      <c r="AE9" s="55" t="str">
        <f t="shared" si="0"/>
        <v>↑</v>
      </c>
      <c r="AF9" s="41"/>
      <c r="AG9" s="41"/>
    </row>
    <row r="10" spans="2:38" x14ac:dyDescent="0.25">
      <c r="B10" s="1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R10" s="17"/>
      <c r="S10" s="17"/>
      <c r="T10" s="17"/>
      <c r="U10" s="17"/>
      <c r="V10" s="17"/>
      <c r="W10" s="17"/>
    </row>
    <row r="11" spans="2:38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2:38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38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38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38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38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0CF-7ABD-4361-8B8A-CCE697A77540}">
  <sheetPr codeName="Sheet16"/>
  <dimension ref="B2:O33"/>
  <sheetViews>
    <sheetView workbookViewId="0">
      <selection activeCell="K7" sqref="K7"/>
    </sheetView>
  </sheetViews>
  <sheetFormatPr defaultRowHeight="15" x14ac:dyDescent="0.25"/>
  <cols>
    <col min="3" max="15" width="4" customWidth="1"/>
  </cols>
  <sheetData>
    <row r="2" spans="2:15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</row>
    <row r="3" spans="2:15" ht="18" customHeight="1" x14ac:dyDescent="0.25">
      <c r="B3" s="14">
        <v>7</v>
      </c>
      <c r="C3" s="18">
        <v>42.631944400038115</v>
      </c>
      <c r="D3" s="19">
        <v>48.015137455176756</v>
      </c>
      <c r="E3" s="20">
        <v>53.398330510315404</v>
      </c>
      <c r="F3" s="20">
        <v>58.78152356545403</v>
      </c>
      <c r="G3" s="20">
        <v>64.164716620592671</v>
      </c>
      <c r="H3" s="20">
        <v>69.547909675731319</v>
      </c>
      <c r="I3" s="21">
        <v>74.931102730869966</v>
      </c>
      <c r="J3" s="23">
        <v>80.3142957860086</v>
      </c>
      <c r="K3" s="23">
        <v>85.697488841147248</v>
      </c>
      <c r="L3" s="23">
        <v>91.080681896285881</v>
      </c>
      <c r="M3" s="23">
        <v>96.463874951424529</v>
      </c>
      <c r="N3" s="23">
        <v>101.02750611464728</v>
      </c>
      <c r="O3" s="23">
        <v>105.03012290751647</v>
      </c>
    </row>
    <row r="4" spans="2:15" ht="18" customHeight="1" x14ac:dyDescent="0.25">
      <c r="B4" s="14">
        <v>6</v>
      </c>
      <c r="C4" s="22">
        <v>35.567240611294579</v>
      </c>
      <c r="D4" s="23">
        <v>40.950433666433213</v>
      </c>
      <c r="E4" s="23">
        <v>46.333626721571868</v>
      </c>
      <c r="F4" s="24">
        <v>51.716819776710508</v>
      </c>
      <c r="G4" s="24">
        <v>57.100012831849142</v>
      </c>
      <c r="H4" s="23">
        <v>62.48320588698779</v>
      </c>
      <c r="I4" s="25">
        <v>67.866398942126438</v>
      </c>
      <c r="J4" s="24">
        <v>73.249591997265071</v>
      </c>
      <c r="K4" s="24">
        <v>78.632785052403705</v>
      </c>
      <c r="L4" s="24">
        <v>83.313032453649427</v>
      </c>
      <c r="M4" s="24">
        <v>87.315649246518618</v>
      </c>
      <c r="N4" s="24">
        <v>91.318266039387794</v>
      </c>
      <c r="O4" s="24">
        <v>95.320882832256999</v>
      </c>
    </row>
    <row r="5" spans="2:15" ht="18" customHeight="1" x14ac:dyDescent="0.25">
      <c r="B5" s="14">
        <v>5</v>
      </c>
      <c r="C5" s="26">
        <v>28.502536822551036</v>
      </c>
      <c r="D5" s="24">
        <v>33.885729877689684</v>
      </c>
      <c r="E5" s="24">
        <v>39.268922932828332</v>
      </c>
      <c r="F5" s="23">
        <v>44.652115987966972</v>
      </c>
      <c r="G5" s="23">
        <v>50.035309043105613</v>
      </c>
      <c r="H5" s="23">
        <v>55.418502098244247</v>
      </c>
      <c r="I5" s="25">
        <v>60.801695153382887</v>
      </c>
      <c r="J5" s="24">
        <v>65.598558792651545</v>
      </c>
      <c r="K5" s="24">
        <v>69.60117558552075</v>
      </c>
      <c r="L5" s="24">
        <v>73.60379237838994</v>
      </c>
      <c r="M5" s="24">
        <v>77.546766563504519</v>
      </c>
      <c r="N5" s="24">
        <v>81.292918247129109</v>
      </c>
      <c r="O5" s="24">
        <v>85.039069930753698</v>
      </c>
    </row>
    <row r="6" spans="2:15" ht="18" customHeight="1" x14ac:dyDescent="0.25">
      <c r="B6" s="14">
        <v>4</v>
      </c>
      <c r="C6" s="22">
        <v>21.437833033807507</v>
      </c>
      <c r="D6" s="23">
        <v>26.821026088946148</v>
      </c>
      <c r="E6" s="23">
        <v>32.204219144084789</v>
      </c>
      <c r="F6" s="23">
        <v>37.587412199223422</v>
      </c>
      <c r="G6" s="24">
        <v>42.97060525436207</v>
      </c>
      <c r="H6" s="24">
        <v>47.884085131653684</v>
      </c>
      <c r="I6" s="27">
        <v>51.886701924522868</v>
      </c>
      <c r="J6" s="23">
        <v>55.640094159081855</v>
      </c>
      <c r="K6" s="23">
        <v>59.386245842706444</v>
      </c>
      <c r="L6" s="23">
        <v>63.132397526331061</v>
      </c>
      <c r="M6" s="23">
        <v>66.878549209955665</v>
      </c>
      <c r="N6" s="23">
        <v>70.624700893580268</v>
      </c>
      <c r="O6" s="23">
        <v>74.280161788756743</v>
      </c>
    </row>
    <row r="7" spans="2:15" ht="18" customHeight="1" x14ac:dyDescent="0.25">
      <c r="B7" s="14">
        <v>3</v>
      </c>
      <c r="C7" s="22">
        <v>14.373129245063977</v>
      </c>
      <c r="D7" s="24">
        <v>19.756322300202612</v>
      </c>
      <c r="E7" s="24">
        <v>25.139515355341256</v>
      </c>
      <c r="F7" s="24">
        <v>29.987270071034608</v>
      </c>
      <c r="G7" s="23">
        <v>33.733421754659211</v>
      </c>
      <c r="H7" s="23">
        <v>37.479573438283808</v>
      </c>
      <c r="I7" s="27">
        <v>41.225725121908418</v>
      </c>
      <c r="J7" s="23">
        <v>44.971876805533022</v>
      </c>
      <c r="K7" s="23">
        <v>48.718028489157618</v>
      </c>
      <c r="L7" s="23">
        <v>52.31655084038983</v>
      </c>
      <c r="M7" s="23">
        <v>55.828225001307722</v>
      </c>
      <c r="N7" s="23">
        <v>59.339899162225628</v>
      </c>
      <c r="O7" s="23">
        <v>62.851573323143498</v>
      </c>
    </row>
    <row r="8" spans="2:15" ht="18" customHeight="1" x14ac:dyDescent="0.25">
      <c r="B8" s="14">
        <v>2</v>
      </c>
      <c r="C8" s="22">
        <v>6.8445046404188536</v>
      </c>
      <c r="D8" s="24">
        <v>11.788889648986467</v>
      </c>
      <c r="E8" s="23">
        <v>15.572901033861172</v>
      </c>
      <c r="F8" s="23">
        <v>19.319052717485775</v>
      </c>
      <c r="G8" s="23">
        <v>23.065204401110382</v>
      </c>
      <c r="H8" s="23">
        <v>26.811356084734978</v>
      </c>
      <c r="I8" s="27">
        <v>30.35293989202291</v>
      </c>
      <c r="J8" s="23">
        <v>33.864614052940809</v>
      </c>
      <c r="K8" s="23">
        <v>37.3762882138587</v>
      </c>
      <c r="L8" s="23">
        <v>40.887962374776592</v>
      </c>
      <c r="M8" s="23">
        <v>44.399636535694498</v>
      </c>
      <c r="N8" s="23">
        <v>47.911310696612396</v>
      </c>
      <c r="O8" s="23">
        <v>51.422984857530281</v>
      </c>
    </row>
    <row r="9" spans="2:15" ht="18" customHeight="1" x14ac:dyDescent="0.25">
      <c r="B9" s="14">
        <v>1</v>
      </c>
      <c r="C9" s="28">
        <v>1.7442527965863199</v>
      </c>
      <c r="D9" s="29">
        <v>2.5595342001680708</v>
      </c>
      <c r="E9" s="29">
        <v>4.9326219203332249</v>
      </c>
      <c r="F9" s="30">
        <v>8.3514768722111938</v>
      </c>
      <c r="G9" s="29">
        <v>11.901003104573883</v>
      </c>
      <c r="H9" s="29">
        <v>15.412677265491782</v>
      </c>
      <c r="I9" s="31">
        <v>18.924351426409672</v>
      </c>
      <c r="J9" s="23">
        <v>22.436025587327574</v>
      </c>
      <c r="K9" s="23">
        <v>25.947699748245469</v>
      </c>
      <c r="L9" s="23">
        <v>29.459373909163368</v>
      </c>
      <c r="M9" s="23">
        <v>32.97104807008126</v>
      </c>
      <c r="N9" s="23">
        <v>36.482722230999158</v>
      </c>
      <c r="O9" s="23">
        <v>39.994396391917057</v>
      </c>
    </row>
    <row r="10" spans="2:15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2:15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2:15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2:15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2:15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2:15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2:15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2:15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2:15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2:15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</sheetData>
  <conditionalFormatting sqref="C3:O9">
    <cfRule type="colorScale" priority="1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CC32-6D11-4F12-9D3E-0E6B66ED4268}">
  <sheetPr codeName="Sheet4"/>
  <dimension ref="A1:H5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RowHeight="15" x14ac:dyDescent="0.25"/>
  <sheetData>
    <row r="1" spans="1:8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37</v>
      </c>
    </row>
    <row r="2" spans="1:8" x14ac:dyDescent="0.25">
      <c r="A2">
        <v>1</v>
      </c>
      <c r="B2">
        <v>-28.150174296379092</v>
      </c>
      <c r="C2">
        <v>50.6</v>
      </c>
      <c r="D2">
        <v>0.28000000000000003</v>
      </c>
      <c r="F2">
        <v>1</v>
      </c>
      <c r="G2">
        <v>0.83365434898246549</v>
      </c>
    </row>
    <row r="3" spans="1:8" x14ac:dyDescent="0.25">
      <c r="A3">
        <v>2</v>
      </c>
      <c r="B3">
        <v>-24.406170118570344</v>
      </c>
      <c r="C3">
        <v>52.12</v>
      </c>
      <c r="D3">
        <v>0.36</v>
      </c>
      <c r="F3">
        <v>2</v>
      </c>
      <c r="G3">
        <v>0.78266811410658488</v>
      </c>
      <c r="H3" s="51">
        <f t="shared" ref="H3:H66" si="0">(G3-G2)/G2</f>
        <v>-6.1159921900620973E-2</v>
      </c>
    </row>
    <row r="4" spans="1:8" x14ac:dyDescent="0.25">
      <c r="A4">
        <v>3</v>
      </c>
      <c r="B4">
        <v>-21.445352877378468</v>
      </c>
      <c r="C4">
        <v>50.26</v>
      </c>
      <c r="D4">
        <v>0.24</v>
      </c>
      <c r="F4">
        <v>3</v>
      </c>
      <c r="G4">
        <v>0.7337576664247436</v>
      </c>
      <c r="H4" s="51">
        <f t="shared" si="0"/>
        <v>-6.2491938537284755E-2</v>
      </c>
    </row>
    <row r="5" spans="1:8" x14ac:dyDescent="0.25">
      <c r="A5">
        <v>4</v>
      </c>
      <c r="B5">
        <v>-14.30245124042035</v>
      </c>
      <c r="C5">
        <v>53.34</v>
      </c>
      <c r="D5">
        <v>0.5</v>
      </c>
      <c r="F5">
        <v>4</v>
      </c>
      <c r="G5">
        <v>0.68446379277821057</v>
      </c>
      <c r="H5" s="51">
        <f t="shared" si="0"/>
        <v>-6.7180045813652514E-2</v>
      </c>
    </row>
    <row r="6" spans="1:8" x14ac:dyDescent="0.25">
      <c r="A6">
        <v>5</v>
      </c>
      <c r="B6">
        <v>-11.698168813705445</v>
      </c>
      <c r="C6">
        <v>54.5</v>
      </c>
      <c r="D6">
        <v>0.38</v>
      </c>
      <c r="F6">
        <v>5</v>
      </c>
      <c r="G6">
        <v>0.65760728940622404</v>
      </c>
      <c r="H6" s="51">
        <f t="shared" si="0"/>
        <v>-3.9237288597804537E-2</v>
      </c>
    </row>
    <row r="7" spans="1:8" x14ac:dyDescent="0.25">
      <c r="A7">
        <v>6</v>
      </c>
      <c r="B7">
        <v>-10.639500792503357</v>
      </c>
      <c r="C7">
        <v>53.32</v>
      </c>
      <c r="D7">
        <v>0.28000000000000003</v>
      </c>
      <c r="F7">
        <v>6</v>
      </c>
      <c r="G7">
        <v>0.63181705095780616</v>
      </c>
      <c r="H7" s="51">
        <f t="shared" si="0"/>
        <v>-3.921829770424954E-2</v>
      </c>
    </row>
    <row r="8" spans="1:8" x14ac:dyDescent="0.25">
      <c r="A8">
        <v>7</v>
      </c>
      <c r="B8">
        <v>-6.2435189300775589</v>
      </c>
      <c r="C8">
        <v>53.48</v>
      </c>
      <c r="D8">
        <v>0.44</v>
      </c>
      <c r="F8">
        <v>7</v>
      </c>
      <c r="G8">
        <v>0.59957884062536437</v>
      </c>
      <c r="H8" s="51">
        <f t="shared" si="0"/>
        <v>-5.1024596888561508E-2</v>
      </c>
    </row>
    <row r="9" spans="1:8" x14ac:dyDescent="0.25">
      <c r="A9">
        <v>8</v>
      </c>
      <c r="B9">
        <v>-5.8972371306419298</v>
      </c>
      <c r="C9">
        <v>51.3</v>
      </c>
      <c r="D9">
        <v>0.42</v>
      </c>
      <c r="F9">
        <v>8</v>
      </c>
      <c r="G9">
        <v>0.5748318267890199</v>
      </c>
      <c r="H9" s="51">
        <f t="shared" si="0"/>
        <v>-4.1273994610172018E-2</v>
      </c>
    </row>
    <row r="10" spans="1:8" x14ac:dyDescent="0.25">
      <c r="A10">
        <v>9</v>
      </c>
      <c r="B10">
        <v>-4.3717705470323569</v>
      </c>
      <c r="C10">
        <v>51.92</v>
      </c>
      <c r="D10">
        <v>0.46</v>
      </c>
      <c r="F10">
        <v>9</v>
      </c>
      <c r="G10">
        <v>0.54104917260634378</v>
      </c>
      <c r="H10" s="51">
        <f t="shared" si="0"/>
        <v>-5.8769630713358785E-2</v>
      </c>
    </row>
    <row r="11" spans="1:8" x14ac:dyDescent="0.25">
      <c r="A11">
        <v>10</v>
      </c>
      <c r="B11">
        <v>-5.6346131252050391</v>
      </c>
      <c r="C11">
        <v>50.46</v>
      </c>
      <c r="D11">
        <v>0.34</v>
      </c>
      <c r="F11">
        <v>10</v>
      </c>
      <c r="G11">
        <v>0.51016470882467813</v>
      </c>
      <c r="H11" s="51">
        <f t="shared" si="0"/>
        <v>-5.7082545072361747E-2</v>
      </c>
    </row>
    <row r="12" spans="1:8" x14ac:dyDescent="0.25">
      <c r="A12">
        <v>11</v>
      </c>
      <c r="B12">
        <v>-6.8636987048387503</v>
      </c>
      <c r="C12">
        <v>49.08</v>
      </c>
      <c r="D12">
        <v>0.26</v>
      </c>
      <c r="F12">
        <v>11</v>
      </c>
      <c r="G12">
        <v>0.48260326033207956</v>
      </c>
      <c r="H12" s="51">
        <f t="shared" si="0"/>
        <v>-5.4024608162518466E-2</v>
      </c>
    </row>
    <row r="13" spans="1:8" x14ac:dyDescent="0.25">
      <c r="A13">
        <v>12</v>
      </c>
      <c r="B13">
        <v>-7.0773496582508049</v>
      </c>
      <c r="C13">
        <v>50.8</v>
      </c>
      <c r="D13">
        <v>0.24</v>
      </c>
      <c r="F13">
        <v>12</v>
      </c>
      <c r="G13">
        <v>0.45368277447359379</v>
      </c>
      <c r="H13" s="51">
        <f t="shared" si="0"/>
        <v>-5.9926005967273356E-2</v>
      </c>
    </row>
    <row r="14" spans="1:8" x14ac:dyDescent="0.25">
      <c r="A14">
        <v>13</v>
      </c>
      <c r="B14">
        <v>-6.2996338722705811</v>
      </c>
      <c r="C14">
        <v>49.86</v>
      </c>
      <c r="D14">
        <v>0.26</v>
      </c>
      <c r="F14">
        <v>13</v>
      </c>
      <c r="G14">
        <v>0.43409058290734098</v>
      </c>
      <c r="H14" s="51">
        <f t="shared" si="0"/>
        <v>-4.318478167698904E-2</v>
      </c>
    </row>
    <row r="15" spans="1:8" x14ac:dyDescent="0.25">
      <c r="A15">
        <v>14</v>
      </c>
      <c r="B15">
        <v>-6.3863029209375428</v>
      </c>
      <c r="C15">
        <v>47.24</v>
      </c>
      <c r="D15">
        <v>0.26</v>
      </c>
      <c r="F15">
        <v>14</v>
      </c>
      <c r="G15">
        <v>0.43195291844127665</v>
      </c>
      <c r="H15" s="51">
        <f t="shared" si="0"/>
        <v>-4.9244663446675911E-3</v>
      </c>
    </row>
    <row r="16" spans="1:8" x14ac:dyDescent="0.25">
      <c r="A16">
        <v>15</v>
      </c>
      <c r="B16">
        <v>-5.4168999438285743</v>
      </c>
      <c r="C16">
        <v>49.98</v>
      </c>
      <c r="D16">
        <v>0.3</v>
      </c>
      <c r="F16">
        <v>15</v>
      </c>
      <c r="G16">
        <v>0.41308289145344007</v>
      </c>
      <c r="H16" s="51">
        <f t="shared" si="0"/>
        <v>-4.3685379082354613E-2</v>
      </c>
    </row>
    <row r="17" spans="1:8" x14ac:dyDescent="0.25">
      <c r="A17">
        <v>16</v>
      </c>
      <c r="B17">
        <v>-7.0181673291921634</v>
      </c>
      <c r="C17">
        <v>49.44</v>
      </c>
      <c r="D17">
        <v>0.22</v>
      </c>
      <c r="F17">
        <v>16</v>
      </c>
      <c r="G17">
        <v>0.38609063526856696</v>
      </c>
      <c r="H17" s="51">
        <f t="shared" si="0"/>
        <v>-6.5343437705445359E-2</v>
      </c>
    </row>
    <row r="18" spans="1:8" x14ac:dyDescent="0.25">
      <c r="A18">
        <v>17</v>
      </c>
      <c r="B18">
        <v>-7.5701835293769868</v>
      </c>
      <c r="C18">
        <v>49.92</v>
      </c>
      <c r="D18">
        <v>0.16</v>
      </c>
      <c r="F18">
        <v>17</v>
      </c>
      <c r="G18">
        <v>0.37700967523809337</v>
      </c>
      <c r="H18" s="51">
        <f t="shared" si="0"/>
        <v>-2.3520280475481683E-2</v>
      </c>
    </row>
    <row r="19" spans="1:8" x14ac:dyDescent="0.25">
      <c r="A19">
        <v>18</v>
      </c>
      <c r="B19">
        <v>-7.1296413855552672</v>
      </c>
      <c r="C19">
        <v>47.82</v>
      </c>
      <c r="D19">
        <v>0.2</v>
      </c>
      <c r="F19">
        <v>18</v>
      </c>
      <c r="G19">
        <v>0.36710119756142218</v>
      </c>
      <c r="H19" s="51">
        <f t="shared" si="0"/>
        <v>-2.6281759666814061E-2</v>
      </c>
    </row>
    <row r="20" spans="1:8" x14ac:dyDescent="0.25">
      <c r="A20">
        <v>19</v>
      </c>
      <c r="B20">
        <v>-7.7043755719661746</v>
      </c>
      <c r="C20">
        <v>47.66</v>
      </c>
      <c r="D20">
        <v>0.16</v>
      </c>
      <c r="F20">
        <v>19</v>
      </c>
      <c r="G20">
        <v>0.34202591064138688</v>
      </c>
      <c r="H20" s="51">
        <f t="shared" si="0"/>
        <v>-6.8306197546086148E-2</v>
      </c>
    </row>
    <row r="21" spans="1:8" x14ac:dyDescent="0.25">
      <c r="A21">
        <v>20</v>
      </c>
      <c r="B21">
        <v>-8.19691684269905</v>
      </c>
      <c r="C21">
        <v>51.24</v>
      </c>
      <c r="D21">
        <v>0.12</v>
      </c>
      <c r="F21">
        <v>20</v>
      </c>
      <c r="G21">
        <v>0.34245146755804984</v>
      </c>
      <c r="H21" s="51">
        <f t="shared" si="0"/>
        <v>1.2442242047245259E-3</v>
      </c>
    </row>
    <row r="22" spans="1:8" x14ac:dyDescent="0.25">
      <c r="A22">
        <v>21</v>
      </c>
      <c r="B22">
        <v>-7.3059137203693414</v>
      </c>
      <c r="C22">
        <v>47.88</v>
      </c>
      <c r="D22">
        <v>0.16</v>
      </c>
      <c r="F22">
        <v>21</v>
      </c>
      <c r="G22">
        <v>0.33875687854302694</v>
      </c>
      <c r="H22" s="51">
        <f t="shared" si="0"/>
        <v>-1.0788649969492739E-2</v>
      </c>
    </row>
    <row r="23" spans="1:8" x14ac:dyDescent="0.25">
      <c r="A23">
        <v>22</v>
      </c>
      <c r="B23">
        <v>-8.4480647680759446</v>
      </c>
      <c r="C23">
        <v>47.8</v>
      </c>
      <c r="D23">
        <v>0.1</v>
      </c>
      <c r="F23">
        <v>22</v>
      </c>
      <c r="G23">
        <v>0.36166502155256025</v>
      </c>
      <c r="H23" s="51">
        <f t="shared" si="0"/>
        <v>6.7624141266326057E-2</v>
      </c>
    </row>
    <row r="24" spans="1:8" x14ac:dyDescent="0.25">
      <c r="A24">
        <v>23</v>
      </c>
      <c r="B24">
        <v>-7.7410595899820365</v>
      </c>
      <c r="C24">
        <v>46.94</v>
      </c>
      <c r="D24">
        <v>0.16</v>
      </c>
      <c r="F24">
        <v>23</v>
      </c>
      <c r="G24">
        <v>0.3665179806132145</v>
      </c>
      <c r="H24" s="51">
        <f t="shared" si="0"/>
        <v>1.3418381019600415E-2</v>
      </c>
    </row>
    <row r="25" spans="1:8" x14ac:dyDescent="0.25">
      <c r="A25">
        <v>24</v>
      </c>
      <c r="B25">
        <v>-8.4117763223648083</v>
      </c>
      <c r="C25">
        <v>47.54</v>
      </c>
      <c r="D25">
        <v>0.1</v>
      </c>
      <c r="F25">
        <v>24</v>
      </c>
      <c r="G25">
        <v>0.34004447760542483</v>
      </c>
      <c r="H25" s="51">
        <f t="shared" si="0"/>
        <v>-7.2229752448972173E-2</v>
      </c>
    </row>
    <row r="26" spans="1:8" x14ac:dyDescent="0.25">
      <c r="A26">
        <v>25</v>
      </c>
      <c r="B26">
        <v>-8.5325178326368345</v>
      </c>
      <c r="C26">
        <v>48</v>
      </c>
      <c r="D26">
        <v>0.1</v>
      </c>
      <c r="F26">
        <v>25</v>
      </c>
      <c r="G26">
        <v>0.35733644124371972</v>
      </c>
      <c r="H26" s="51">
        <f t="shared" si="0"/>
        <v>5.08520642948357E-2</v>
      </c>
    </row>
    <row r="27" spans="1:8" x14ac:dyDescent="0.25">
      <c r="A27">
        <v>26</v>
      </c>
      <c r="B27">
        <v>-7.8647960129976253</v>
      </c>
      <c r="C27">
        <v>47.44</v>
      </c>
      <c r="D27">
        <v>0.14000000000000001</v>
      </c>
      <c r="F27">
        <v>26</v>
      </c>
      <c r="G27">
        <v>0.36345207978871302</v>
      </c>
      <c r="H27" s="51">
        <f t="shared" si="0"/>
        <v>1.7114511253617605E-2</v>
      </c>
    </row>
    <row r="28" spans="1:8" x14ac:dyDescent="0.25">
      <c r="A28">
        <v>27</v>
      </c>
      <c r="B28">
        <v>-8.1263297199010847</v>
      </c>
      <c r="C28">
        <v>48.06</v>
      </c>
      <c r="D28">
        <v>0.14000000000000001</v>
      </c>
      <c r="F28">
        <v>27</v>
      </c>
      <c r="G28">
        <v>0.35406120093161209</v>
      </c>
      <c r="H28" s="51">
        <f t="shared" si="0"/>
        <v>-2.5838011059285099E-2</v>
      </c>
    </row>
    <row r="29" spans="1:8" x14ac:dyDescent="0.25">
      <c r="A29">
        <v>28</v>
      </c>
      <c r="B29">
        <v>-6.2779277497530011</v>
      </c>
      <c r="C29">
        <v>47.52</v>
      </c>
      <c r="D29">
        <v>0.24</v>
      </c>
      <c r="F29">
        <v>28</v>
      </c>
      <c r="G29">
        <v>0.32763036793006095</v>
      </c>
      <c r="H29" s="51">
        <f t="shared" si="0"/>
        <v>-7.4650464190953031E-2</v>
      </c>
    </row>
    <row r="30" spans="1:8" x14ac:dyDescent="0.25">
      <c r="A30">
        <v>29</v>
      </c>
      <c r="B30">
        <v>-7.2632529110908486</v>
      </c>
      <c r="C30">
        <v>49.26</v>
      </c>
      <c r="D30">
        <v>0.18</v>
      </c>
      <c r="F30">
        <v>29</v>
      </c>
      <c r="G30">
        <v>0.3164367657745818</v>
      </c>
      <c r="H30" s="51">
        <f t="shared" si="0"/>
        <v>-3.4165337682826293E-2</v>
      </c>
    </row>
    <row r="31" spans="1:8" x14ac:dyDescent="0.25">
      <c r="A31">
        <v>30</v>
      </c>
      <c r="B31">
        <v>-6.4878300784826264</v>
      </c>
      <c r="C31">
        <v>48.32</v>
      </c>
      <c r="D31">
        <v>0.24</v>
      </c>
      <c r="F31">
        <v>30</v>
      </c>
      <c r="G31">
        <v>0.30043076139815872</v>
      </c>
      <c r="H31" s="51">
        <f t="shared" si="0"/>
        <v>-5.0581999652420863E-2</v>
      </c>
    </row>
    <row r="32" spans="1:8" x14ac:dyDescent="0.25">
      <c r="A32">
        <v>31</v>
      </c>
      <c r="B32">
        <v>-7.0302702319622146</v>
      </c>
      <c r="C32">
        <v>51.16</v>
      </c>
      <c r="D32">
        <v>0.2</v>
      </c>
      <c r="F32">
        <v>31</v>
      </c>
      <c r="G32">
        <v>0.28813679657672947</v>
      </c>
      <c r="H32" s="51">
        <f t="shared" si="0"/>
        <v>-4.0921125267649093E-2</v>
      </c>
    </row>
    <row r="33" spans="1:8" x14ac:dyDescent="0.25">
      <c r="A33">
        <v>32</v>
      </c>
      <c r="B33">
        <v>-7.9113638243675233</v>
      </c>
      <c r="C33">
        <v>49.56</v>
      </c>
      <c r="D33">
        <v>0.16</v>
      </c>
      <c r="F33">
        <v>32</v>
      </c>
      <c r="G33">
        <v>0.29648383245561272</v>
      </c>
      <c r="H33" s="51">
        <f t="shared" si="0"/>
        <v>2.8969003536000897E-2</v>
      </c>
    </row>
    <row r="34" spans="1:8" x14ac:dyDescent="0.25">
      <c r="A34">
        <v>33</v>
      </c>
      <c r="B34">
        <v>-8.232914300322534</v>
      </c>
      <c r="C34">
        <v>50.18</v>
      </c>
      <c r="D34">
        <v>0.12</v>
      </c>
      <c r="F34">
        <v>33</v>
      </c>
      <c r="G34">
        <v>0.28204597236244466</v>
      </c>
      <c r="H34" s="51">
        <f t="shared" si="0"/>
        <v>-4.8696955829217362E-2</v>
      </c>
    </row>
    <row r="35" spans="1:8" x14ac:dyDescent="0.25">
      <c r="A35">
        <v>34</v>
      </c>
      <c r="B35">
        <v>-8.175858159422873</v>
      </c>
      <c r="C35">
        <v>48.16</v>
      </c>
      <c r="D35">
        <v>0.12</v>
      </c>
      <c r="F35">
        <v>34</v>
      </c>
      <c r="G35">
        <v>0.29344990303624074</v>
      </c>
      <c r="H35" s="51">
        <f t="shared" si="0"/>
        <v>4.0432879002935733E-2</v>
      </c>
    </row>
    <row r="36" spans="1:8" x14ac:dyDescent="0.25">
      <c r="A36">
        <v>35</v>
      </c>
      <c r="B36">
        <v>-9.1464405338764188</v>
      </c>
      <c r="C36">
        <v>46.34</v>
      </c>
      <c r="D36">
        <v>0.06</v>
      </c>
      <c r="F36">
        <v>35</v>
      </c>
      <c r="G36">
        <v>0.29404920672455387</v>
      </c>
      <c r="H36" s="51">
        <f t="shared" si="0"/>
        <v>2.0422691645568913E-3</v>
      </c>
    </row>
    <row r="37" spans="1:8" x14ac:dyDescent="0.25">
      <c r="A37">
        <v>36</v>
      </c>
      <c r="B37">
        <v>-6.5753470337390887</v>
      </c>
      <c r="C37">
        <v>50.08</v>
      </c>
      <c r="D37">
        <v>0.26</v>
      </c>
      <c r="F37">
        <v>36</v>
      </c>
      <c r="G37">
        <v>0.27803399499228004</v>
      </c>
      <c r="H37" s="51">
        <f t="shared" si="0"/>
        <v>-5.4464393598163428E-2</v>
      </c>
    </row>
    <row r="38" spans="1:8" x14ac:dyDescent="0.25">
      <c r="A38">
        <v>37</v>
      </c>
      <c r="B38">
        <v>-8.7865559476614035</v>
      </c>
      <c r="C38">
        <v>50</v>
      </c>
      <c r="D38">
        <v>0.08</v>
      </c>
      <c r="F38">
        <v>37</v>
      </c>
      <c r="G38">
        <v>0.26896421107338619</v>
      </c>
      <c r="H38" s="51">
        <f t="shared" si="0"/>
        <v>-3.2621132963059719E-2</v>
      </c>
    </row>
    <row r="39" spans="1:8" x14ac:dyDescent="0.25">
      <c r="A39">
        <v>38</v>
      </c>
      <c r="B39">
        <v>-7.6747264053821667</v>
      </c>
      <c r="C39">
        <v>48.62</v>
      </c>
      <c r="D39">
        <v>0.16</v>
      </c>
      <c r="F39">
        <v>38</v>
      </c>
      <c r="G39">
        <v>0.2485239457394163</v>
      </c>
      <c r="H39" s="51">
        <f t="shared" si="0"/>
        <v>-7.5996227350830767E-2</v>
      </c>
    </row>
    <row r="40" spans="1:8" x14ac:dyDescent="0.25">
      <c r="A40">
        <v>39</v>
      </c>
      <c r="B40">
        <v>-5.1123987705707528</v>
      </c>
      <c r="C40">
        <v>49.64</v>
      </c>
      <c r="D40">
        <v>0.3</v>
      </c>
      <c r="F40">
        <v>39</v>
      </c>
      <c r="G40">
        <v>0.2445475501709225</v>
      </c>
      <c r="H40" s="51">
        <f t="shared" si="0"/>
        <v>-1.6000050042112052E-2</v>
      </c>
    </row>
    <row r="41" spans="1:8" x14ac:dyDescent="0.25">
      <c r="A41">
        <v>40</v>
      </c>
      <c r="B41">
        <v>-7.9075799950361292</v>
      </c>
      <c r="C41">
        <v>50.1</v>
      </c>
      <c r="D41">
        <v>0.16</v>
      </c>
      <c r="F41">
        <v>40</v>
      </c>
      <c r="G41">
        <v>0.24100727010020792</v>
      </c>
      <c r="H41" s="51">
        <f t="shared" si="0"/>
        <v>-1.4476857642778099E-2</v>
      </c>
    </row>
    <row r="42" spans="1:8" x14ac:dyDescent="0.25">
      <c r="A42">
        <v>41</v>
      </c>
      <c r="B42">
        <v>-5.2951562763452555</v>
      </c>
      <c r="C42">
        <v>48.54</v>
      </c>
      <c r="D42">
        <v>0.28000000000000003</v>
      </c>
      <c r="F42">
        <v>41</v>
      </c>
      <c r="G42">
        <v>0.23556783966617792</v>
      </c>
      <c r="H42" s="51">
        <f t="shared" si="0"/>
        <v>-2.2569569921141182E-2</v>
      </c>
    </row>
    <row r="43" spans="1:8" x14ac:dyDescent="0.25">
      <c r="A43">
        <v>42</v>
      </c>
      <c r="B43">
        <v>-6.9210989224910744</v>
      </c>
      <c r="C43">
        <v>48.92</v>
      </c>
      <c r="D43">
        <v>0.2</v>
      </c>
      <c r="F43">
        <v>42</v>
      </c>
      <c r="G43">
        <v>0.23965301832669078</v>
      </c>
      <c r="H43" s="51">
        <f t="shared" si="0"/>
        <v>1.7341835228025817E-2</v>
      </c>
    </row>
    <row r="44" spans="1:8" x14ac:dyDescent="0.25">
      <c r="A44">
        <v>43</v>
      </c>
      <c r="B44">
        <v>-6.947567244052899</v>
      </c>
      <c r="C44">
        <v>49.36</v>
      </c>
      <c r="D44">
        <v>0.22</v>
      </c>
      <c r="F44">
        <v>43</v>
      </c>
      <c r="G44">
        <v>0.25242603666242147</v>
      </c>
      <c r="H44" s="51">
        <f t="shared" si="0"/>
        <v>5.3297965637631721E-2</v>
      </c>
    </row>
    <row r="45" spans="1:8" x14ac:dyDescent="0.25">
      <c r="A45">
        <v>44</v>
      </c>
      <c r="B45">
        <v>-5.581122915148736</v>
      </c>
      <c r="C45">
        <v>49.34</v>
      </c>
      <c r="D45">
        <v>0.3</v>
      </c>
      <c r="F45">
        <v>44</v>
      </c>
      <c r="G45">
        <v>0.24517725105572663</v>
      </c>
      <c r="H45" s="51">
        <f t="shared" si="0"/>
        <v>-2.8716473556128861E-2</v>
      </c>
    </row>
    <row r="46" spans="1:8" x14ac:dyDescent="0.25">
      <c r="A46">
        <v>45</v>
      </c>
      <c r="B46">
        <v>-5.3639056435823447</v>
      </c>
      <c r="C46">
        <v>51.24</v>
      </c>
      <c r="D46">
        <v>0.32</v>
      </c>
      <c r="F46">
        <v>45</v>
      </c>
      <c r="G46">
        <v>0.26348650923866296</v>
      </c>
      <c r="H46" s="51">
        <f t="shared" si="0"/>
        <v>7.4677638745426642E-2</v>
      </c>
    </row>
    <row r="47" spans="1:8" x14ac:dyDescent="0.25">
      <c r="A47">
        <v>46</v>
      </c>
      <c r="B47">
        <v>-8.0576528285741844</v>
      </c>
      <c r="C47">
        <v>48.62</v>
      </c>
      <c r="D47">
        <v>0.14000000000000001</v>
      </c>
      <c r="F47">
        <v>46</v>
      </c>
      <c r="G47">
        <v>0.27367246968698866</v>
      </c>
      <c r="H47" s="51">
        <f t="shared" si="0"/>
        <v>3.8658375632808516E-2</v>
      </c>
    </row>
    <row r="48" spans="1:8" x14ac:dyDescent="0.25">
      <c r="A48">
        <v>47</v>
      </c>
      <c r="B48">
        <v>-5.7100666055679348</v>
      </c>
      <c r="C48">
        <v>49.64</v>
      </c>
      <c r="D48">
        <v>0.3</v>
      </c>
      <c r="F48">
        <v>47</v>
      </c>
      <c r="G48">
        <v>0.26384155938311038</v>
      </c>
      <c r="H48" s="51">
        <f t="shared" si="0"/>
        <v>-3.5922174835935565E-2</v>
      </c>
    </row>
    <row r="49" spans="1:8" x14ac:dyDescent="0.25">
      <c r="A49">
        <v>48</v>
      </c>
      <c r="B49">
        <v>-6.6155203665494966</v>
      </c>
      <c r="C49">
        <v>48.64</v>
      </c>
      <c r="D49">
        <v>0.24</v>
      </c>
      <c r="F49">
        <v>48</v>
      </c>
      <c r="G49">
        <v>0.27251759161428918</v>
      </c>
      <c r="H49" s="51">
        <f t="shared" si="0"/>
        <v>3.2883493606785393E-2</v>
      </c>
    </row>
    <row r="50" spans="1:8" x14ac:dyDescent="0.25">
      <c r="A50">
        <v>49</v>
      </c>
      <c r="B50">
        <v>-5.6245567148923943</v>
      </c>
      <c r="C50">
        <v>49.64</v>
      </c>
      <c r="D50">
        <v>0.28000000000000003</v>
      </c>
      <c r="F50">
        <v>49</v>
      </c>
      <c r="G50">
        <v>0.25161342883238769</v>
      </c>
      <c r="H50" s="51">
        <f t="shared" si="0"/>
        <v>-7.670757200690527E-2</v>
      </c>
    </row>
    <row r="51" spans="1:8" x14ac:dyDescent="0.25">
      <c r="A51">
        <v>50</v>
      </c>
      <c r="B51">
        <v>-6.1703789321184175</v>
      </c>
      <c r="C51">
        <v>51.18</v>
      </c>
      <c r="D51">
        <v>0.26</v>
      </c>
      <c r="F51">
        <v>50</v>
      </c>
      <c r="G51">
        <v>0.23861422204539157</v>
      </c>
      <c r="H51" s="51">
        <f t="shared" si="0"/>
        <v>-5.1663406231213294E-2</v>
      </c>
    </row>
    <row r="52" spans="1:8" x14ac:dyDescent="0.25">
      <c r="A52">
        <v>51</v>
      </c>
      <c r="B52">
        <v>-5.6355282485485017</v>
      </c>
      <c r="C52">
        <v>51.7</v>
      </c>
      <c r="D52">
        <v>0.28000000000000003</v>
      </c>
      <c r="H52" s="51">
        <f t="shared" si="0"/>
        <v>-1</v>
      </c>
    </row>
    <row r="53" spans="1:8" x14ac:dyDescent="0.25">
      <c r="A53">
        <v>52</v>
      </c>
      <c r="B53">
        <v>-5.155676820874211</v>
      </c>
      <c r="C53">
        <v>50.14</v>
      </c>
      <c r="D53">
        <v>0.32</v>
      </c>
      <c r="H53" s="51" t="e">
        <f t="shared" si="0"/>
        <v>#DIV/0!</v>
      </c>
    </row>
    <row r="54" spans="1:8" x14ac:dyDescent="0.25">
      <c r="A54">
        <v>53</v>
      </c>
      <c r="B54">
        <v>-6.2039231261014871</v>
      </c>
      <c r="C54">
        <v>51.4</v>
      </c>
      <c r="D54">
        <v>0.28000000000000003</v>
      </c>
      <c r="H54" s="51" t="e">
        <f t="shared" si="0"/>
        <v>#DIV/0!</v>
      </c>
    </row>
    <row r="55" spans="1:8" x14ac:dyDescent="0.25">
      <c r="A55">
        <v>54</v>
      </c>
      <c r="B55">
        <v>-4.4398757650852234</v>
      </c>
      <c r="C55">
        <v>50.12</v>
      </c>
      <c r="D55">
        <v>0.36</v>
      </c>
      <c r="H55" s="51" t="e">
        <f t="shared" si="0"/>
        <v>#DIV/0!</v>
      </c>
    </row>
    <row r="56" spans="1:8" x14ac:dyDescent="0.25">
      <c r="A56">
        <v>55</v>
      </c>
      <c r="B56">
        <v>-4.8138148097991911</v>
      </c>
      <c r="C56">
        <v>51.06</v>
      </c>
      <c r="D56">
        <v>0.36</v>
      </c>
      <c r="H56" s="51" t="e">
        <f t="shared" si="0"/>
        <v>#DIV/0!</v>
      </c>
    </row>
    <row r="57" spans="1:8" x14ac:dyDescent="0.25">
      <c r="A57">
        <v>56</v>
      </c>
      <c r="B57">
        <v>-2.3731584115028306</v>
      </c>
      <c r="C57">
        <v>51.72</v>
      </c>
      <c r="D57">
        <v>0.5</v>
      </c>
      <c r="H57" s="51" t="e">
        <f t="shared" si="0"/>
        <v>#DIV/0!</v>
      </c>
    </row>
    <row r="58" spans="1:8" x14ac:dyDescent="0.25">
      <c r="A58">
        <v>57</v>
      </c>
      <c r="B58">
        <v>-2.1513293449878668</v>
      </c>
      <c r="C58">
        <v>54.34</v>
      </c>
      <c r="D58">
        <v>0.52</v>
      </c>
      <c r="H58" s="51" t="e">
        <f t="shared" si="0"/>
        <v>#DIV/0!</v>
      </c>
    </row>
    <row r="59" spans="1:8" x14ac:dyDescent="0.25">
      <c r="A59">
        <v>58</v>
      </c>
      <c r="B59">
        <v>-3.0342768470048793</v>
      </c>
      <c r="C59">
        <v>54.08</v>
      </c>
      <c r="D59">
        <v>0.46</v>
      </c>
      <c r="H59" s="51" t="e">
        <f t="shared" si="0"/>
        <v>#DIV/0!</v>
      </c>
    </row>
    <row r="60" spans="1:8" x14ac:dyDescent="0.25">
      <c r="A60">
        <v>59</v>
      </c>
      <c r="B60">
        <v>-3.9813573868274794</v>
      </c>
      <c r="C60">
        <v>52.66</v>
      </c>
      <c r="D60">
        <v>0.4</v>
      </c>
      <c r="H60" s="51" t="e">
        <f t="shared" si="0"/>
        <v>#DIV/0!</v>
      </c>
    </row>
    <row r="61" spans="1:8" x14ac:dyDescent="0.25">
      <c r="A61">
        <v>60</v>
      </c>
      <c r="B61">
        <v>-1.6956693792343105</v>
      </c>
      <c r="C61">
        <v>53.22</v>
      </c>
      <c r="D61">
        <v>0.54</v>
      </c>
      <c r="H61" s="51" t="e">
        <f t="shared" si="0"/>
        <v>#DIV/0!</v>
      </c>
    </row>
    <row r="62" spans="1:8" x14ac:dyDescent="0.25">
      <c r="A62">
        <v>61</v>
      </c>
      <c r="B62">
        <v>-2.0370226864814729</v>
      </c>
      <c r="C62">
        <v>56.46</v>
      </c>
      <c r="D62">
        <v>0.54</v>
      </c>
      <c r="H62" s="51" t="e">
        <f t="shared" si="0"/>
        <v>#DIV/0!</v>
      </c>
    </row>
    <row r="63" spans="1:8" x14ac:dyDescent="0.25">
      <c r="A63">
        <v>62</v>
      </c>
      <c r="B63">
        <v>-2.8702817240953475</v>
      </c>
      <c r="C63">
        <v>55.26</v>
      </c>
      <c r="D63">
        <v>0.48</v>
      </c>
      <c r="H63" s="51" t="e">
        <f t="shared" si="0"/>
        <v>#DIV/0!</v>
      </c>
    </row>
    <row r="64" spans="1:8" x14ac:dyDescent="0.25">
      <c r="A64">
        <v>63</v>
      </c>
      <c r="B64">
        <v>0.39557017862796684</v>
      </c>
      <c r="C64">
        <v>51.72</v>
      </c>
      <c r="D64">
        <v>0.68</v>
      </c>
      <c r="H64" s="51" t="e">
        <f t="shared" si="0"/>
        <v>#DIV/0!</v>
      </c>
    </row>
    <row r="65" spans="1:8" x14ac:dyDescent="0.25">
      <c r="A65">
        <v>64</v>
      </c>
      <c r="B65">
        <v>-1.8439279434680969</v>
      </c>
      <c r="C65">
        <v>53.68</v>
      </c>
      <c r="D65">
        <v>0.52</v>
      </c>
      <c r="H65" s="51" t="e">
        <f t="shared" si="0"/>
        <v>#DIV/0!</v>
      </c>
    </row>
    <row r="66" spans="1:8" x14ac:dyDescent="0.25">
      <c r="A66">
        <v>65</v>
      </c>
      <c r="B66">
        <v>0.16030333411694012</v>
      </c>
      <c r="C66">
        <v>53.92</v>
      </c>
      <c r="D66">
        <v>0.66</v>
      </c>
      <c r="H66" s="51" t="e">
        <f t="shared" si="0"/>
        <v>#DIV/0!</v>
      </c>
    </row>
    <row r="67" spans="1:8" x14ac:dyDescent="0.25">
      <c r="A67">
        <v>66</v>
      </c>
      <c r="B67">
        <v>-3.3111734669208506</v>
      </c>
      <c r="C67">
        <v>54.34</v>
      </c>
      <c r="D67">
        <v>0.46</v>
      </c>
      <c r="H67" s="51" t="e">
        <f t="shared" ref="H67:H130" si="1">(G67-G66)/G66</f>
        <v>#DIV/0!</v>
      </c>
    </row>
    <row r="68" spans="1:8" x14ac:dyDescent="0.25">
      <c r="A68">
        <v>67</v>
      </c>
      <c r="B68">
        <v>-0.48489091002942414</v>
      </c>
      <c r="C68">
        <v>54.42</v>
      </c>
      <c r="D68">
        <v>0.6</v>
      </c>
      <c r="H68" s="51" t="e">
        <f t="shared" si="1"/>
        <v>#DIV/0!</v>
      </c>
    </row>
    <row r="69" spans="1:8" x14ac:dyDescent="0.25">
      <c r="A69">
        <v>68</v>
      </c>
      <c r="B69">
        <v>-1.2422715457677851</v>
      </c>
      <c r="C69">
        <v>52.8</v>
      </c>
      <c r="D69">
        <v>0.6</v>
      </c>
      <c r="H69" s="51" t="e">
        <f t="shared" si="1"/>
        <v>#DIV/0!</v>
      </c>
    </row>
    <row r="70" spans="1:8" x14ac:dyDescent="0.25">
      <c r="A70">
        <v>69</v>
      </c>
      <c r="B70">
        <v>0.78949371421337944</v>
      </c>
      <c r="C70">
        <v>54.6</v>
      </c>
      <c r="D70">
        <v>0.72</v>
      </c>
      <c r="H70" s="51" t="e">
        <f t="shared" si="1"/>
        <v>#DIV/0!</v>
      </c>
    </row>
    <row r="71" spans="1:8" x14ac:dyDescent="0.25">
      <c r="A71">
        <v>70</v>
      </c>
      <c r="B71">
        <v>-0.86417751002312782</v>
      </c>
      <c r="C71">
        <v>55.96</v>
      </c>
      <c r="D71">
        <v>0.6</v>
      </c>
      <c r="H71" s="51" t="e">
        <f t="shared" si="1"/>
        <v>#DIV/0!</v>
      </c>
    </row>
    <row r="72" spans="1:8" x14ac:dyDescent="0.25">
      <c r="A72">
        <v>71</v>
      </c>
      <c r="B72">
        <v>9.0464037775996611E-2</v>
      </c>
      <c r="C72">
        <v>55.28</v>
      </c>
      <c r="D72">
        <v>0.66</v>
      </c>
      <c r="H72" s="51" t="e">
        <f t="shared" si="1"/>
        <v>#DIV/0!</v>
      </c>
    </row>
    <row r="73" spans="1:8" x14ac:dyDescent="0.25">
      <c r="A73">
        <v>72</v>
      </c>
      <c r="B73">
        <v>2.2815598245859205</v>
      </c>
      <c r="C73">
        <v>57.74</v>
      </c>
      <c r="D73">
        <v>0.8</v>
      </c>
      <c r="H73" s="51" t="e">
        <f t="shared" si="1"/>
        <v>#DIV/0!</v>
      </c>
    </row>
    <row r="74" spans="1:8" x14ac:dyDescent="0.25">
      <c r="A74">
        <v>73</v>
      </c>
      <c r="B74">
        <v>0.89249649512768603</v>
      </c>
      <c r="C74">
        <v>53.58</v>
      </c>
      <c r="D74">
        <v>0.72</v>
      </c>
      <c r="H74" s="51" t="e">
        <f t="shared" si="1"/>
        <v>#DIV/0!</v>
      </c>
    </row>
    <row r="75" spans="1:8" x14ac:dyDescent="0.25">
      <c r="A75">
        <v>74</v>
      </c>
      <c r="B75">
        <v>0.55763345885277393</v>
      </c>
      <c r="C75">
        <v>56.4</v>
      </c>
      <c r="D75">
        <v>0.7</v>
      </c>
      <c r="H75" s="51" t="e">
        <f t="shared" si="1"/>
        <v>#DIV/0!</v>
      </c>
    </row>
    <row r="76" spans="1:8" x14ac:dyDescent="0.25">
      <c r="A76">
        <v>75</v>
      </c>
      <c r="B76">
        <v>-0.56552616083621654</v>
      </c>
      <c r="C76">
        <v>56.22</v>
      </c>
      <c r="D76">
        <v>0.6</v>
      </c>
      <c r="H76" s="51" t="e">
        <f t="shared" si="1"/>
        <v>#DIV/0!</v>
      </c>
    </row>
    <row r="77" spans="1:8" x14ac:dyDescent="0.25">
      <c r="A77">
        <v>76</v>
      </c>
      <c r="B77">
        <v>-1.3624474960565609</v>
      </c>
      <c r="C77">
        <v>57.24</v>
      </c>
      <c r="D77">
        <v>0.6</v>
      </c>
      <c r="H77" s="51" t="e">
        <f t="shared" si="1"/>
        <v>#DIV/0!</v>
      </c>
    </row>
    <row r="78" spans="1:8" x14ac:dyDescent="0.25">
      <c r="A78">
        <v>77</v>
      </c>
      <c r="B78">
        <v>1.4365997714996142</v>
      </c>
      <c r="C78">
        <v>55.32</v>
      </c>
      <c r="D78">
        <v>0.72</v>
      </c>
      <c r="H78" s="51" t="e">
        <f t="shared" si="1"/>
        <v>#DIV/0!</v>
      </c>
    </row>
    <row r="79" spans="1:8" x14ac:dyDescent="0.25">
      <c r="A79">
        <v>78</v>
      </c>
      <c r="B79">
        <v>0.80215666973590938</v>
      </c>
      <c r="C79">
        <v>56.24</v>
      </c>
      <c r="D79">
        <v>0.7</v>
      </c>
      <c r="H79" s="51" t="e">
        <f t="shared" si="1"/>
        <v>#DIV/0!</v>
      </c>
    </row>
    <row r="80" spans="1:8" x14ac:dyDescent="0.25">
      <c r="A80">
        <v>79</v>
      </c>
      <c r="B80">
        <v>0.1371258206367543</v>
      </c>
      <c r="C80">
        <v>57.16</v>
      </c>
      <c r="D80">
        <v>0.7</v>
      </c>
      <c r="H80" s="51" t="e">
        <f t="shared" si="1"/>
        <v>#DIV/0!</v>
      </c>
    </row>
    <row r="81" spans="1:8" x14ac:dyDescent="0.25">
      <c r="A81">
        <v>80</v>
      </c>
      <c r="B81">
        <v>2.5460901095867206</v>
      </c>
      <c r="C81">
        <v>56.16</v>
      </c>
      <c r="D81">
        <v>0.78</v>
      </c>
      <c r="H81" s="51" t="e">
        <f t="shared" si="1"/>
        <v>#DIV/0!</v>
      </c>
    </row>
    <row r="82" spans="1:8" x14ac:dyDescent="0.25">
      <c r="A82">
        <v>81</v>
      </c>
      <c r="B82">
        <v>2.2219892159700403</v>
      </c>
      <c r="C82">
        <v>58.18</v>
      </c>
      <c r="D82">
        <v>0.76</v>
      </c>
      <c r="H82" s="51" t="e">
        <f t="shared" si="1"/>
        <v>#DIV/0!</v>
      </c>
    </row>
    <row r="83" spans="1:8" x14ac:dyDescent="0.25">
      <c r="A83">
        <v>82</v>
      </c>
      <c r="B83">
        <v>2.3673331120014134</v>
      </c>
      <c r="C83">
        <v>58.38</v>
      </c>
      <c r="D83">
        <v>0.78</v>
      </c>
      <c r="H83" s="51" t="e">
        <f t="shared" si="1"/>
        <v>#DIV/0!</v>
      </c>
    </row>
    <row r="84" spans="1:8" x14ac:dyDescent="0.25">
      <c r="A84">
        <v>83</v>
      </c>
      <c r="B84">
        <v>2.9861768342256578</v>
      </c>
      <c r="C84">
        <v>56.44</v>
      </c>
      <c r="D84">
        <v>0.82</v>
      </c>
      <c r="H84" s="51" t="e">
        <f t="shared" si="1"/>
        <v>#DIV/0!</v>
      </c>
    </row>
    <row r="85" spans="1:8" x14ac:dyDescent="0.25">
      <c r="A85">
        <v>84</v>
      </c>
      <c r="B85">
        <v>0.97795546948910128</v>
      </c>
      <c r="C85">
        <v>57.42</v>
      </c>
      <c r="D85">
        <v>0.72</v>
      </c>
      <c r="H85" s="51" t="e">
        <f t="shared" si="1"/>
        <v>#DIV/0!</v>
      </c>
    </row>
    <row r="86" spans="1:8" x14ac:dyDescent="0.25">
      <c r="A86">
        <v>85</v>
      </c>
      <c r="B86">
        <v>1.4930485129356363</v>
      </c>
      <c r="C86">
        <v>57.84</v>
      </c>
      <c r="D86">
        <v>0.76</v>
      </c>
      <c r="H86" s="51" t="e">
        <f t="shared" si="1"/>
        <v>#DIV/0!</v>
      </c>
    </row>
    <row r="87" spans="1:8" x14ac:dyDescent="0.25">
      <c r="A87">
        <v>86</v>
      </c>
      <c r="B87">
        <v>3.3656622703075425</v>
      </c>
      <c r="C87">
        <v>58.44</v>
      </c>
      <c r="D87">
        <v>0.86</v>
      </c>
      <c r="H87" s="51" t="e">
        <f t="shared" si="1"/>
        <v>#DIV/0!</v>
      </c>
    </row>
    <row r="88" spans="1:8" x14ac:dyDescent="0.25">
      <c r="A88">
        <v>87</v>
      </c>
      <c r="B88">
        <v>3.1573844723701465</v>
      </c>
      <c r="C88">
        <v>56.98</v>
      </c>
      <c r="D88">
        <v>0.86</v>
      </c>
      <c r="H88" s="51" t="e">
        <f t="shared" si="1"/>
        <v>#DIV/0!</v>
      </c>
    </row>
    <row r="89" spans="1:8" x14ac:dyDescent="0.25">
      <c r="A89">
        <v>88</v>
      </c>
      <c r="B89">
        <v>3.2040901094675052</v>
      </c>
      <c r="C89">
        <v>57.84</v>
      </c>
      <c r="D89">
        <v>0.84</v>
      </c>
      <c r="H89" s="51" t="e">
        <f t="shared" si="1"/>
        <v>#DIV/0!</v>
      </c>
    </row>
    <row r="90" spans="1:8" x14ac:dyDescent="0.25">
      <c r="A90">
        <v>89</v>
      </c>
      <c r="B90">
        <v>3.1047858864069093</v>
      </c>
      <c r="C90">
        <v>58.28</v>
      </c>
      <c r="D90">
        <v>0.88</v>
      </c>
      <c r="H90" s="51" t="e">
        <f t="shared" si="1"/>
        <v>#DIV/0!</v>
      </c>
    </row>
    <row r="91" spans="1:8" x14ac:dyDescent="0.25">
      <c r="A91">
        <v>90</v>
      </c>
      <c r="B91">
        <v>4.5098116874694805</v>
      </c>
      <c r="C91">
        <v>57.96</v>
      </c>
      <c r="D91">
        <v>0.94</v>
      </c>
      <c r="H91" s="51" t="e">
        <f t="shared" si="1"/>
        <v>#DIV/0!</v>
      </c>
    </row>
    <row r="92" spans="1:8" x14ac:dyDescent="0.25">
      <c r="A92">
        <v>91</v>
      </c>
      <c r="B92">
        <v>2.9098587023019769</v>
      </c>
      <c r="C92">
        <v>56.26</v>
      </c>
      <c r="D92">
        <v>0.82</v>
      </c>
      <c r="H92" s="51" t="e">
        <f t="shared" si="1"/>
        <v>#DIV/0!</v>
      </c>
    </row>
    <row r="93" spans="1:8" x14ac:dyDescent="0.25">
      <c r="A93">
        <v>92</v>
      </c>
      <c r="B93">
        <v>4.3415258949994913</v>
      </c>
      <c r="C93">
        <v>57.56</v>
      </c>
      <c r="D93">
        <v>0.9</v>
      </c>
      <c r="H93" s="51" t="e">
        <f t="shared" si="1"/>
        <v>#DIV/0!</v>
      </c>
    </row>
    <row r="94" spans="1:8" x14ac:dyDescent="0.25">
      <c r="A94">
        <v>93</v>
      </c>
      <c r="B94">
        <v>3.221728698611257</v>
      </c>
      <c r="C94">
        <v>56.66</v>
      </c>
      <c r="D94">
        <v>0.86</v>
      </c>
      <c r="H94" s="51" t="e">
        <f t="shared" si="1"/>
        <v>#DIV/0!</v>
      </c>
    </row>
    <row r="95" spans="1:8" x14ac:dyDescent="0.25">
      <c r="A95">
        <v>94</v>
      </c>
      <c r="B95">
        <v>4.0653055576086237</v>
      </c>
      <c r="C95">
        <v>57.56</v>
      </c>
      <c r="D95">
        <v>0.88</v>
      </c>
      <c r="H95" s="51" t="e">
        <f t="shared" si="1"/>
        <v>#DIV/0!</v>
      </c>
    </row>
    <row r="96" spans="1:8" x14ac:dyDescent="0.25">
      <c r="A96">
        <v>95</v>
      </c>
      <c r="B96">
        <v>3.1328183947801636</v>
      </c>
      <c r="C96">
        <v>57.44</v>
      </c>
      <c r="D96">
        <v>0.86</v>
      </c>
      <c r="H96" s="51" t="e">
        <f t="shared" si="1"/>
        <v>#DIV/0!</v>
      </c>
    </row>
    <row r="97" spans="1:8" x14ac:dyDescent="0.25">
      <c r="A97">
        <v>96</v>
      </c>
      <c r="B97">
        <v>4.4250968495607275</v>
      </c>
      <c r="C97">
        <v>58.8</v>
      </c>
      <c r="D97">
        <v>0.9</v>
      </c>
      <c r="H97" s="51" t="e">
        <f t="shared" si="1"/>
        <v>#DIV/0!</v>
      </c>
    </row>
    <row r="98" spans="1:8" x14ac:dyDescent="0.25">
      <c r="A98">
        <v>97</v>
      </c>
      <c r="B98">
        <v>4.4557783430814819</v>
      </c>
      <c r="C98">
        <v>57.5</v>
      </c>
      <c r="D98">
        <v>0.94</v>
      </c>
      <c r="H98" s="51" t="e">
        <f t="shared" si="1"/>
        <v>#DIV/0!</v>
      </c>
    </row>
    <row r="99" spans="1:8" x14ac:dyDescent="0.25">
      <c r="A99">
        <v>98</v>
      </c>
      <c r="B99">
        <v>3.6248031394481672</v>
      </c>
      <c r="C99">
        <v>57.94</v>
      </c>
      <c r="D99">
        <v>0.88</v>
      </c>
      <c r="H99" s="51" t="e">
        <f t="shared" si="1"/>
        <v>#DIV/0!</v>
      </c>
    </row>
    <row r="100" spans="1:8" x14ac:dyDescent="0.25">
      <c r="A100">
        <v>99</v>
      </c>
      <c r="B100">
        <v>4.4805485982894782</v>
      </c>
      <c r="C100">
        <v>56.86</v>
      </c>
      <c r="D100">
        <v>0.92</v>
      </c>
      <c r="H100" s="51" t="e">
        <f t="shared" si="1"/>
        <v>#DIV/0!</v>
      </c>
    </row>
    <row r="101" spans="1:8" x14ac:dyDescent="0.25">
      <c r="A101">
        <v>100</v>
      </c>
      <c r="B101">
        <v>3.716137512803066</v>
      </c>
      <c r="C101">
        <v>56.88</v>
      </c>
      <c r="D101">
        <v>0.92</v>
      </c>
      <c r="H101" s="51" t="e">
        <f t="shared" si="1"/>
        <v>#DIV/0!</v>
      </c>
    </row>
    <row r="102" spans="1:8" x14ac:dyDescent="0.25">
      <c r="A102">
        <v>101</v>
      </c>
      <c r="B102">
        <v>3.6387366638183614</v>
      </c>
      <c r="C102">
        <v>57.56</v>
      </c>
      <c r="D102">
        <v>0.9</v>
      </c>
      <c r="H102" s="51" t="e">
        <f t="shared" si="1"/>
        <v>#DIV/0!</v>
      </c>
    </row>
    <row r="103" spans="1:8" x14ac:dyDescent="0.25">
      <c r="A103">
        <v>102</v>
      </c>
      <c r="B103">
        <v>2.0954478194713544</v>
      </c>
      <c r="C103">
        <v>59.08</v>
      </c>
      <c r="D103">
        <v>0.82</v>
      </c>
      <c r="H103" s="51" t="e">
        <f t="shared" si="1"/>
        <v>#DIV/0!</v>
      </c>
    </row>
    <row r="104" spans="1:8" x14ac:dyDescent="0.25">
      <c r="A104">
        <v>103</v>
      </c>
      <c r="B104">
        <v>4.4053174310922705</v>
      </c>
      <c r="C104">
        <v>56.48</v>
      </c>
      <c r="D104">
        <v>0.9</v>
      </c>
      <c r="H104" s="51" t="e">
        <f t="shared" si="1"/>
        <v>#DIV/0!</v>
      </c>
    </row>
    <row r="105" spans="1:8" x14ac:dyDescent="0.25">
      <c r="A105">
        <v>104</v>
      </c>
      <c r="B105">
        <v>3.8286909850835786</v>
      </c>
      <c r="C105">
        <v>58.08</v>
      </c>
      <c r="D105">
        <v>0.88</v>
      </c>
      <c r="H105" s="51" t="e">
        <f t="shared" si="1"/>
        <v>#DIV/0!</v>
      </c>
    </row>
    <row r="106" spans="1:8" x14ac:dyDescent="0.25">
      <c r="A106">
        <v>105</v>
      </c>
      <c r="B106">
        <v>4.823693702220921</v>
      </c>
      <c r="C106">
        <v>56.4</v>
      </c>
      <c r="D106">
        <v>0.92</v>
      </c>
      <c r="H106" s="51" t="e">
        <f t="shared" si="1"/>
        <v>#DIV/0!</v>
      </c>
    </row>
    <row r="107" spans="1:8" x14ac:dyDescent="0.25">
      <c r="A107">
        <v>106</v>
      </c>
      <c r="B107">
        <v>3.7154294291734864</v>
      </c>
      <c r="C107">
        <v>58.46</v>
      </c>
      <c r="D107">
        <v>0.9</v>
      </c>
      <c r="H107" s="51" t="e">
        <f t="shared" si="1"/>
        <v>#DIV/0!</v>
      </c>
    </row>
    <row r="108" spans="1:8" x14ac:dyDescent="0.25">
      <c r="A108">
        <v>107</v>
      </c>
      <c r="B108">
        <v>3.732146315693853</v>
      </c>
      <c r="C108">
        <v>58.48</v>
      </c>
      <c r="D108">
        <v>0.9</v>
      </c>
      <c r="H108" s="51" t="e">
        <f t="shared" si="1"/>
        <v>#DIV/0!</v>
      </c>
    </row>
    <row r="109" spans="1:8" x14ac:dyDescent="0.25">
      <c r="A109">
        <v>108</v>
      </c>
      <c r="B109">
        <v>4.150951037049281</v>
      </c>
      <c r="C109">
        <v>56.32</v>
      </c>
      <c r="D109">
        <v>0.9</v>
      </c>
      <c r="H109" s="51" t="e">
        <f t="shared" si="1"/>
        <v>#DIV/0!</v>
      </c>
    </row>
    <row r="110" spans="1:8" x14ac:dyDescent="0.25">
      <c r="A110">
        <v>109</v>
      </c>
      <c r="B110">
        <v>4.1887515786886427</v>
      </c>
      <c r="C110">
        <v>59.56</v>
      </c>
      <c r="D110">
        <v>0.94</v>
      </c>
      <c r="H110" s="51" t="e">
        <f t="shared" si="1"/>
        <v>#DIV/0!</v>
      </c>
    </row>
    <row r="111" spans="1:8" x14ac:dyDescent="0.25">
      <c r="A111">
        <v>110</v>
      </c>
      <c r="B111">
        <v>4.0288197968006187</v>
      </c>
      <c r="C111">
        <v>56.18</v>
      </c>
      <c r="D111">
        <v>0.9</v>
      </c>
      <c r="H111" s="51" t="e">
        <f t="shared" si="1"/>
        <v>#DIV/0!</v>
      </c>
    </row>
    <row r="112" spans="1:8" x14ac:dyDescent="0.25">
      <c r="A112">
        <v>111</v>
      </c>
      <c r="B112">
        <v>4.5737262437343356</v>
      </c>
      <c r="C112">
        <v>58.58</v>
      </c>
      <c r="D112">
        <v>0.96</v>
      </c>
      <c r="H112" s="51" t="e">
        <f t="shared" si="1"/>
        <v>#DIV/0!</v>
      </c>
    </row>
    <row r="113" spans="1:8" x14ac:dyDescent="0.25">
      <c r="A113">
        <v>112</v>
      </c>
      <c r="B113">
        <v>3.9658625226020776</v>
      </c>
      <c r="C113">
        <v>57.26</v>
      </c>
      <c r="D113">
        <v>0.88</v>
      </c>
      <c r="H113" s="51" t="e">
        <f t="shared" si="1"/>
        <v>#DIV/0!</v>
      </c>
    </row>
    <row r="114" spans="1:8" x14ac:dyDescent="0.25">
      <c r="A114">
        <v>113</v>
      </c>
      <c r="B114">
        <v>4.5752890038490301</v>
      </c>
      <c r="C114">
        <v>59.66</v>
      </c>
      <c r="D114">
        <v>0.94</v>
      </c>
      <c r="H114" s="51" t="e">
        <f t="shared" si="1"/>
        <v>#DIV/0!</v>
      </c>
    </row>
    <row r="115" spans="1:8" x14ac:dyDescent="0.25">
      <c r="A115">
        <v>114</v>
      </c>
      <c r="B115">
        <v>4.0331039822101671</v>
      </c>
      <c r="C115">
        <v>58.32</v>
      </c>
      <c r="D115">
        <v>0.88</v>
      </c>
      <c r="H115" s="51" t="e">
        <f t="shared" si="1"/>
        <v>#DIV/0!</v>
      </c>
    </row>
    <row r="116" spans="1:8" x14ac:dyDescent="0.25">
      <c r="A116">
        <v>115</v>
      </c>
      <c r="B116">
        <v>5.176521173834808</v>
      </c>
      <c r="C116">
        <v>58.44</v>
      </c>
      <c r="D116">
        <v>0.94</v>
      </c>
      <c r="H116" s="51" t="e">
        <f t="shared" si="1"/>
        <v>#DIV/0!</v>
      </c>
    </row>
    <row r="117" spans="1:8" x14ac:dyDescent="0.25">
      <c r="A117">
        <v>116</v>
      </c>
      <c r="B117">
        <v>5.5710882264375581</v>
      </c>
      <c r="C117">
        <v>56.96</v>
      </c>
      <c r="D117">
        <v>0.98</v>
      </c>
      <c r="H117" s="51" t="e">
        <f t="shared" si="1"/>
        <v>#DIV/0!</v>
      </c>
    </row>
    <row r="118" spans="1:8" x14ac:dyDescent="0.25">
      <c r="A118">
        <v>117</v>
      </c>
      <c r="B118">
        <v>3.7221824636459373</v>
      </c>
      <c r="C118">
        <v>57.4</v>
      </c>
      <c r="D118">
        <v>0.9</v>
      </c>
      <c r="H118" s="51" t="e">
        <f t="shared" si="1"/>
        <v>#DIV/0!</v>
      </c>
    </row>
    <row r="119" spans="1:8" x14ac:dyDescent="0.25">
      <c r="A119">
        <v>118</v>
      </c>
      <c r="B119">
        <v>4.1250687946081301</v>
      </c>
      <c r="C119">
        <v>58.18</v>
      </c>
      <c r="D119">
        <v>0.9</v>
      </c>
      <c r="H119" s="51" t="e">
        <f t="shared" si="1"/>
        <v>#DIV/0!</v>
      </c>
    </row>
    <row r="120" spans="1:8" x14ac:dyDescent="0.25">
      <c r="A120">
        <v>119</v>
      </c>
      <c r="B120">
        <v>5.7573014144897448</v>
      </c>
      <c r="C120">
        <v>57.06</v>
      </c>
      <c r="D120">
        <v>0.98</v>
      </c>
      <c r="H120" s="51" t="e">
        <f t="shared" si="1"/>
        <v>#DIV/0!</v>
      </c>
    </row>
    <row r="121" spans="1:8" x14ac:dyDescent="0.25">
      <c r="A121">
        <v>120</v>
      </c>
      <c r="B121">
        <v>5.1167025004625302</v>
      </c>
      <c r="C121">
        <v>58.82</v>
      </c>
      <c r="D121">
        <v>0.98</v>
      </c>
      <c r="H121" s="51" t="e">
        <f t="shared" si="1"/>
        <v>#DIV/0!</v>
      </c>
    </row>
    <row r="122" spans="1:8" x14ac:dyDescent="0.25">
      <c r="A122">
        <v>121</v>
      </c>
      <c r="B122">
        <v>4.6337473948001922</v>
      </c>
      <c r="C122">
        <v>56.22</v>
      </c>
      <c r="D122">
        <v>0.94</v>
      </c>
      <c r="H122" s="51" t="e">
        <f t="shared" si="1"/>
        <v>#DIV/0!</v>
      </c>
    </row>
    <row r="123" spans="1:8" x14ac:dyDescent="0.25">
      <c r="A123">
        <v>122</v>
      </c>
      <c r="B123">
        <v>4.1642280344963183</v>
      </c>
      <c r="C123">
        <v>59.12</v>
      </c>
      <c r="D123">
        <v>0.94</v>
      </c>
      <c r="H123" s="51" t="e">
        <f t="shared" si="1"/>
        <v>#DIV/0!</v>
      </c>
    </row>
    <row r="124" spans="1:8" x14ac:dyDescent="0.25">
      <c r="A124">
        <v>123</v>
      </c>
      <c r="B124">
        <v>4.5954856474399568</v>
      </c>
      <c r="C124">
        <v>58.08</v>
      </c>
      <c r="D124">
        <v>0.94</v>
      </c>
      <c r="H124" s="51" t="e">
        <f t="shared" si="1"/>
        <v>#DIV/0!</v>
      </c>
    </row>
    <row r="125" spans="1:8" x14ac:dyDescent="0.25">
      <c r="A125">
        <v>124</v>
      </c>
      <c r="B125">
        <v>4.9706315021514964</v>
      </c>
      <c r="C125">
        <v>60</v>
      </c>
      <c r="D125">
        <v>1</v>
      </c>
      <c r="H125" s="51" t="e">
        <f t="shared" si="1"/>
        <v>#DIV/0!</v>
      </c>
    </row>
    <row r="126" spans="1:8" x14ac:dyDescent="0.25">
      <c r="A126">
        <v>125</v>
      </c>
      <c r="B126">
        <v>4.6325855040550259</v>
      </c>
      <c r="C126">
        <v>55.56</v>
      </c>
      <c r="D126">
        <v>0.96</v>
      </c>
      <c r="H126" s="51" t="e">
        <f t="shared" si="1"/>
        <v>#DIV/0!</v>
      </c>
    </row>
    <row r="127" spans="1:8" x14ac:dyDescent="0.25">
      <c r="A127">
        <v>126</v>
      </c>
      <c r="B127">
        <v>4.3154147725105476</v>
      </c>
      <c r="C127">
        <v>59.26</v>
      </c>
      <c r="D127">
        <v>0.94</v>
      </c>
      <c r="H127" s="51" t="e">
        <f t="shared" si="1"/>
        <v>#DIV/0!</v>
      </c>
    </row>
    <row r="128" spans="1:8" x14ac:dyDescent="0.25">
      <c r="A128">
        <v>127</v>
      </c>
      <c r="B128">
        <v>4.4855844970941696</v>
      </c>
      <c r="C128">
        <v>57.96</v>
      </c>
      <c r="D128">
        <v>0.94</v>
      </c>
      <c r="H128" s="51" t="e">
        <f t="shared" si="1"/>
        <v>#DIV/0!</v>
      </c>
    </row>
    <row r="129" spans="1:8" x14ac:dyDescent="0.25">
      <c r="A129">
        <v>128</v>
      </c>
      <c r="B129">
        <v>3.8714463881254169</v>
      </c>
      <c r="C129">
        <v>58.04</v>
      </c>
      <c r="D129">
        <v>0.92</v>
      </c>
      <c r="H129" s="51" t="e">
        <f t="shared" si="1"/>
        <v>#DIV/0!</v>
      </c>
    </row>
    <row r="130" spans="1:8" x14ac:dyDescent="0.25">
      <c r="A130">
        <v>129</v>
      </c>
      <c r="B130">
        <v>5.4908922693729405</v>
      </c>
      <c r="C130">
        <v>58.18</v>
      </c>
      <c r="D130">
        <v>1</v>
      </c>
      <c r="H130" s="51" t="e">
        <f t="shared" si="1"/>
        <v>#DIV/0!</v>
      </c>
    </row>
    <row r="131" spans="1:8" x14ac:dyDescent="0.25">
      <c r="A131">
        <v>130</v>
      </c>
      <c r="B131">
        <v>5.5490994056463148</v>
      </c>
      <c r="C131">
        <v>58.7</v>
      </c>
      <c r="D131">
        <v>0.98</v>
      </c>
      <c r="H131" s="51" t="e">
        <f t="shared" ref="H131:H194" si="2">(G131-G130)/G130</f>
        <v>#DIV/0!</v>
      </c>
    </row>
    <row r="132" spans="1:8" x14ac:dyDescent="0.25">
      <c r="A132">
        <v>131</v>
      </c>
      <c r="B132">
        <v>4.0108017524480859</v>
      </c>
      <c r="C132">
        <v>58.22</v>
      </c>
      <c r="D132">
        <v>0.94</v>
      </c>
      <c r="H132" s="51" t="e">
        <f t="shared" si="2"/>
        <v>#DIV/0!</v>
      </c>
    </row>
    <row r="133" spans="1:8" x14ac:dyDescent="0.25">
      <c r="A133">
        <v>132</v>
      </c>
      <c r="B133">
        <v>4.9501352875232678</v>
      </c>
      <c r="C133">
        <v>59.08</v>
      </c>
      <c r="D133">
        <v>0.98</v>
      </c>
      <c r="H133" s="51" t="e">
        <f t="shared" si="2"/>
        <v>#DIV/0!</v>
      </c>
    </row>
    <row r="134" spans="1:8" x14ac:dyDescent="0.25">
      <c r="A134">
        <v>133</v>
      </c>
      <c r="B134">
        <v>4.8593337421417271</v>
      </c>
      <c r="C134">
        <v>58.26</v>
      </c>
      <c r="D134">
        <v>0.96</v>
      </c>
      <c r="H134" s="51" t="e">
        <f t="shared" si="2"/>
        <v>#DIV/0!</v>
      </c>
    </row>
    <row r="135" spans="1:8" x14ac:dyDescent="0.25">
      <c r="A135">
        <v>134</v>
      </c>
      <c r="B135">
        <v>4.6752051405906858</v>
      </c>
      <c r="C135">
        <v>59.7</v>
      </c>
      <c r="D135">
        <v>0.96</v>
      </c>
      <c r="H135" s="51" t="e">
        <f t="shared" si="2"/>
        <v>#DIV/0!</v>
      </c>
    </row>
    <row r="136" spans="1:8" x14ac:dyDescent="0.25">
      <c r="A136">
        <v>135</v>
      </c>
      <c r="B136">
        <v>5.3459240270853137</v>
      </c>
      <c r="C136">
        <v>58.76</v>
      </c>
      <c r="D136">
        <v>1</v>
      </c>
      <c r="H136" s="51" t="e">
        <f t="shared" si="2"/>
        <v>#DIV/0!</v>
      </c>
    </row>
    <row r="137" spans="1:8" x14ac:dyDescent="0.25">
      <c r="A137">
        <v>136</v>
      </c>
      <c r="B137">
        <v>5.4830455811023766</v>
      </c>
      <c r="C137">
        <v>57.6</v>
      </c>
      <c r="D137">
        <v>1</v>
      </c>
      <c r="H137" s="51" t="e">
        <f t="shared" si="2"/>
        <v>#DIV/0!</v>
      </c>
    </row>
    <row r="138" spans="1:8" x14ac:dyDescent="0.25">
      <c r="H138" s="51" t="e">
        <f t="shared" si="2"/>
        <v>#DIV/0!</v>
      </c>
    </row>
    <row r="139" spans="1:8" x14ac:dyDescent="0.25">
      <c r="H139" s="51" t="e">
        <f t="shared" si="2"/>
        <v>#DIV/0!</v>
      </c>
    </row>
    <row r="140" spans="1:8" x14ac:dyDescent="0.25">
      <c r="H140" s="51" t="e">
        <f t="shared" si="2"/>
        <v>#DIV/0!</v>
      </c>
    </row>
    <row r="141" spans="1:8" x14ac:dyDescent="0.25">
      <c r="H141" s="51" t="e">
        <f t="shared" si="2"/>
        <v>#DIV/0!</v>
      </c>
    </row>
    <row r="142" spans="1:8" x14ac:dyDescent="0.25">
      <c r="H142" s="51" t="e">
        <f t="shared" si="2"/>
        <v>#DIV/0!</v>
      </c>
    </row>
    <row r="143" spans="1:8" x14ac:dyDescent="0.25">
      <c r="H143" s="51" t="e">
        <f t="shared" si="2"/>
        <v>#DIV/0!</v>
      </c>
    </row>
    <row r="144" spans="1:8" x14ac:dyDescent="0.25">
      <c r="H144" s="51" t="e">
        <f t="shared" si="2"/>
        <v>#DIV/0!</v>
      </c>
    </row>
    <row r="145" spans="8:8" x14ac:dyDescent="0.25">
      <c r="H145" s="51" t="e">
        <f t="shared" si="2"/>
        <v>#DIV/0!</v>
      </c>
    </row>
    <row r="146" spans="8:8" x14ac:dyDescent="0.25">
      <c r="H146" s="51" t="e">
        <f t="shared" si="2"/>
        <v>#DIV/0!</v>
      </c>
    </row>
    <row r="147" spans="8:8" x14ac:dyDescent="0.25">
      <c r="H147" s="51" t="e">
        <f t="shared" si="2"/>
        <v>#DIV/0!</v>
      </c>
    </row>
    <row r="148" spans="8:8" x14ac:dyDescent="0.25">
      <c r="H148" s="51" t="e">
        <f t="shared" si="2"/>
        <v>#DIV/0!</v>
      </c>
    </row>
    <row r="149" spans="8:8" x14ac:dyDescent="0.25">
      <c r="H149" s="51" t="e">
        <f t="shared" si="2"/>
        <v>#DIV/0!</v>
      </c>
    </row>
    <row r="150" spans="8:8" x14ac:dyDescent="0.25">
      <c r="H150" s="51" t="e">
        <f t="shared" si="2"/>
        <v>#DIV/0!</v>
      </c>
    </row>
    <row r="151" spans="8:8" x14ac:dyDescent="0.25">
      <c r="H151" s="51" t="e">
        <f t="shared" si="2"/>
        <v>#DIV/0!</v>
      </c>
    </row>
    <row r="152" spans="8:8" x14ac:dyDescent="0.25">
      <c r="H152" s="51" t="e">
        <f t="shared" si="2"/>
        <v>#DIV/0!</v>
      </c>
    </row>
    <row r="153" spans="8:8" x14ac:dyDescent="0.25">
      <c r="H153" s="51" t="e">
        <f t="shared" si="2"/>
        <v>#DIV/0!</v>
      </c>
    </row>
    <row r="154" spans="8:8" x14ac:dyDescent="0.25">
      <c r="H154" s="51" t="e">
        <f t="shared" si="2"/>
        <v>#DIV/0!</v>
      </c>
    </row>
    <row r="155" spans="8:8" x14ac:dyDescent="0.25">
      <c r="H155" s="51" t="e">
        <f t="shared" si="2"/>
        <v>#DIV/0!</v>
      </c>
    </row>
    <row r="156" spans="8:8" x14ac:dyDescent="0.25">
      <c r="H156" s="51" t="e">
        <f t="shared" si="2"/>
        <v>#DIV/0!</v>
      </c>
    </row>
    <row r="157" spans="8:8" x14ac:dyDescent="0.25">
      <c r="H157" s="51" t="e">
        <f t="shared" si="2"/>
        <v>#DIV/0!</v>
      </c>
    </row>
    <row r="158" spans="8:8" x14ac:dyDescent="0.25">
      <c r="H158" s="51" t="e">
        <f t="shared" si="2"/>
        <v>#DIV/0!</v>
      </c>
    </row>
    <row r="159" spans="8:8" x14ac:dyDescent="0.25">
      <c r="H159" s="51" t="e">
        <f t="shared" si="2"/>
        <v>#DIV/0!</v>
      </c>
    </row>
    <row r="160" spans="8:8" x14ac:dyDescent="0.25">
      <c r="H160" s="51" t="e">
        <f t="shared" si="2"/>
        <v>#DIV/0!</v>
      </c>
    </row>
    <row r="161" spans="8:8" x14ac:dyDescent="0.25">
      <c r="H161" s="51" t="e">
        <f t="shared" si="2"/>
        <v>#DIV/0!</v>
      </c>
    </row>
    <row r="162" spans="8:8" x14ac:dyDescent="0.25">
      <c r="H162" s="51" t="e">
        <f t="shared" si="2"/>
        <v>#DIV/0!</v>
      </c>
    </row>
    <row r="163" spans="8:8" x14ac:dyDescent="0.25">
      <c r="H163" s="51" t="e">
        <f t="shared" si="2"/>
        <v>#DIV/0!</v>
      </c>
    </row>
    <row r="164" spans="8:8" x14ac:dyDescent="0.25">
      <c r="H164" s="51" t="e">
        <f t="shared" si="2"/>
        <v>#DIV/0!</v>
      </c>
    </row>
    <row r="165" spans="8:8" x14ac:dyDescent="0.25">
      <c r="H165" s="51" t="e">
        <f t="shared" si="2"/>
        <v>#DIV/0!</v>
      </c>
    </row>
    <row r="166" spans="8:8" x14ac:dyDescent="0.25">
      <c r="H166" s="51" t="e">
        <f t="shared" si="2"/>
        <v>#DIV/0!</v>
      </c>
    </row>
    <row r="167" spans="8:8" x14ac:dyDescent="0.25">
      <c r="H167" s="51" t="e">
        <f t="shared" si="2"/>
        <v>#DIV/0!</v>
      </c>
    </row>
    <row r="168" spans="8:8" x14ac:dyDescent="0.25">
      <c r="H168" s="51" t="e">
        <f t="shared" si="2"/>
        <v>#DIV/0!</v>
      </c>
    </row>
    <row r="169" spans="8:8" x14ac:dyDescent="0.25">
      <c r="H169" s="51" t="e">
        <f t="shared" si="2"/>
        <v>#DIV/0!</v>
      </c>
    </row>
    <row r="170" spans="8:8" x14ac:dyDescent="0.25">
      <c r="H170" s="51" t="e">
        <f t="shared" si="2"/>
        <v>#DIV/0!</v>
      </c>
    </row>
    <row r="171" spans="8:8" x14ac:dyDescent="0.25">
      <c r="H171" s="51" t="e">
        <f t="shared" si="2"/>
        <v>#DIV/0!</v>
      </c>
    </row>
    <row r="172" spans="8:8" x14ac:dyDescent="0.25">
      <c r="H172" s="51" t="e">
        <f t="shared" si="2"/>
        <v>#DIV/0!</v>
      </c>
    </row>
    <row r="173" spans="8:8" x14ac:dyDescent="0.25">
      <c r="H173" s="51" t="e">
        <f t="shared" si="2"/>
        <v>#DIV/0!</v>
      </c>
    </row>
    <row r="174" spans="8:8" x14ac:dyDescent="0.25">
      <c r="H174" s="51" t="e">
        <f t="shared" si="2"/>
        <v>#DIV/0!</v>
      </c>
    </row>
    <row r="175" spans="8:8" x14ac:dyDescent="0.25">
      <c r="H175" s="51" t="e">
        <f t="shared" si="2"/>
        <v>#DIV/0!</v>
      </c>
    </row>
    <row r="176" spans="8:8" x14ac:dyDescent="0.25">
      <c r="H176" s="51" t="e">
        <f t="shared" si="2"/>
        <v>#DIV/0!</v>
      </c>
    </row>
    <row r="177" spans="8:8" x14ac:dyDescent="0.25">
      <c r="H177" s="51" t="e">
        <f t="shared" si="2"/>
        <v>#DIV/0!</v>
      </c>
    </row>
    <row r="178" spans="8:8" x14ac:dyDescent="0.25">
      <c r="H178" s="51" t="e">
        <f t="shared" si="2"/>
        <v>#DIV/0!</v>
      </c>
    </row>
    <row r="179" spans="8:8" x14ac:dyDescent="0.25">
      <c r="H179" s="51" t="e">
        <f t="shared" si="2"/>
        <v>#DIV/0!</v>
      </c>
    </row>
    <row r="180" spans="8:8" x14ac:dyDescent="0.25">
      <c r="H180" s="51" t="e">
        <f t="shared" si="2"/>
        <v>#DIV/0!</v>
      </c>
    </row>
    <row r="181" spans="8:8" x14ac:dyDescent="0.25">
      <c r="H181" s="51" t="e">
        <f t="shared" si="2"/>
        <v>#DIV/0!</v>
      </c>
    </row>
    <row r="182" spans="8:8" x14ac:dyDescent="0.25">
      <c r="H182" s="51" t="e">
        <f t="shared" si="2"/>
        <v>#DIV/0!</v>
      </c>
    </row>
    <row r="183" spans="8:8" x14ac:dyDescent="0.25">
      <c r="H183" s="51" t="e">
        <f t="shared" si="2"/>
        <v>#DIV/0!</v>
      </c>
    </row>
    <row r="184" spans="8:8" x14ac:dyDescent="0.25">
      <c r="H184" s="51" t="e">
        <f t="shared" si="2"/>
        <v>#DIV/0!</v>
      </c>
    </row>
    <row r="185" spans="8:8" x14ac:dyDescent="0.25">
      <c r="H185" s="51" t="e">
        <f t="shared" si="2"/>
        <v>#DIV/0!</v>
      </c>
    </row>
    <row r="186" spans="8:8" x14ac:dyDescent="0.25">
      <c r="H186" s="51" t="e">
        <f t="shared" si="2"/>
        <v>#DIV/0!</v>
      </c>
    </row>
    <row r="187" spans="8:8" x14ac:dyDescent="0.25">
      <c r="H187" s="51" t="e">
        <f t="shared" si="2"/>
        <v>#DIV/0!</v>
      </c>
    </row>
    <row r="188" spans="8:8" x14ac:dyDescent="0.25">
      <c r="H188" s="51" t="e">
        <f t="shared" si="2"/>
        <v>#DIV/0!</v>
      </c>
    </row>
    <row r="189" spans="8:8" x14ac:dyDescent="0.25">
      <c r="H189" s="51" t="e">
        <f t="shared" si="2"/>
        <v>#DIV/0!</v>
      </c>
    </row>
    <row r="190" spans="8:8" x14ac:dyDescent="0.25">
      <c r="H190" s="51" t="e">
        <f t="shared" si="2"/>
        <v>#DIV/0!</v>
      </c>
    </row>
    <row r="191" spans="8:8" x14ac:dyDescent="0.25">
      <c r="H191" s="51" t="e">
        <f t="shared" si="2"/>
        <v>#DIV/0!</v>
      </c>
    </row>
    <row r="192" spans="8:8" x14ac:dyDescent="0.25">
      <c r="H192" s="51" t="e">
        <f t="shared" si="2"/>
        <v>#DIV/0!</v>
      </c>
    </row>
    <row r="193" spans="8:8" x14ac:dyDescent="0.25">
      <c r="H193" s="51" t="e">
        <f t="shared" si="2"/>
        <v>#DIV/0!</v>
      </c>
    </row>
    <row r="194" spans="8:8" x14ac:dyDescent="0.25">
      <c r="H194" s="51" t="e">
        <f t="shared" si="2"/>
        <v>#DIV/0!</v>
      </c>
    </row>
    <row r="195" spans="8:8" x14ac:dyDescent="0.25">
      <c r="H195" s="51" t="e">
        <f t="shared" ref="H195:H258" si="3">(G195-G194)/G194</f>
        <v>#DIV/0!</v>
      </c>
    </row>
    <row r="196" spans="8:8" x14ac:dyDescent="0.25">
      <c r="H196" s="51" t="e">
        <f t="shared" si="3"/>
        <v>#DIV/0!</v>
      </c>
    </row>
    <row r="197" spans="8:8" x14ac:dyDescent="0.25">
      <c r="H197" s="51" t="e">
        <f t="shared" si="3"/>
        <v>#DIV/0!</v>
      </c>
    </row>
    <row r="198" spans="8:8" x14ac:dyDescent="0.25">
      <c r="H198" s="51" t="e">
        <f t="shared" si="3"/>
        <v>#DIV/0!</v>
      </c>
    </row>
    <row r="199" spans="8:8" x14ac:dyDescent="0.25">
      <c r="H199" s="51" t="e">
        <f t="shared" si="3"/>
        <v>#DIV/0!</v>
      </c>
    </row>
    <row r="200" spans="8:8" x14ac:dyDescent="0.25">
      <c r="H200" s="51" t="e">
        <f t="shared" si="3"/>
        <v>#DIV/0!</v>
      </c>
    </row>
    <row r="201" spans="8:8" x14ac:dyDescent="0.25">
      <c r="H201" s="51" t="e">
        <f t="shared" si="3"/>
        <v>#DIV/0!</v>
      </c>
    </row>
    <row r="202" spans="8:8" x14ac:dyDescent="0.25">
      <c r="H202" s="51" t="e">
        <f t="shared" si="3"/>
        <v>#DIV/0!</v>
      </c>
    </row>
    <row r="203" spans="8:8" x14ac:dyDescent="0.25">
      <c r="H203" s="51" t="e">
        <f t="shared" si="3"/>
        <v>#DIV/0!</v>
      </c>
    </row>
    <row r="204" spans="8:8" x14ac:dyDescent="0.25">
      <c r="H204" s="51" t="e">
        <f t="shared" si="3"/>
        <v>#DIV/0!</v>
      </c>
    </row>
    <row r="205" spans="8:8" x14ac:dyDescent="0.25">
      <c r="H205" s="51" t="e">
        <f t="shared" si="3"/>
        <v>#DIV/0!</v>
      </c>
    </row>
    <row r="206" spans="8:8" x14ac:dyDescent="0.25">
      <c r="H206" s="51" t="e">
        <f t="shared" si="3"/>
        <v>#DIV/0!</v>
      </c>
    </row>
    <row r="207" spans="8:8" x14ac:dyDescent="0.25">
      <c r="H207" s="51" t="e">
        <f t="shared" si="3"/>
        <v>#DIV/0!</v>
      </c>
    </row>
    <row r="208" spans="8:8" x14ac:dyDescent="0.25">
      <c r="H208" s="51" t="e">
        <f t="shared" si="3"/>
        <v>#DIV/0!</v>
      </c>
    </row>
    <row r="209" spans="8:8" x14ac:dyDescent="0.25">
      <c r="H209" s="51" t="e">
        <f t="shared" si="3"/>
        <v>#DIV/0!</v>
      </c>
    </row>
    <row r="210" spans="8:8" x14ac:dyDescent="0.25">
      <c r="H210" s="51" t="e">
        <f t="shared" si="3"/>
        <v>#DIV/0!</v>
      </c>
    </row>
    <row r="211" spans="8:8" x14ac:dyDescent="0.25">
      <c r="H211" s="51" t="e">
        <f t="shared" si="3"/>
        <v>#DIV/0!</v>
      </c>
    </row>
    <row r="212" spans="8:8" x14ac:dyDescent="0.25">
      <c r="H212" s="51" t="e">
        <f t="shared" si="3"/>
        <v>#DIV/0!</v>
      </c>
    </row>
    <row r="213" spans="8:8" x14ac:dyDescent="0.25">
      <c r="H213" s="51" t="e">
        <f t="shared" si="3"/>
        <v>#DIV/0!</v>
      </c>
    </row>
    <row r="214" spans="8:8" x14ac:dyDescent="0.25">
      <c r="H214" s="51" t="e">
        <f t="shared" si="3"/>
        <v>#DIV/0!</v>
      </c>
    </row>
    <row r="215" spans="8:8" x14ac:dyDescent="0.25">
      <c r="H215" s="51" t="e">
        <f t="shared" si="3"/>
        <v>#DIV/0!</v>
      </c>
    </row>
    <row r="216" spans="8:8" x14ac:dyDescent="0.25">
      <c r="H216" s="51" t="e">
        <f t="shared" si="3"/>
        <v>#DIV/0!</v>
      </c>
    </row>
    <row r="217" spans="8:8" x14ac:dyDescent="0.25">
      <c r="H217" s="51" t="e">
        <f t="shared" si="3"/>
        <v>#DIV/0!</v>
      </c>
    </row>
    <row r="218" spans="8:8" x14ac:dyDescent="0.25">
      <c r="H218" s="51" t="e">
        <f t="shared" si="3"/>
        <v>#DIV/0!</v>
      </c>
    </row>
    <row r="219" spans="8:8" x14ac:dyDescent="0.25">
      <c r="H219" s="51" t="e">
        <f t="shared" si="3"/>
        <v>#DIV/0!</v>
      </c>
    </row>
    <row r="220" spans="8:8" x14ac:dyDescent="0.25">
      <c r="H220" s="51" t="e">
        <f t="shared" si="3"/>
        <v>#DIV/0!</v>
      </c>
    </row>
    <row r="221" spans="8:8" x14ac:dyDescent="0.25">
      <c r="H221" s="51" t="e">
        <f t="shared" si="3"/>
        <v>#DIV/0!</v>
      </c>
    </row>
    <row r="222" spans="8:8" x14ac:dyDescent="0.25">
      <c r="H222" s="51" t="e">
        <f t="shared" si="3"/>
        <v>#DIV/0!</v>
      </c>
    </row>
    <row r="223" spans="8:8" x14ac:dyDescent="0.25">
      <c r="H223" s="51" t="e">
        <f t="shared" si="3"/>
        <v>#DIV/0!</v>
      </c>
    </row>
    <row r="224" spans="8:8" x14ac:dyDescent="0.25">
      <c r="H224" s="51" t="e">
        <f t="shared" si="3"/>
        <v>#DIV/0!</v>
      </c>
    </row>
    <row r="225" spans="8:8" x14ac:dyDescent="0.25">
      <c r="H225" s="51" t="e">
        <f t="shared" si="3"/>
        <v>#DIV/0!</v>
      </c>
    </row>
    <row r="226" spans="8:8" x14ac:dyDescent="0.25">
      <c r="H226" s="51" t="e">
        <f t="shared" si="3"/>
        <v>#DIV/0!</v>
      </c>
    </row>
    <row r="227" spans="8:8" x14ac:dyDescent="0.25">
      <c r="H227" s="51" t="e">
        <f t="shared" si="3"/>
        <v>#DIV/0!</v>
      </c>
    </row>
    <row r="228" spans="8:8" x14ac:dyDescent="0.25">
      <c r="H228" s="51" t="e">
        <f t="shared" si="3"/>
        <v>#DIV/0!</v>
      </c>
    </row>
    <row r="229" spans="8:8" x14ac:dyDescent="0.25">
      <c r="H229" s="51" t="e">
        <f t="shared" si="3"/>
        <v>#DIV/0!</v>
      </c>
    </row>
    <row r="230" spans="8:8" x14ac:dyDescent="0.25">
      <c r="H230" s="51" t="e">
        <f t="shared" si="3"/>
        <v>#DIV/0!</v>
      </c>
    </row>
    <row r="231" spans="8:8" x14ac:dyDescent="0.25">
      <c r="H231" s="51" t="e">
        <f t="shared" si="3"/>
        <v>#DIV/0!</v>
      </c>
    </row>
    <row r="232" spans="8:8" x14ac:dyDescent="0.25">
      <c r="H232" s="51" t="e">
        <f t="shared" si="3"/>
        <v>#DIV/0!</v>
      </c>
    </row>
    <row r="233" spans="8:8" x14ac:dyDescent="0.25">
      <c r="H233" s="51" t="e">
        <f t="shared" si="3"/>
        <v>#DIV/0!</v>
      </c>
    </row>
    <row r="234" spans="8:8" x14ac:dyDescent="0.25">
      <c r="H234" s="51" t="e">
        <f t="shared" si="3"/>
        <v>#DIV/0!</v>
      </c>
    </row>
    <row r="235" spans="8:8" x14ac:dyDescent="0.25">
      <c r="H235" s="51" t="e">
        <f t="shared" si="3"/>
        <v>#DIV/0!</v>
      </c>
    </row>
    <row r="236" spans="8:8" x14ac:dyDescent="0.25">
      <c r="H236" s="51" t="e">
        <f t="shared" si="3"/>
        <v>#DIV/0!</v>
      </c>
    </row>
    <row r="237" spans="8:8" x14ac:dyDescent="0.25">
      <c r="H237" s="51" t="e">
        <f t="shared" si="3"/>
        <v>#DIV/0!</v>
      </c>
    </row>
    <row r="238" spans="8:8" x14ac:dyDescent="0.25">
      <c r="H238" s="51" t="e">
        <f t="shared" si="3"/>
        <v>#DIV/0!</v>
      </c>
    </row>
    <row r="239" spans="8:8" x14ac:dyDescent="0.25">
      <c r="H239" s="51" t="e">
        <f t="shared" si="3"/>
        <v>#DIV/0!</v>
      </c>
    </row>
    <row r="240" spans="8:8" x14ac:dyDescent="0.25">
      <c r="H240" s="51" t="e">
        <f t="shared" si="3"/>
        <v>#DIV/0!</v>
      </c>
    </row>
    <row r="241" spans="8:8" x14ac:dyDescent="0.25">
      <c r="H241" s="51" t="e">
        <f t="shared" si="3"/>
        <v>#DIV/0!</v>
      </c>
    </row>
    <row r="242" spans="8:8" x14ac:dyDescent="0.25">
      <c r="H242" s="51" t="e">
        <f t="shared" si="3"/>
        <v>#DIV/0!</v>
      </c>
    </row>
    <row r="243" spans="8:8" x14ac:dyDescent="0.25">
      <c r="H243" s="51" t="e">
        <f t="shared" si="3"/>
        <v>#DIV/0!</v>
      </c>
    </row>
    <row r="244" spans="8:8" x14ac:dyDescent="0.25">
      <c r="H244" s="51" t="e">
        <f t="shared" si="3"/>
        <v>#DIV/0!</v>
      </c>
    </row>
    <row r="245" spans="8:8" x14ac:dyDescent="0.25">
      <c r="H245" s="51" t="e">
        <f t="shared" si="3"/>
        <v>#DIV/0!</v>
      </c>
    </row>
    <row r="246" spans="8:8" x14ac:dyDescent="0.25">
      <c r="H246" s="51" t="e">
        <f t="shared" si="3"/>
        <v>#DIV/0!</v>
      </c>
    </row>
    <row r="247" spans="8:8" x14ac:dyDescent="0.25">
      <c r="H247" s="51" t="e">
        <f t="shared" si="3"/>
        <v>#DIV/0!</v>
      </c>
    </row>
    <row r="248" spans="8:8" x14ac:dyDescent="0.25">
      <c r="H248" s="51" t="e">
        <f t="shared" si="3"/>
        <v>#DIV/0!</v>
      </c>
    </row>
    <row r="249" spans="8:8" x14ac:dyDescent="0.25">
      <c r="H249" s="51" t="e">
        <f t="shared" si="3"/>
        <v>#DIV/0!</v>
      </c>
    </row>
    <row r="250" spans="8:8" x14ac:dyDescent="0.25">
      <c r="H250" s="51" t="e">
        <f t="shared" si="3"/>
        <v>#DIV/0!</v>
      </c>
    </row>
    <row r="251" spans="8:8" x14ac:dyDescent="0.25">
      <c r="H251" s="51" t="e">
        <f t="shared" si="3"/>
        <v>#DIV/0!</v>
      </c>
    </row>
    <row r="252" spans="8:8" x14ac:dyDescent="0.25">
      <c r="H252" s="51" t="e">
        <f t="shared" si="3"/>
        <v>#DIV/0!</v>
      </c>
    </row>
    <row r="253" spans="8:8" x14ac:dyDescent="0.25">
      <c r="H253" s="51" t="e">
        <f t="shared" si="3"/>
        <v>#DIV/0!</v>
      </c>
    </row>
    <row r="254" spans="8:8" x14ac:dyDescent="0.25">
      <c r="H254" s="51" t="e">
        <f t="shared" si="3"/>
        <v>#DIV/0!</v>
      </c>
    </row>
    <row r="255" spans="8:8" x14ac:dyDescent="0.25">
      <c r="H255" s="51" t="e">
        <f t="shared" si="3"/>
        <v>#DIV/0!</v>
      </c>
    </row>
    <row r="256" spans="8:8" x14ac:dyDescent="0.25">
      <c r="H256" s="51" t="e">
        <f t="shared" si="3"/>
        <v>#DIV/0!</v>
      </c>
    </row>
    <row r="257" spans="8:8" x14ac:dyDescent="0.25">
      <c r="H257" s="51" t="e">
        <f t="shared" si="3"/>
        <v>#DIV/0!</v>
      </c>
    </row>
    <row r="258" spans="8:8" x14ac:dyDescent="0.25">
      <c r="H258" s="51" t="e">
        <f t="shared" si="3"/>
        <v>#DIV/0!</v>
      </c>
    </row>
    <row r="259" spans="8:8" x14ac:dyDescent="0.25">
      <c r="H259" s="51" t="e">
        <f t="shared" ref="H259:H322" si="4">(G259-G258)/G258</f>
        <v>#DIV/0!</v>
      </c>
    </row>
    <row r="260" spans="8:8" x14ac:dyDescent="0.25">
      <c r="H260" s="51" t="e">
        <f t="shared" si="4"/>
        <v>#DIV/0!</v>
      </c>
    </row>
    <row r="261" spans="8:8" x14ac:dyDescent="0.25">
      <c r="H261" s="51" t="e">
        <f t="shared" si="4"/>
        <v>#DIV/0!</v>
      </c>
    </row>
    <row r="262" spans="8:8" x14ac:dyDescent="0.25">
      <c r="H262" s="51" t="e">
        <f t="shared" si="4"/>
        <v>#DIV/0!</v>
      </c>
    </row>
    <row r="263" spans="8:8" x14ac:dyDescent="0.25">
      <c r="H263" s="51" t="e">
        <f t="shared" si="4"/>
        <v>#DIV/0!</v>
      </c>
    </row>
    <row r="264" spans="8:8" x14ac:dyDescent="0.25">
      <c r="H264" s="51" t="e">
        <f t="shared" si="4"/>
        <v>#DIV/0!</v>
      </c>
    </row>
    <row r="265" spans="8:8" x14ac:dyDescent="0.25">
      <c r="H265" s="51" t="e">
        <f t="shared" si="4"/>
        <v>#DIV/0!</v>
      </c>
    </row>
    <row r="266" spans="8:8" x14ac:dyDescent="0.25">
      <c r="H266" s="51" t="e">
        <f t="shared" si="4"/>
        <v>#DIV/0!</v>
      </c>
    </row>
    <row r="267" spans="8:8" x14ac:dyDescent="0.25">
      <c r="H267" s="51" t="e">
        <f t="shared" si="4"/>
        <v>#DIV/0!</v>
      </c>
    </row>
    <row r="268" spans="8:8" x14ac:dyDescent="0.25">
      <c r="H268" s="51" t="e">
        <f t="shared" si="4"/>
        <v>#DIV/0!</v>
      </c>
    </row>
    <row r="269" spans="8:8" x14ac:dyDescent="0.25">
      <c r="H269" s="51" t="e">
        <f t="shared" si="4"/>
        <v>#DIV/0!</v>
      </c>
    </row>
    <row r="270" spans="8:8" x14ac:dyDescent="0.25">
      <c r="H270" s="51" t="e">
        <f t="shared" si="4"/>
        <v>#DIV/0!</v>
      </c>
    </row>
    <row r="271" spans="8:8" x14ac:dyDescent="0.25">
      <c r="H271" s="51" t="e">
        <f t="shared" si="4"/>
        <v>#DIV/0!</v>
      </c>
    </row>
    <row r="272" spans="8:8" x14ac:dyDescent="0.25">
      <c r="H272" s="51" t="e">
        <f t="shared" si="4"/>
        <v>#DIV/0!</v>
      </c>
    </row>
    <row r="273" spans="8:8" x14ac:dyDescent="0.25">
      <c r="H273" s="51" t="e">
        <f t="shared" si="4"/>
        <v>#DIV/0!</v>
      </c>
    </row>
    <row r="274" spans="8:8" x14ac:dyDescent="0.25">
      <c r="H274" s="51" t="e">
        <f t="shared" si="4"/>
        <v>#DIV/0!</v>
      </c>
    </row>
    <row r="275" spans="8:8" x14ac:dyDescent="0.25">
      <c r="H275" s="51" t="e">
        <f t="shared" si="4"/>
        <v>#DIV/0!</v>
      </c>
    </row>
    <row r="276" spans="8:8" x14ac:dyDescent="0.25">
      <c r="H276" s="51" t="e">
        <f t="shared" si="4"/>
        <v>#DIV/0!</v>
      </c>
    </row>
    <row r="277" spans="8:8" x14ac:dyDescent="0.25">
      <c r="H277" s="51" t="e">
        <f t="shared" si="4"/>
        <v>#DIV/0!</v>
      </c>
    </row>
    <row r="278" spans="8:8" x14ac:dyDescent="0.25">
      <c r="H278" s="51" t="e">
        <f t="shared" si="4"/>
        <v>#DIV/0!</v>
      </c>
    </row>
    <row r="279" spans="8:8" x14ac:dyDescent="0.25">
      <c r="H279" s="51" t="e">
        <f t="shared" si="4"/>
        <v>#DIV/0!</v>
      </c>
    </row>
    <row r="280" spans="8:8" x14ac:dyDescent="0.25">
      <c r="H280" s="51" t="e">
        <f t="shared" si="4"/>
        <v>#DIV/0!</v>
      </c>
    </row>
    <row r="281" spans="8:8" x14ac:dyDescent="0.25">
      <c r="H281" s="51" t="e">
        <f t="shared" si="4"/>
        <v>#DIV/0!</v>
      </c>
    </row>
    <row r="282" spans="8:8" x14ac:dyDescent="0.25">
      <c r="H282" s="51" t="e">
        <f t="shared" si="4"/>
        <v>#DIV/0!</v>
      </c>
    </row>
    <row r="283" spans="8:8" x14ac:dyDescent="0.25">
      <c r="H283" s="51" t="e">
        <f t="shared" si="4"/>
        <v>#DIV/0!</v>
      </c>
    </row>
    <row r="284" spans="8:8" x14ac:dyDescent="0.25">
      <c r="H284" s="51" t="e">
        <f t="shared" si="4"/>
        <v>#DIV/0!</v>
      </c>
    </row>
    <row r="285" spans="8:8" x14ac:dyDescent="0.25">
      <c r="H285" s="51" t="e">
        <f t="shared" si="4"/>
        <v>#DIV/0!</v>
      </c>
    </row>
    <row r="286" spans="8:8" x14ac:dyDescent="0.25">
      <c r="H286" s="51" t="e">
        <f t="shared" si="4"/>
        <v>#DIV/0!</v>
      </c>
    </row>
    <row r="287" spans="8:8" x14ac:dyDescent="0.25">
      <c r="H287" s="51" t="e">
        <f t="shared" si="4"/>
        <v>#DIV/0!</v>
      </c>
    </row>
    <row r="288" spans="8:8" x14ac:dyDescent="0.25">
      <c r="H288" s="51" t="e">
        <f t="shared" si="4"/>
        <v>#DIV/0!</v>
      </c>
    </row>
    <row r="289" spans="8:8" x14ac:dyDescent="0.25">
      <c r="H289" s="51" t="e">
        <f t="shared" si="4"/>
        <v>#DIV/0!</v>
      </c>
    </row>
    <row r="290" spans="8:8" x14ac:dyDescent="0.25">
      <c r="H290" s="51" t="e">
        <f t="shared" si="4"/>
        <v>#DIV/0!</v>
      </c>
    </row>
    <row r="291" spans="8:8" x14ac:dyDescent="0.25">
      <c r="H291" s="51" t="e">
        <f t="shared" si="4"/>
        <v>#DIV/0!</v>
      </c>
    </row>
    <row r="292" spans="8:8" x14ac:dyDescent="0.25">
      <c r="H292" s="51" t="e">
        <f t="shared" si="4"/>
        <v>#DIV/0!</v>
      </c>
    </row>
    <row r="293" spans="8:8" x14ac:dyDescent="0.25">
      <c r="H293" s="51" t="e">
        <f t="shared" si="4"/>
        <v>#DIV/0!</v>
      </c>
    </row>
    <row r="294" spans="8:8" x14ac:dyDescent="0.25">
      <c r="H294" s="51" t="e">
        <f t="shared" si="4"/>
        <v>#DIV/0!</v>
      </c>
    </row>
    <row r="295" spans="8:8" x14ac:dyDescent="0.25">
      <c r="H295" s="51" t="e">
        <f t="shared" si="4"/>
        <v>#DIV/0!</v>
      </c>
    </row>
    <row r="296" spans="8:8" x14ac:dyDescent="0.25">
      <c r="H296" s="51" t="e">
        <f t="shared" si="4"/>
        <v>#DIV/0!</v>
      </c>
    </row>
    <row r="297" spans="8:8" x14ac:dyDescent="0.25">
      <c r="H297" s="51" t="e">
        <f t="shared" si="4"/>
        <v>#DIV/0!</v>
      </c>
    </row>
    <row r="298" spans="8:8" x14ac:dyDescent="0.25">
      <c r="H298" s="51" t="e">
        <f t="shared" si="4"/>
        <v>#DIV/0!</v>
      </c>
    </row>
    <row r="299" spans="8:8" x14ac:dyDescent="0.25">
      <c r="H299" s="51" t="e">
        <f t="shared" si="4"/>
        <v>#DIV/0!</v>
      </c>
    </row>
    <row r="300" spans="8:8" x14ac:dyDescent="0.25">
      <c r="H300" s="51" t="e">
        <f t="shared" si="4"/>
        <v>#DIV/0!</v>
      </c>
    </row>
    <row r="301" spans="8:8" x14ac:dyDescent="0.25">
      <c r="H301" s="51" t="e">
        <f t="shared" si="4"/>
        <v>#DIV/0!</v>
      </c>
    </row>
    <row r="302" spans="8:8" x14ac:dyDescent="0.25">
      <c r="H302" s="51" t="e">
        <f t="shared" si="4"/>
        <v>#DIV/0!</v>
      </c>
    </row>
    <row r="303" spans="8:8" x14ac:dyDescent="0.25">
      <c r="H303" s="51" t="e">
        <f t="shared" si="4"/>
        <v>#DIV/0!</v>
      </c>
    </row>
    <row r="304" spans="8:8" x14ac:dyDescent="0.25">
      <c r="H304" s="51" t="e">
        <f t="shared" si="4"/>
        <v>#DIV/0!</v>
      </c>
    </row>
    <row r="305" spans="8:8" x14ac:dyDescent="0.25">
      <c r="H305" s="51" t="e">
        <f t="shared" si="4"/>
        <v>#DIV/0!</v>
      </c>
    </row>
    <row r="306" spans="8:8" x14ac:dyDescent="0.25">
      <c r="H306" s="51" t="e">
        <f t="shared" si="4"/>
        <v>#DIV/0!</v>
      </c>
    </row>
    <row r="307" spans="8:8" x14ac:dyDescent="0.25">
      <c r="H307" s="51" t="e">
        <f t="shared" si="4"/>
        <v>#DIV/0!</v>
      </c>
    </row>
    <row r="308" spans="8:8" x14ac:dyDescent="0.25">
      <c r="H308" s="51" t="e">
        <f t="shared" si="4"/>
        <v>#DIV/0!</v>
      </c>
    </row>
    <row r="309" spans="8:8" x14ac:dyDescent="0.25">
      <c r="H309" s="51" t="e">
        <f t="shared" si="4"/>
        <v>#DIV/0!</v>
      </c>
    </row>
    <row r="310" spans="8:8" x14ac:dyDescent="0.25">
      <c r="H310" s="51" t="e">
        <f t="shared" si="4"/>
        <v>#DIV/0!</v>
      </c>
    </row>
    <row r="311" spans="8:8" x14ac:dyDescent="0.25">
      <c r="H311" s="51" t="e">
        <f t="shared" si="4"/>
        <v>#DIV/0!</v>
      </c>
    </row>
    <row r="312" spans="8:8" x14ac:dyDescent="0.25">
      <c r="H312" s="51" t="e">
        <f t="shared" si="4"/>
        <v>#DIV/0!</v>
      </c>
    </row>
    <row r="313" spans="8:8" x14ac:dyDescent="0.25">
      <c r="H313" s="51" t="e">
        <f t="shared" si="4"/>
        <v>#DIV/0!</v>
      </c>
    </row>
    <row r="314" spans="8:8" x14ac:dyDescent="0.25">
      <c r="H314" s="51" t="e">
        <f t="shared" si="4"/>
        <v>#DIV/0!</v>
      </c>
    </row>
    <row r="315" spans="8:8" x14ac:dyDescent="0.25">
      <c r="H315" s="51" t="e">
        <f t="shared" si="4"/>
        <v>#DIV/0!</v>
      </c>
    </row>
    <row r="316" spans="8:8" x14ac:dyDescent="0.25">
      <c r="H316" s="51" t="e">
        <f t="shared" si="4"/>
        <v>#DIV/0!</v>
      </c>
    </row>
    <row r="317" spans="8:8" x14ac:dyDescent="0.25">
      <c r="H317" s="51" t="e">
        <f t="shared" si="4"/>
        <v>#DIV/0!</v>
      </c>
    </row>
    <row r="318" spans="8:8" x14ac:dyDescent="0.25">
      <c r="H318" s="51" t="e">
        <f t="shared" si="4"/>
        <v>#DIV/0!</v>
      </c>
    </row>
    <row r="319" spans="8:8" x14ac:dyDescent="0.25">
      <c r="H319" s="51" t="e">
        <f t="shared" si="4"/>
        <v>#DIV/0!</v>
      </c>
    </row>
    <row r="320" spans="8:8" x14ac:dyDescent="0.25">
      <c r="H320" s="51" t="e">
        <f t="shared" si="4"/>
        <v>#DIV/0!</v>
      </c>
    </row>
    <row r="321" spans="8:8" x14ac:dyDescent="0.25">
      <c r="H321" s="51" t="e">
        <f t="shared" si="4"/>
        <v>#DIV/0!</v>
      </c>
    </row>
    <row r="322" spans="8:8" x14ac:dyDescent="0.25">
      <c r="H322" s="51" t="e">
        <f t="shared" si="4"/>
        <v>#DIV/0!</v>
      </c>
    </row>
    <row r="323" spans="8:8" x14ac:dyDescent="0.25">
      <c r="H323" s="51" t="e">
        <f t="shared" ref="H323:H386" si="5">(G323-G322)/G322</f>
        <v>#DIV/0!</v>
      </c>
    </row>
    <row r="324" spans="8:8" x14ac:dyDescent="0.25">
      <c r="H324" s="51" t="e">
        <f t="shared" si="5"/>
        <v>#DIV/0!</v>
      </c>
    </row>
    <row r="325" spans="8:8" x14ac:dyDescent="0.25">
      <c r="H325" s="51" t="e">
        <f t="shared" si="5"/>
        <v>#DIV/0!</v>
      </c>
    </row>
    <row r="326" spans="8:8" x14ac:dyDescent="0.25">
      <c r="H326" s="51" t="e">
        <f t="shared" si="5"/>
        <v>#DIV/0!</v>
      </c>
    </row>
    <row r="327" spans="8:8" x14ac:dyDescent="0.25">
      <c r="H327" s="51" t="e">
        <f t="shared" si="5"/>
        <v>#DIV/0!</v>
      </c>
    </row>
    <row r="328" spans="8:8" x14ac:dyDescent="0.25">
      <c r="H328" s="51" t="e">
        <f t="shared" si="5"/>
        <v>#DIV/0!</v>
      </c>
    </row>
    <row r="329" spans="8:8" x14ac:dyDescent="0.25">
      <c r="H329" s="51" t="e">
        <f t="shared" si="5"/>
        <v>#DIV/0!</v>
      </c>
    </row>
    <row r="330" spans="8:8" x14ac:dyDescent="0.25">
      <c r="H330" s="51" t="e">
        <f t="shared" si="5"/>
        <v>#DIV/0!</v>
      </c>
    </row>
    <row r="331" spans="8:8" x14ac:dyDescent="0.25">
      <c r="H331" s="51" t="e">
        <f t="shared" si="5"/>
        <v>#DIV/0!</v>
      </c>
    </row>
    <row r="332" spans="8:8" x14ac:dyDescent="0.25">
      <c r="H332" s="51" t="e">
        <f t="shared" si="5"/>
        <v>#DIV/0!</v>
      </c>
    </row>
    <row r="333" spans="8:8" x14ac:dyDescent="0.25">
      <c r="H333" s="51" t="e">
        <f t="shared" si="5"/>
        <v>#DIV/0!</v>
      </c>
    </row>
    <row r="334" spans="8:8" x14ac:dyDescent="0.25">
      <c r="H334" s="51" t="e">
        <f t="shared" si="5"/>
        <v>#DIV/0!</v>
      </c>
    </row>
    <row r="335" spans="8:8" x14ac:dyDescent="0.25">
      <c r="H335" s="51" t="e">
        <f t="shared" si="5"/>
        <v>#DIV/0!</v>
      </c>
    </row>
    <row r="336" spans="8:8" x14ac:dyDescent="0.25">
      <c r="H336" s="51" t="e">
        <f t="shared" si="5"/>
        <v>#DIV/0!</v>
      </c>
    </row>
    <row r="337" spans="8:8" x14ac:dyDescent="0.25">
      <c r="H337" s="51" t="e">
        <f t="shared" si="5"/>
        <v>#DIV/0!</v>
      </c>
    </row>
    <row r="338" spans="8:8" x14ac:dyDescent="0.25">
      <c r="H338" s="51" t="e">
        <f t="shared" si="5"/>
        <v>#DIV/0!</v>
      </c>
    </row>
    <row r="339" spans="8:8" x14ac:dyDescent="0.25">
      <c r="H339" s="51" t="e">
        <f t="shared" si="5"/>
        <v>#DIV/0!</v>
      </c>
    </row>
    <row r="340" spans="8:8" x14ac:dyDescent="0.25">
      <c r="H340" s="51" t="e">
        <f t="shared" si="5"/>
        <v>#DIV/0!</v>
      </c>
    </row>
    <row r="341" spans="8:8" x14ac:dyDescent="0.25">
      <c r="H341" s="51" t="e">
        <f t="shared" si="5"/>
        <v>#DIV/0!</v>
      </c>
    </row>
    <row r="342" spans="8:8" x14ac:dyDescent="0.25">
      <c r="H342" s="51" t="e">
        <f t="shared" si="5"/>
        <v>#DIV/0!</v>
      </c>
    </row>
    <row r="343" spans="8:8" x14ac:dyDescent="0.25">
      <c r="H343" s="51" t="e">
        <f t="shared" si="5"/>
        <v>#DIV/0!</v>
      </c>
    </row>
    <row r="344" spans="8:8" x14ac:dyDescent="0.25">
      <c r="H344" s="51" t="e">
        <f t="shared" si="5"/>
        <v>#DIV/0!</v>
      </c>
    </row>
    <row r="345" spans="8:8" x14ac:dyDescent="0.25">
      <c r="H345" s="51" t="e">
        <f t="shared" si="5"/>
        <v>#DIV/0!</v>
      </c>
    </row>
    <row r="346" spans="8:8" x14ac:dyDescent="0.25">
      <c r="H346" s="51" t="e">
        <f t="shared" si="5"/>
        <v>#DIV/0!</v>
      </c>
    </row>
    <row r="347" spans="8:8" x14ac:dyDescent="0.25">
      <c r="H347" s="51" t="e">
        <f t="shared" si="5"/>
        <v>#DIV/0!</v>
      </c>
    </row>
    <row r="348" spans="8:8" x14ac:dyDescent="0.25">
      <c r="H348" s="51" t="e">
        <f t="shared" si="5"/>
        <v>#DIV/0!</v>
      </c>
    </row>
    <row r="349" spans="8:8" x14ac:dyDescent="0.25">
      <c r="H349" s="51" t="e">
        <f t="shared" si="5"/>
        <v>#DIV/0!</v>
      </c>
    </row>
    <row r="350" spans="8:8" x14ac:dyDescent="0.25">
      <c r="H350" s="51" t="e">
        <f t="shared" si="5"/>
        <v>#DIV/0!</v>
      </c>
    </row>
    <row r="351" spans="8:8" x14ac:dyDescent="0.25">
      <c r="H351" s="51" t="e">
        <f t="shared" si="5"/>
        <v>#DIV/0!</v>
      </c>
    </row>
    <row r="352" spans="8:8" x14ac:dyDescent="0.25">
      <c r="H352" s="51" t="e">
        <f t="shared" si="5"/>
        <v>#DIV/0!</v>
      </c>
    </row>
    <row r="353" spans="8:8" x14ac:dyDescent="0.25">
      <c r="H353" s="51" t="e">
        <f t="shared" si="5"/>
        <v>#DIV/0!</v>
      </c>
    </row>
    <row r="354" spans="8:8" x14ac:dyDescent="0.25">
      <c r="H354" s="51" t="e">
        <f t="shared" si="5"/>
        <v>#DIV/0!</v>
      </c>
    </row>
    <row r="355" spans="8:8" x14ac:dyDescent="0.25">
      <c r="H355" s="51" t="e">
        <f t="shared" si="5"/>
        <v>#DIV/0!</v>
      </c>
    </row>
    <row r="356" spans="8:8" x14ac:dyDescent="0.25">
      <c r="H356" s="51" t="e">
        <f t="shared" si="5"/>
        <v>#DIV/0!</v>
      </c>
    </row>
    <row r="357" spans="8:8" x14ac:dyDescent="0.25">
      <c r="H357" s="51" t="e">
        <f t="shared" si="5"/>
        <v>#DIV/0!</v>
      </c>
    </row>
    <row r="358" spans="8:8" x14ac:dyDescent="0.25">
      <c r="H358" s="51" t="e">
        <f t="shared" si="5"/>
        <v>#DIV/0!</v>
      </c>
    </row>
    <row r="359" spans="8:8" x14ac:dyDescent="0.25">
      <c r="H359" s="51" t="e">
        <f t="shared" si="5"/>
        <v>#DIV/0!</v>
      </c>
    </row>
    <row r="360" spans="8:8" x14ac:dyDescent="0.25">
      <c r="H360" s="51" t="e">
        <f t="shared" si="5"/>
        <v>#DIV/0!</v>
      </c>
    </row>
    <row r="361" spans="8:8" x14ac:dyDescent="0.25">
      <c r="H361" s="51" t="e">
        <f t="shared" si="5"/>
        <v>#DIV/0!</v>
      </c>
    </row>
    <row r="362" spans="8:8" x14ac:dyDescent="0.25">
      <c r="H362" s="51" t="e">
        <f t="shared" si="5"/>
        <v>#DIV/0!</v>
      </c>
    </row>
    <row r="363" spans="8:8" x14ac:dyDescent="0.25">
      <c r="H363" s="51" t="e">
        <f t="shared" si="5"/>
        <v>#DIV/0!</v>
      </c>
    </row>
    <row r="364" spans="8:8" x14ac:dyDescent="0.25">
      <c r="H364" s="51" t="e">
        <f t="shared" si="5"/>
        <v>#DIV/0!</v>
      </c>
    </row>
    <row r="365" spans="8:8" x14ac:dyDescent="0.25">
      <c r="H365" s="51" t="e">
        <f t="shared" si="5"/>
        <v>#DIV/0!</v>
      </c>
    </row>
    <row r="366" spans="8:8" x14ac:dyDescent="0.25">
      <c r="H366" s="51" t="e">
        <f t="shared" si="5"/>
        <v>#DIV/0!</v>
      </c>
    </row>
    <row r="367" spans="8:8" x14ac:dyDescent="0.25">
      <c r="H367" s="51" t="e">
        <f t="shared" si="5"/>
        <v>#DIV/0!</v>
      </c>
    </row>
    <row r="368" spans="8:8" x14ac:dyDescent="0.25">
      <c r="H368" s="51" t="e">
        <f t="shared" si="5"/>
        <v>#DIV/0!</v>
      </c>
    </row>
    <row r="369" spans="8:8" x14ac:dyDescent="0.25">
      <c r="H369" s="51" t="e">
        <f t="shared" si="5"/>
        <v>#DIV/0!</v>
      </c>
    </row>
    <row r="370" spans="8:8" x14ac:dyDescent="0.25">
      <c r="H370" s="51" t="e">
        <f t="shared" si="5"/>
        <v>#DIV/0!</v>
      </c>
    </row>
    <row r="371" spans="8:8" x14ac:dyDescent="0.25">
      <c r="H371" s="51" t="e">
        <f t="shared" si="5"/>
        <v>#DIV/0!</v>
      </c>
    </row>
    <row r="372" spans="8:8" x14ac:dyDescent="0.25">
      <c r="H372" s="51" t="e">
        <f t="shared" si="5"/>
        <v>#DIV/0!</v>
      </c>
    </row>
    <row r="373" spans="8:8" x14ac:dyDescent="0.25">
      <c r="H373" s="51" t="e">
        <f t="shared" si="5"/>
        <v>#DIV/0!</v>
      </c>
    </row>
    <row r="374" spans="8:8" x14ac:dyDescent="0.25">
      <c r="H374" s="51" t="e">
        <f t="shared" si="5"/>
        <v>#DIV/0!</v>
      </c>
    </row>
    <row r="375" spans="8:8" x14ac:dyDescent="0.25">
      <c r="H375" s="51" t="e">
        <f t="shared" si="5"/>
        <v>#DIV/0!</v>
      </c>
    </row>
    <row r="376" spans="8:8" x14ac:dyDescent="0.25">
      <c r="H376" s="51" t="e">
        <f t="shared" si="5"/>
        <v>#DIV/0!</v>
      </c>
    </row>
    <row r="377" spans="8:8" x14ac:dyDescent="0.25">
      <c r="H377" s="51" t="e">
        <f t="shared" si="5"/>
        <v>#DIV/0!</v>
      </c>
    </row>
    <row r="378" spans="8:8" x14ac:dyDescent="0.25">
      <c r="H378" s="51" t="e">
        <f t="shared" si="5"/>
        <v>#DIV/0!</v>
      </c>
    </row>
    <row r="379" spans="8:8" x14ac:dyDescent="0.25">
      <c r="H379" s="51" t="e">
        <f t="shared" si="5"/>
        <v>#DIV/0!</v>
      </c>
    </row>
    <row r="380" spans="8:8" x14ac:dyDescent="0.25">
      <c r="H380" s="51" t="e">
        <f t="shared" si="5"/>
        <v>#DIV/0!</v>
      </c>
    </row>
    <row r="381" spans="8:8" x14ac:dyDescent="0.25">
      <c r="H381" s="51" t="e">
        <f t="shared" si="5"/>
        <v>#DIV/0!</v>
      </c>
    </row>
    <row r="382" spans="8:8" x14ac:dyDescent="0.25">
      <c r="H382" s="51" t="e">
        <f t="shared" si="5"/>
        <v>#DIV/0!</v>
      </c>
    </row>
    <row r="383" spans="8:8" x14ac:dyDescent="0.25">
      <c r="H383" s="51" t="e">
        <f t="shared" si="5"/>
        <v>#DIV/0!</v>
      </c>
    </row>
    <row r="384" spans="8:8" x14ac:dyDescent="0.25">
      <c r="H384" s="51" t="e">
        <f t="shared" si="5"/>
        <v>#DIV/0!</v>
      </c>
    </row>
    <row r="385" spans="8:8" x14ac:dyDescent="0.25">
      <c r="H385" s="51" t="e">
        <f t="shared" si="5"/>
        <v>#DIV/0!</v>
      </c>
    </row>
    <row r="386" spans="8:8" x14ac:dyDescent="0.25">
      <c r="H386" s="51" t="e">
        <f t="shared" si="5"/>
        <v>#DIV/0!</v>
      </c>
    </row>
    <row r="387" spans="8:8" x14ac:dyDescent="0.25">
      <c r="H387" s="51" t="e">
        <f t="shared" ref="H387:H450" si="6">(G387-G386)/G386</f>
        <v>#DIV/0!</v>
      </c>
    </row>
    <row r="388" spans="8:8" x14ac:dyDescent="0.25">
      <c r="H388" s="51" t="e">
        <f t="shared" si="6"/>
        <v>#DIV/0!</v>
      </c>
    </row>
    <row r="389" spans="8:8" x14ac:dyDescent="0.25">
      <c r="H389" s="51" t="e">
        <f t="shared" si="6"/>
        <v>#DIV/0!</v>
      </c>
    </row>
    <row r="390" spans="8:8" x14ac:dyDescent="0.25">
      <c r="H390" s="51" t="e">
        <f t="shared" si="6"/>
        <v>#DIV/0!</v>
      </c>
    </row>
    <row r="391" spans="8:8" x14ac:dyDescent="0.25">
      <c r="H391" s="51" t="e">
        <f t="shared" si="6"/>
        <v>#DIV/0!</v>
      </c>
    </row>
    <row r="392" spans="8:8" x14ac:dyDescent="0.25">
      <c r="H392" s="51" t="e">
        <f t="shared" si="6"/>
        <v>#DIV/0!</v>
      </c>
    </row>
    <row r="393" spans="8:8" x14ac:dyDescent="0.25">
      <c r="H393" s="51" t="e">
        <f t="shared" si="6"/>
        <v>#DIV/0!</v>
      </c>
    </row>
    <row r="394" spans="8:8" x14ac:dyDescent="0.25">
      <c r="H394" s="51" t="e">
        <f t="shared" si="6"/>
        <v>#DIV/0!</v>
      </c>
    </row>
    <row r="395" spans="8:8" x14ac:dyDescent="0.25">
      <c r="H395" s="51" t="e">
        <f t="shared" si="6"/>
        <v>#DIV/0!</v>
      </c>
    </row>
    <row r="396" spans="8:8" x14ac:dyDescent="0.25">
      <c r="H396" s="51" t="e">
        <f t="shared" si="6"/>
        <v>#DIV/0!</v>
      </c>
    </row>
    <row r="397" spans="8:8" x14ac:dyDescent="0.25">
      <c r="H397" s="51" t="e">
        <f t="shared" si="6"/>
        <v>#DIV/0!</v>
      </c>
    </row>
    <row r="398" spans="8:8" x14ac:dyDescent="0.25">
      <c r="H398" s="51" t="e">
        <f t="shared" si="6"/>
        <v>#DIV/0!</v>
      </c>
    </row>
    <row r="399" spans="8:8" x14ac:dyDescent="0.25">
      <c r="H399" s="51" t="e">
        <f t="shared" si="6"/>
        <v>#DIV/0!</v>
      </c>
    </row>
    <row r="400" spans="8:8" x14ac:dyDescent="0.25">
      <c r="H400" s="51" t="e">
        <f t="shared" si="6"/>
        <v>#DIV/0!</v>
      </c>
    </row>
    <row r="401" spans="8:8" x14ac:dyDescent="0.25">
      <c r="H401" s="51" t="e">
        <f t="shared" si="6"/>
        <v>#DIV/0!</v>
      </c>
    </row>
    <row r="402" spans="8:8" x14ac:dyDescent="0.25">
      <c r="H402" s="51" t="e">
        <f t="shared" si="6"/>
        <v>#DIV/0!</v>
      </c>
    </row>
    <row r="403" spans="8:8" x14ac:dyDescent="0.25">
      <c r="H403" s="51" t="e">
        <f t="shared" si="6"/>
        <v>#DIV/0!</v>
      </c>
    </row>
    <row r="404" spans="8:8" x14ac:dyDescent="0.25">
      <c r="H404" s="51" t="e">
        <f t="shared" si="6"/>
        <v>#DIV/0!</v>
      </c>
    </row>
    <row r="405" spans="8:8" x14ac:dyDescent="0.25">
      <c r="H405" s="51" t="e">
        <f t="shared" si="6"/>
        <v>#DIV/0!</v>
      </c>
    </row>
    <row r="406" spans="8:8" x14ac:dyDescent="0.25">
      <c r="H406" s="51" t="e">
        <f t="shared" si="6"/>
        <v>#DIV/0!</v>
      </c>
    </row>
    <row r="407" spans="8:8" x14ac:dyDescent="0.25">
      <c r="H407" s="51" t="e">
        <f t="shared" si="6"/>
        <v>#DIV/0!</v>
      </c>
    </row>
    <row r="408" spans="8:8" x14ac:dyDescent="0.25">
      <c r="H408" s="51" t="e">
        <f t="shared" si="6"/>
        <v>#DIV/0!</v>
      </c>
    </row>
    <row r="409" spans="8:8" x14ac:dyDescent="0.25">
      <c r="H409" s="51" t="e">
        <f t="shared" si="6"/>
        <v>#DIV/0!</v>
      </c>
    </row>
    <row r="410" spans="8:8" x14ac:dyDescent="0.25">
      <c r="H410" s="51" t="e">
        <f t="shared" si="6"/>
        <v>#DIV/0!</v>
      </c>
    </row>
    <row r="411" spans="8:8" x14ac:dyDescent="0.25">
      <c r="H411" s="51" t="e">
        <f t="shared" si="6"/>
        <v>#DIV/0!</v>
      </c>
    </row>
    <row r="412" spans="8:8" x14ac:dyDescent="0.25">
      <c r="H412" s="51" t="e">
        <f t="shared" si="6"/>
        <v>#DIV/0!</v>
      </c>
    </row>
    <row r="413" spans="8:8" x14ac:dyDescent="0.25">
      <c r="H413" s="51" t="e">
        <f t="shared" si="6"/>
        <v>#DIV/0!</v>
      </c>
    </row>
    <row r="414" spans="8:8" x14ac:dyDescent="0.25">
      <c r="H414" s="51" t="e">
        <f t="shared" si="6"/>
        <v>#DIV/0!</v>
      </c>
    </row>
    <row r="415" spans="8:8" x14ac:dyDescent="0.25">
      <c r="H415" s="51" t="e">
        <f t="shared" si="6"/>
        <v>#DIV/0!</v>
      </c>
    </row>
    <row r="416" spans="8:8" x14ac:dyDescent="0.25">
      <c r="H416" s="51" t="e">
        <f t="shared" si="6"/>
        <v>#DIV/0!</v>
      </c>
    </row>
    <row r="417" spans="8:8" x14ac:dyDescent="0.25">
      <c r="H417" s="51" t="e">
        <f t="shared" si="6"/>
        <v>#DIV/0!</v>
      </c>
    </row>
    <row r="418" spans="8:8" x14ac:dyDescent="0.25">
      <c r="H418" s="51" t="e">
        <f t="shared" si="6"/>
        <v>#DIV/0!</v>
      </c>
    </row>
    <row r="419" spans="8:8" x14ac:dyDescent="0.25">
      <c r="H419" s="51" t="e">
        <f t="shared" si="6"/>
        <v>#DIV/0!</v>
      </c>
    </row>
    <row r="420" spans="8:8" x14ac:dyDescent="0.25">
      <c r="H420" s="51" t="e">
        <f t="shared" si="6"/>
        <v>#DIV/0!</v>
      </c>
    </row>
    <row r="421" spans="8:8" x14ac:dyDescent="0.25">
      <c r="H421" s="51" t="e">
        <f t="shared" si="6"/>
        <v>#DIV/0!</v>
      </c>
    </row>
    <row r="422" spans="8:8" x14ac:dyDescent="0.25">
      <c r="H422" s="51" t="e">
        <f t="shared" si="6"/>
        <v>#DIV/0!</v>
      </c>
    </row>
    <row r="423" spans="8:8" x14ac:dyDescent="0.25">
      <c r="H423" s="51" t="e">
        <f t="shared" si="6"/>
        <v>#DIV/0!</v>
      </c>
    </row>
    <row r="424" spans="8:8" x14ac:dyDescent="0.25">
      <c r="H424" s="51" t="e">
        <f t="shared" si="6"/>
        <v>#DIV/0!</v>
      </c>
    </row>
    <row r="425" spans="8:8" x14ac:dyDescent="0.25">
      <c r="H425" s="51" t="e">
        <f t="shared" si="6"/>
        <v>#DIV/0!</v>
      </c>
    </row>
    <row r="426" spans="8:8" x14ac:dyDescent="0.25">
      <c r="H426" s="51" t="e">
        <f t="shared" si="6"/>
        <v>#DIV/0!</v>
      </c>
    </row>
    <row r="427" spans="8:8" x14ac:dyDescent="0.25">
      <c r="H427" s="51" t="e">
        <f t="shared" si="6"/>
        <v>#DIV/0!</v>
      </c>
    </row>
    <row r="428" spans="8:8" x14ac:dyDescent="0.25">
      <c r="H428" s="51" t="e">
        <f t="shared" si="6"/>
        <v>#DIV/0!</v>
      </c>
    </row>
    <row r="429" spans="8:8" x14ac:dyDescent="0.25">
      <c r="H429" s="51" t="e">
        <f t="shared" si="6"/>
        <v>#DIV/0!</v>
      </c>
    </row>
    <row r="430" spans="8:8" x14ac:dyDescent="0.25">
      <c r="H430" s="51" t="e">
        <f t="shared" si="6"/>
        <v>#DIV/0!</v>
      </c>
    </row>
    <row r="431" spans="8:8" x14ac:dyDescent="0.25">
      <c r="H431" s="51" t="e">
        <f t="shared" si="6"/>
        <v>#DIV/0!</v>
      </c>
    </row>
    <row r="432" spans="8:8" x14ac:dyDescent="0.25">
      <c r="H432" s="51" t="e">
        <f t="shared" si="6"/>
        <v>#DIV/0!</v>
      </c>
    </row>
    <row r="433" spans="8:8" x14ac:dyDescent="0.25">
      <c r="H433" s="51" t="e">
        <f t="shared" si="6"/>
        <v>#DIV/0!</v>
      </c>
    </row>
    <row r="434" spans="8:8" x14ac:dyDescent="0.25">
      <c r="H434" s="51" t="e">
        <f t="shared" si="6"/>
        <v>#DIV/0!</v>
      </c>
    </row>
    <row r="435" spans="8:8" x14ac:dyDescent="0.25">
      <c r="H435" s="51" t="e">
        <f t="shared" si="6"/>
        <v>#DIV/0!</v>
      </c>
    </row>
    <row r="436" spans="8:8" x14ac:dyDescent="0.25">
      <c r="H436" s="51" t="e">
        <f t="shared" si="6"/>
        <v>#DIV/0!</v>
      </c>
    </row>
    <row r="437" spans="8:8" x14ac:dyDescent="0.25">
      <c r="H437" s="51" t="e">
        <f t="shared" si="6"/>
        <v>#DIV/0!</v>
      </c>
    </row>
    <row r="438" spans="8:8" x14ac:dyDescent="0.25">
      <c r="H438" s="51" t="e">
        <f t="shared" si="6"/>
        <v>#DIV/0!</v>
      </c>
    </row>
    <row r="439" spans="8:8" x14ac:dyDescent="0.25">
      <c r="H439" s="51" t="e">
        <f t="shared" si="6"/>
        <v>#DIV/0!</v>
      </c>
    </row>
    <row r="440" spans="8:8" x14ac:dyDescent="0.25">
      <c r="H440" s="51" t="e">
        <f t="shared" si="6"/>
        <v>#DIV/0!</v>
      </c>
    </row>
    <row r="441" spans="8:8" x14ac:dyDescent="0.25">
      <c r="H441" s="51" t="e">
        <f t="shared" si="6"/>
        <v>#DIV/0!</v>
      </c>
    </row>
    <row r="442" spans="8:8" x14ac:dyDescent="0.25">
      <c r="H442" s="51" t="e">
        <f t="shared" si="6"/>
        <v>#DIV/0!</v>
      </c>
    </row>
    <row r="443" spans="8:8" x14ac:dyDescent="0.25">
      <c r="H443" s="51" t="e">
        <f t="shared" si="6"/>
        <v>#DIV/0!</v>
      </c>
    </row>
    <row r="444" spans="8:8" x14ac:dyDescent="0.25">
      <c r="H444" s="51" t="e">
        <f t="shared" si="6"/>
        <v>#DIV/0!</v>
      </c>
    </row>
    <row r="445" spans="8:8" x14ac:dyDescent="0.25">
      <c r="H445" s="51" t="e">
        <f t="shared" si="6"/>
        <v>#DIV/0!</v>
      </c>
    </row>
    <row r="446" spans="8:8" x14ac:dyDescent="0.25">
      <c r="H446" s="51" t="e">
        <f t="shared" si="6"/>
        <v>#DIV/0!</v>
      </c>
    </row>
    <row r="447" spans="8:8" x14ac:dyDescent="0.25">
      <c r="H447" s="51" t="e">
        <f t="shared" si="6"/>
        <v>#DIV/0!</v>
      </c>
    </row>
    <row r="448" spans="8:8" x14ac:dyDescent="0.25">
      <c r="H448" s="51" t="e">
        <f t="shared" si="6"/>
        <v>#DIV/0!</v>
      </c>
    </row>
    <row r="449" spans="8:8" x14ac:dyDescent="0.25">
      <c r="H449" s="51" t="e">
        <f t="shared" si="6"/>
        <v>#DIV/0!</v>
      </c>
    </row>
    <row r="450" spans="8:8" x14ac:dyDescent="0.25">
      <c r="H450" s="51" t="e">
        <f t="shared" si="6"/>
        <v>#DIV/0!</v>
      </c>
    </row>
    <row r="451" spans="8:8" x14ac:dyDescent="0.25">
      <c r="H451" s="51" t="e">
        <f t="shared" ref="H451:H477" si="7">(G451-G450)/G450</f>
        <v>#DIV/0!</v>
      </c>
    </row>
    <row r="452" spans="8:8" x14ac:dyDescent="0.25">
      <c r="H452" s="51" t="e">
        <f t="shared" si="7"/>
        <v>#DIV/0!</v>
      </c>
    </row>
    <row r="453" spans="8:8" x14ac:dyDescent="0.25">
      <c r="H453" s="51" t="e">
        <f t="shared" si="7"/>
        <v>#DIV/0!</v>
      </c>
    </row>
    <row r="454" spans="8:8" x14ac:dyDescent="0.25">
      <c r="H454" s="51" t="e">
        <f t="shared" si="7"/>
        <v>#DIV/0!</v>
      </c>
    </row>
    <row r="455" spans="8:8" x14ac:dyDescent="0.25">
      <c r="H455" s="51" t="e">
        <f t="shared" si="7"/>
        <v>#DIV/0!</v>
      </c>
    </row>
    <row r="456" spans="8:8" x14ac:dyDescent="0.25">
      <c r="H456" s="51" t="e">
        <f t="shared" si="7"/>
        <v>#DIV/0!</v>
      </c>
    </row>
    <row r="457" spans="8:8" x14ac:dyDescent="0.25">
      <c r="H457" s="51" t="e">
        <f t="shared" si="7"/>
        <v>#DIV/0!</v>
      </c>
    </row>
    <row r="458" spans="8:8" x14ac:dyDescent="0.25">
      <c r="H458" s="51" t="e">
        <f t="shared" si="7"/>
        <v>#DIV/0!</v>
      </c>
    </row>
    <row r="459" spans="8:8" x14ac:dyDescent="0.25">
      <c r="H459" s="51" t="e">
        <f t="shared" si="7"/>
        <v>#DIV/0!</v>
      </c>
    </row>
    <row r="460" spans="8:8" x14ac:dyDescent="0.25">
      <c r="H460" s="51" t="e">
        <f t="shared" si="7"/>
        <v>#DIV/0!</v>
      </c>
    </row>
    <row r="461" spans="8:8" x14ac:dyDescent="0.25">
      <c r="H461" s="51" t="e">
        <f t="shared" si="7"/>
        <v>#DIV/0!</v>
      </c>
    </row>
    <row r="462" spans="8:8" x14ac:dyDescent="0.25">
      <c r="H462" s="51" t="e">
        <f t="shared" si="7"/>
        <v>#DIV/0!</v>
      </c>
    </row>
    <row r="463" spans="8:8" x14ac:dyDescent="0.25">
      <c r="H463" s="51" t="e">
        <f t="shared" si="7"/>
        <v>#DIV/0!</v>
      </c>
    </row>
    <row r="464" spans="8:8" x14ac:dyDescent="0.25">
      <c r="H464" s="51" t="e">
        <f t="shared" si="7"/>
        <v>#DIV/0!</v>
      </c>
    </row>
    <row r="465" spans="8:8" x14ac:dyDescent="0.25">
      <c r="H465" s="51" t="e">
        <f t="shared" si="7"/>
        <v>#DIV/0!</v>
      </c>
    </row>
    <row r="466" spans="8:8" x14ac:dyDescent="0.25">
      <c r="H466" s="51" t="e">
        <f t="shared" si="7"/>
        <v>#DIV/0!</v>
      </c>
    </row>
    <row r="467" spans="8:8" x14ac:dyDescent="0.25">
      <c r="H467" s="51" t="e">
        <f t="shared" si="7"/>
        <v>#DIV/0!</v>
      </c>
    </row>
    <row r="468" spans="8:8" x14ac:dyDescent="0.25">
      <c r="H468" s="51" t="e">
        <f t="shared" si="7"/>
        <v>#DIV/0!</v>
      </c>
    </row>
    <row r="469" spans="8:8" x14ac:dyDescent="0.25">
      <c r="H469" s="51" t="e">
        <f t="shared" si="7"/>
        <v>#DIV/0!</v>
      </c>
    </row>
    <row r="470" spans="8:8" x14ac:dyDescent="0.25">
      <c r="H470" s="51" t="e">
        <f t="shared" si="7"/>
        <v>#DIV/0!</v>
      </c>
    </row>
    <row r="471" spans="8:8" x14ac:dyDescent="0.25">
      <c r="H471" s="51" t="e">
        <f t="shared" si="7"/>
        <v>#DIV/0!</v>
      </c>
    </row>
    <row r="472" spans="8:8" x14ac:dyDescent="0.25">
      <c r="H472" s="51" t="e">
        <f t="shared" si="7"/>
        <v>#DIV/0!</v>
      </c>
    </row>
    <row r="473" spans="8:8" x14ac:dyDescent="0.25">
      <c r="H473" s="51" t="e">
        <f t="shared" si="7"/>
        <v>#DIV/0!</v>
      </c>
    </row>
    <row r="474" spans="8:8" x14ac:dyDescent="0.25">
      <c r="H474" s="51" t="e">
        <f t="shared" si="7"/>
        <v>#DIV/0!</v>
      </c>
    </row>
    <row r="475" spans="8:8" x14ac:dyDescent="0.25">
      <c r="H475" s="51" t="e">
        <f t="shared" si="7"/>
        <v>#DIV/0!</v>
      </c>
    </row>
    <row r="476" spans="8:8" x14ac:dyDescent="0.25">
      <c r="H476" s="51" t="e">
        <f t="shared" si="7"/>
        <v>#DIV/0!</v>
      </c>
    </row>
    <row r="477" spans="8:8" x14ac:dyDescent="0.25">
      <c r="H477" s="51" t="e">
        <f t="shared" si="7"/>
        <v>#DIV/0!</v>
      </c>
    </row>
    <row r="478" spans="8:8" x14ac:dyDescent="0.25">
      <c r="H478" s="51" t="e">
        <f t="shared" ref="H478:H500" si="8">(G478-G477)/G477</f>
        <v>#DIV/0!</v>
      </c>
    </row>
    <row r="479" spans="8:8" x14ac:dyDescent="0.25">
      <c r="H479" s="51" t="e">
        <f t="shared" si="8"/>
        <v>#DIV/0!</v>
      </c>
    </row>
    <row r="480" spans="8:8" x14ac:dyDescent="0.25">
      <c r="H480" s="51" t="e">
        <f t="shared" si="8"/>
        <v>#DIV/0!</v>
      </c>
    </row>
    <row r="481" spans="8:8" x14ac:dyDescent="0.25">
      <c r="H481" s="51" t="e">
        <f t="shared" si="8"/>
        <v>#DIV/0!</v>
      </c>
    </row>
    <row r="482" spans="8:8" x14ac:dyDescent="0.25">
      <c r="H482" s="51" t="e">
        <f t="shared" si="8"/>
        <v>#DIV/0!</v>
      </c>
    </row>
    <row r="483" spans="8:8" x14ac:dyDescent="0.25">
      <c r="H483" s="51" t="e">
        <f t="shared" si="8"/>
        <v>#DIV/0!</v>
      </c>
    </row>
    <row r="484" spans="8:8" x14ac:dyDescent="0.25">
      <c r="H484" s="51" t="e">
        <f t="shared" si="8"/>
        <v>#DIV/0!</v>
      </c>
    </row>
    <row r="485" spans="8:8" x14ac:dyDescent="0.25">
      <c r="H485" s="51" t="e">
        <f t="shared" si="8"/>
        <v>#DIV/0!</v>
      </c>
    </row>
    <row r="486" spans="8:8" x14ac:dyDescent="0.25">
      <c r="H486" s="51" t="e">
        <f t="shared" si="8"/>
        <v>#DIV/0!</v>
      </c>
    </row>
    <row r="487" spans="8:8" x14ac:dyDescent="0.25">
      <c r="H487" s="51" t="e">
        <f t="shared" si="8"/>
        <v>#DIV/0!</v>
      </c>
    </row>
    <row r="488" spans="8:8" x14ac:dyDescent="0.25">
      <c r="H488" s="51" t="e">
        <f t="shared" si="8"/>
        <v>#DIV/0!</v>
      </c>
    </row>
    <row r="489" spans="8:8" x14ac:dyDescent="0.25">
      <c r="H489" s="51" t="e">
        <f t="shared" si="8"/>
        <v>#DIV/0!</v>
      </c>
    </row>
    <row r="490" spans="8:8" x14ac:dyDescent="0.25">
      <c r="H490" s="51" t="e">
        <f t="shared" si="8"/>
        <v>#DIV/0!</v>
      </c>
    </row>
    <row r="491" spans="8:8" x14ac:dyDescent="0.25">
      <c r="H491" s="51" t="e">
        <f t="shared" si="8"/>
        <v>#DIV/0!</v>
      </c>
    </row>
    <row r="492" spans="8:8" x14ac:dyDescent="0.25">
      <c r="H492" s="51" t="e">
        <f t="shared" si="8"/>
        <v>#DIV/0!</v>
      </c>
    </row>
    <row r="493" spans="8:8" x14ac:dyDescent="0.25">
      <c r="H493" s="51" t="e">
        <f t="shared" si="8"/>
        <v>#DIV/0!</v>
      </c>
    </row>
    <row r="494" spans="8:8" x14ac:dyDescent="0.25">
      <c r="H494" s="51" t="e">
        <f t="shared" si="8"/>
        <v>#DIV/0!</v>
      </c>
    </row>
    <row r="495" spans="8:8" x14ac:dyDescent="0.25">
      <c r="H495" s="51" t="e">
        <f t="shared" si="8"/>
        <v>#DIV/0!</v>
      </c>
    </row>
    <row r="496" spans="8:8" x14ac:dyDescent="0.25">
      <c r="H496" s="51" t="e">
        <f t="shared" si="8"/>
        <v>#DIV/0!</v>
      </c>
    </row>
    <row r="497" spans="8:8" x14ac:dyDescent="0.25">
      <c r="H497" s="51" t="e">
        <f t="shared" si="8"/>
        <v>#DIV/0!</v>
      </c>
    </row>
    <row r="498" spans="8:8" x14ac:dyDescent="0.25">
      <c r="H498" s="51" t="e">
        <f t="shared" si="8"/>
        <v>#DIV/0!</v>
      </c>
    </row>
    <row r="499" spans="8:8" x14ac:dyDescent="0.25">
      <c r="H499" s="51" t="e">
        <f t="shared" si="8"/>
        <v>#DIV/0!</v>
      </c>
    </row>
    <row r="500" spans="8:8" x14ac:dyDescent="0.25">
      <c r="H500" s="51" t="e">
        <f t="shared" si="8"/>
        <v>#DIV/0!</v>
      </c>
    </row>
    <row r="501" spans="8:8" x14ac:dyDescent="0.25">
      <c r="H501" s="51" t="e">
        <f>(G501-G500)/G500</f>
        <v>#DIV/0!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63F6-6C48-4EBB-84FE-F4B8936A937D}">
  <sheetPr codeName="Sheet3"/>
  <dimension ref="A1:P51"/>
  <sheetViews>
    <sheetView topLeftCell="A13" workbookViewId="0">
      <selection activeCell="A4" sqref="A4:A6"/>
    </sheetView>
  </sheetViews>
  <sheetFormatPr defaultRowHeight="15" x14ac:dyDescent="0.25"/>
  <sheetData>
    <row r="1" spans="1:5" x14ac:dyDescent="0.25">
      <c r="A1" t="s">
        <v>5</v>
      </c>
    </row>
    <row r="2" spans="1:5" x14ac:dyDescent="0.25">
      <c r="A2">
        <v>5</v>
      </c>
    </row>
    <row r="3" spans="1:5" x14ac:dyDescent="0.25">
      <c r="A3">
        <v>1</v>
      </c>
    </row>
    <row r="4" spans="1:5" x14ac:dyDescent="0.25">
      <c r="A4">
        <v>1</v>
      </c>
    </row>
    <row r="5" spans="1:5" x14ac:dyDescent="0.25">
      <c r="A5" t="s">
        <v>6</v>
      </c>
    </row>
    <row r="6" spans="1:5" x14ac:dyDescent="0.25">
      <c r="A6">
        <v>16</v>
      </c>
    </row>
    <row r="7" spans="1:5" x14ac:dyDescent="0.25">
      <c r="A7">
        <v>1.2527056984333182</v>
      </c>
      <c r="B7">
        <v>0.32039394818112593</v>
      </c>
      <c r="C7">
        <v>-0.53300658645357557</v>
      </c>
      <c r="D7">
        <v>-1.2560898957761633</v>
      </c>
      <c r="E7">
        <v>-0.63525382779889605</v>
      </c>
    </row>
    <row r="8" spans="1:5" x14ac:dyDescent="0.25">
      <c r="A8">
        <v>-2.1519891241261947E-2</v>
      </c>
      <c r="B8">
        <v>7.6519023673723929E-2</v>
      </c>
      <c r="C8">
        <v>-0.39040350417851333</v>
      </c>
      <c r="D8">
        <v>-4.6566068922074003E-2</v>
      </c>
      <c r="E8">
        <v>-1.0422158680956604E-2</v>
      </c>
    </row>
    <row r="9" spans="1:5" x14ac:dyDescent="0.25">
      <c r="A9">
        <v>0.11527600098263188</v>
      </c>
      <c r="B9">
        <v>0.35523902043925815</v>
      </c>
      <c r="C9">
        <v>-0.13235063890389365</v>
      </c>
      <c r="D9">
        <v>-8.2788034998140761E-2</v>
      </c>
      <c r="E9">
        <v>-0.1848714815160219</v>
      </c>
    </row>
    <row r="10" spans="1:5" x14ac:dyDescent="0.25">
      <c r="A10">
        <v>1.7780772384972094</v>
      </c>
      <c r="B10">
        <v>0.515320212771611</v>
      </c>
      <c r="C10">
        <v>0.84025719901842089</v>
      </c>
      <c r="D10">
        <v>4.8355694038017719E-2</v>
      </c>
      <c r="E10">
        <v>0.79791991003709994</v>
      </c>
    </row>
    <row r="11" spans="1:5" x14ac:dyDescent="0.25">
      <c r="A11">
        <v>1.6816234792431661</v>
      </c>
      <c r="B11">
        <v>0.35711575844243332</v>
      </c>
      <c r="C11">
        <v>-6.7040444344453817E-2</v>
      </c>
      <c r="D11">
        <v>-0.87542857206296698</v>
      </c>
      <c r="E11">
        <v>-0.38937197185564676</v>
      </c>
    </row>
    <row r="12" spans="1:5" x14ac:dyDescent="0.25">
      <c r="A12">
        <v>-3.3822270067294734E-2</v>
      </c>
      <c r="B12">
        <v>8.1729226807969249E-2</v>
      </c>
      <c r="C12">
        <v>0.13340900345851406</v>
      </c>
      <c r="D12">
        <v>8.7494649931163845E-3</v>
      </c>
      <c r="E12">
        <v>-0.2222814138467625</v>
      </c>
    </row>
    <row r="13" spans="1:5" x14ac:dyDescent="0.25">
      <c r="A13">
        <v>1.1779953152241438</v>
      </c>
      <c r="B13">
        <v>0.23668095391976904</v>
      </c>
      <c r="C13">
        <v>-0.48654012630570209</v>
      </c>
      <c r="D13">
        <v>-2.352352930530591</v>
      </c>
      <c r="E13">
        <v>-0.15717543879298318</v>
      </c>
    </row>
    <row r="14" spans="1:5" x14ac:dyDescent="0.25">
      <c r="A14">
        <v>7.3544278692516257E-2</v>
      </c>
      <c r="B14">
        <v>0.23628735088692432</v>
      </c>
      <c r="C14">
        <v>-2.0985966760906652E-2</v>
      </c>
      <c r="D14">
        <v>1.8437818624301848E-2</v>
      </c>
      <c r="E14">
        <v>-0.31388175073485958</v>
      </c>
    </row>
    <row r="15" spans="1:5" x14ac:dyDescent="0.25">
      <c r="A15">
        <v>-0.18317277137289514</v>
      </c>
      <c r="B15">
        <v>4.3122637411073667E-2</v>
      </c>
      <c r="C15">
        <v>-0.25363507341087804</v>
      </c>
      <c r="D15">
        <v>2.3525420788316063E-2</v>
      </c>
      <c r="E15">
        <v>5.8806505803737474E-2</v>
      </c>
    </row>
    <row r="16" spans="1:5" x14ac:dyDescent="0.25">
      <c r="A16">
        <v>1.5085948184895315</v>
      </c>
      <c r="B16">
        <v>0.28835946484415309</v>
      </c>
      <c r="C16">
        <v>-0.15304475480307353</v>
      </c>
      <c r="D16">
        <v>-2.2036772724951814</v>
      </c>
      <c r="E16">
        <v>-0.51188323078131204</v>
      </c>
    </row>
    <row r="17" spans="1:16" x14ac:dyDescent="0.25">
      <c r="A17">
        <v>1.5018682265496728</v>
      </c>
      <c r="B17">
        <v>0.40924048589977419</v>
      </c>
      <c r="C17">
        <v>-0.57953691494756088</v>
      </c>
      <c r="D17">
        <v>-0.98367102321939803</v>
      </c>
      <c r="E17">
        <v>-0.2014957202632067</v>
      </c>
    </row>
    <row r="18" spans="1:16" x14ac:dyDescent="0.25">
      <c r="A18">
        <v>1.3608164915029881</v>
      </c>
      <c r="B18">
        <v>0.31851051193254842</v>
      </c>
      <c r="C18">
        <v>0.74152399252983259</v>
      </c>
      <c r="D18">
        <v>0.28198678723397197</v>
      </c>
      <c r="E18">
        <v>0.3752534838730972</v>
      </c>
    </row>
    <row r="19" spans="1:16" x14ac:dyDescent="0.25">
      <c r="A19">
        <v>1.598851151391671</v>
      </c>
      <c r="B19">
        <v>0.34844512444449677</v>
      </c>
      <c r="C19">
        <v>-0.11027745285926518</v>
      </c>
      <c r="D19">
        <v>-1.0161523965154005</v>
      </c>
      <c r="E19">
        <v>-0.70165731268707754</v>
      </c>
    </row>
    <row r="20" spans="1:16" x14ac:dyDescent="0.25">
      <c r="A20">
        <v>1.5242542733854023</v>
      </c>
      <c r="B20">
        <v>0.38705007347951442</v>
      </c>
      <c r="C20">
        <v>-0.30232711307799703</v>
      </c>
      <c r="D20">
        <v>-1.1695583791633484</v>
      </c>
      <c r="E20">
        <v>-0.67445280351699066</v>
      </c>
    </row>
    <row r="21" spans="1:16" x14ac:dyDescent="0.25">
      <c r="A21">
        <v>1.5775718589999415</v>
      </c>
      <c r="B21">
        <v>0.42907735241206479</v>
      </c>
      <c r="C21">
        <v>1.3224277041129445E-2</v>
      </c>
      <c r="D21">
        <v>-2.1480810455046284</v>
      </c>
      <c r="E21">
        <v>-0.50231262980302394</v>
      </c>
    </row>
    <row r="22" spans="1:16" x14ac:dyDescent="0.25">
      <c r="A22">
        <v>6.3516634136348907E-2</v>
      </c>
      <c r="B22">
        <v>5.9774758109340166E-2</v>
      </c>
      <c r="C22">
        <v>0.1350854044898207</v>
      </c>
      <c r="D22">
        <v>0.24869028661736334</v>
      </c>
      <c r="E22">
        <v>0.19906421799408322</v>
      </c>
    </row>
    <row r="23" spans="1:16" x14ac:dyDescent="0.25">
      <c r="A23">
        <v>-6.9919258514654956E-2</v>
      </c>
      <c r="B23">
        <v>-0.20423350799289605</v>
      </c>
      <c r="C23">
        <v>-0.2298981528013106</v>
      </c>
      <c r="D23">
        <v>-2.3331034705396547E-2</v>
      </c>
      <c r="E23">
        <v>-0.18507978417531096</v>
      </c>
      <c r="F23">
        <v>1.2833664496275462E-4</v>
      </c>
      <c r="G23">
        <v>-0.13084763391020457</v>
      </c>
      <c r="H23">
        <v>3.5082799500261948E-2</v>
      </c>
      <c r="I23">
        <v>-0.10295975428155441</v>
      </c>
      <c r="J23">
        <v>-0.18187589332498635</v>
      </c>
      <c r="K23">
        <v>-5.0951607209847989E-2</v>
      </c>
      <c r="L23">
        <v>-0.10465515673964226</v>
      </c>
      <c r="M23">
        <v>-0.166054115892974</v>
      </c>
      <c r="N23">
        <v>-9.8712735025334106E-2</v>
      </c>
      <c r="O23">
        <v>-5.4300976766242064E-2</v>
      </c>
      <c r="P23">
        <v>0.24548364840714773</v>
      </c>
    </row>
    <row r="24" spans="1:16" x14ac:dyDescent="0.25">
      <c r="A24">
        <v>-1.7603511212519187</v>
      </c>
      <c r="B24">
        <v>4.8755651602833718E-2</v>
      </c>
      <c r="C24">
        <v>0.16486118840436012</v>
      </c>
      <c r="D24">
        <v>-3.0610101282513611</v>
      </c>
      <c r="E24">
        <v>-1.8177285854445879</v>
      </c>
      <c r="F24">
        <v>-4.480770549793231E-2</v>
      </c>
      <c r="G24">
        <v>-1.9665271153602293</v>
      </c>
      <c r="H24">
        <v>-8.2869807891696026E-2</v>
      </c>
      <c r="I24">
        <v>9.7741588341558244E-2</v>
      </c>
      <c r="J24">
        <v>-1.7468618822243103</v>
      </c>
      <c r="K24">
        <v>-2.5171671546696364</v>
      </c>
      <c r="L24">
        <v>-2.0676649891428016</v>
      </c>
      <c r="M24">
        <v>-1.9203489273670951</v>
      </c>
      <c r="N24">
        <v>-1.9285873858172209</v>
      </c>
      <c r="O24">
        <v>-2.2141555447767631</v>
      </c>
      <c r="P24">
        <v>0.3287255129226086</v>
      </c>
    </row>
    <row r="25" spans="1:16" x14ac:dyDescent="0.25">
      <c r="A25">
        <v>0.59414191830329688</v>
      </c>
      <c r="B25">
        <v>-0.47838325164896189</v>
      </c>
      <c r="C25">
        <v>0.24070461891814471</v>
      </c>
      <c r="D25">
        <v>0.43903585904130249</v>
      </c>
      <c r="E25">
        <v>-0.72720457651270165</v>
      </c>
      <c r="F25">
        <v>0.42948524725726905</v>
      </c>
      <c r="G25">
        <v>-0.56288005044531275</v>
      </c>
      <c r="H25">
        <v>0.33767982933342738</v>
      </c>
      <c r="I25">
        <v>-0.15846597313836502</v>
      </c>
      <c r="J25">
        <v>0.43320147101429118</v>
      </c>
      <c r="K25">
        <v>0.43952425859052735</v>
      </c>
      <c r="L25">
        <v>-1.6704455654761379</v>
      </c>
      <c r="M25">
        <v>0.4873163517631755</v>
      </c>
      <c r="N25">
        <v>0.80256122385405648</v>
      </c>
      <c r="O25">
        <v>0.31487583993067786</v>
      </c>
      <c r="P25">
        <v>0.41121505383162432</v>
      </c>
    </row>
    <row r="26" spans="1:16" x14ac:dyDescent="0.25">
      <c r="A26" t="s">
        <v>7</v>
      </c>
      <c r="B26">
        <v>-7.5517513919661092E-2</v>
      </c>
    </row>
    <row r="27" spans="1:16" x14ac:dyDescent="0.25">
      <c r="A27">
        <v>5</v>
      </c>
    </row>
    <row r="28" spans="1:16" x14ac:dyDescent="0.25">
      <c r="A28">
        <v>1</v>
      </c>
    </row>
    <row r="29" spans="1:16" x14ac:dyDescent="0.25">
      <c r="A29">
        <v>1</v>
      </c>
    </row>
    <row r="30" spans="1:16" x14ac:dyDescent="0.25">
      <c r="A30" t="s">
        <v>6</v>
      </c>
    </row>
    <row r="31" spans="1:16" x14ac:dyDescent="0.25">
      <c r="A31">
        <v>16</v>
      </c>
    </row>
    <row r="32" spans="1:16" x14ac:dyDescent="0.25">
      <c r="A32">
        <v>-1.6569981706637402</v>
      </c>
      <c r="B32">
        <v>-0.49117414649576502</v>
      </c>
      <c r="C32">
        <v>-0.15386807406058986</v>
      </c>
      <c r="D32">
        <v>-4.7608181879751743E-2</v>
      </c>
      <c r="E32">
        <v>0.32109447853430584</v>
      </c>
    </row>
    <row r="33" spans="1:16" x14ac:dyDescent="0.25">
      <c r="A33">
        <v>6.5377646161992695E-2</v>
      </c>
      <c r="B33">
        <v>0.43241968226460287</v>
      </c>
      <c r="C33">
        <v>0.10301002896822291</v>
      </c>
      <c r="D33">
        <v>0.31298978812970407</v>
      </c>
      <c r="E33">
        <v>6.2456814549165969E-2</v>
      </c>
    </row>
    <row r="34" spans="1:16" x14ac:dyDescent="0.25">
      <c r="A34">
        <v>-0.27433982591280248</v>
      </c>
      <c r="B34">
        <v>-0.46948621020240805</v>
      </c>
      <c r="C34">
        <v>-0.33154739097159014</v>
      </c>
      <c r="D34">
        <v>-5.7547318753294724E-4</v>
      </c>
      <c r="E34">
        <v>-0.54367719269893522</v>
      </c>
    </row>
    <row r="35" spans="1:16" x14ac:dyDescent="0.25">
      <c r="A35">
        <v>-0.29987586698641427</v>
      </c>
      <c r="B35">
        <v>0.27699460987880953</v>
      </c>
      <c r="C35">
        <v>9.9975147386293317E-2</v>
      </c>
      <c r="D35">
        <v>0.32232263812052669</v>
      </c>
      <c r="E35">
        <v>2.8070294459113229E-2</v>
      </c>
    </row>
    <row r="36" spans="1:16" x14ac:dyDescent="0.25">
      <c r="A36">
        <v>-0.39741407551982455</v>
      </c>
      <c r="B36">
        <v>-0.79756352912764195</v>
      </c>
      <c r="C36">
        <v>-0.27202608781490706</v>
      </c>
      <c r="D36">
        <v>-0.51977495487819803</v>
      </c>
      <c r="E36">
        <v>9.0251084139612636E-2</v>
      </c>
    </row>
    <row r="37" spans="1:16" x14ac:dyDescent="0.25">
      <c r="A37">
        <v>-0.44298391128344894</v>
      </c>
      <c r="B37">
        <v>-0.4542216982447016</v>
      </c>
      <c r="C37">
        <v>-0.49672086376066987</v>
      </c>
      <c r="D37">
        <v>0.14506029692657804</v>
      </c>
      <c r="E37">
        <v>-0.4044258546347636</v>
      </c>
    </row>
    <row r="38" spans="1:16" x14ac:dyDescent="0.25">
      <c r="A38">
        <v>-0.23360056805663326</v>
      </c>
      <c r="B38">
        <v>-0.2734530825064091</v>
      </c>
      <c r="C38">
        <v>-0.40336624883820682</v>
      </c>
      <c r="D38">
        <v>-4.4727877810391411E-3</v>
      </c>
      <c r="E38">
        <v>-0.37356377409244207</v>
      </c>
    </row>
    <row r="39" spans="1:16" x14ac:dyDescent="0.25">
      <c r="A39">
        <v>-0.92685438211921567</v>
      </c>
      <c r="B39">
        <v>-0.18720180392928401</v>
      </c>
      <c r="C39">
        <v>3.5322546622438514E-2</v>
      </c>
      <c r="D39">
        <v>0.51573284905814931</v>
      </c>
      <c r="E39">
        <v>0.48887395281401796</v>
      </c>
    </row>
    <row r="40" spans="1:16" x14ac:dyDescent="0.25">
      <c r="A40">
        <v>0.40904982442108107</v>
      </c>
      <c r="B40">
        <v>0.62036321815953988</v>
      </c>
      <c r="C40">
        <v>0.49572206651294226</v>
      </c>
      <c r="D40">
        <v>-0.16354156681137025</v>
      </c>
      <c r="E40">
        <v>0.18118428474634296</v>
      </c>
    </row>
    <row r="41" spans="1:16" x14ac:dyDescent="0.25">
      <c r="A41">
        <v>0.2292139394380886</v>
      </c>
      <c r="B41">
        <v>-6.5749181540798368E-2</v>
      </c>
      <c r="C41">
        <v>-2.1070865878404597E-2</v>
      </c>
      <c r="D41">
        <v>0.11646405141877948</v>
      </c>
      <c r="E41">
        <v>8.5104713496947523E-2</v>
      </c>
    </row>
    <row r="42" spans="1:16" x14ac:dyDescent="0.25">
      <c r="A42">
        <v>0.44746425849572019</v>
      </c>
      <c r="B42">
        <v>0.54644470579655624</v>
      </c>
      <c r="C42">
        <v>0.57934093607506398</v>
      </c>
      <c r="D42">
        <v>-6.8648079185969796E-2</v>
      </c>
      <c r="E42">
        <v>0.33642360516090608</v>
      </c>
    </row>
    <row r="43" spans="1:16" x14ac:dyDescent="0.25">
      <c r="A43">
        <v>-2.8813890544675557E-3</v>
      </c>
      <c r="B43">
        <v>-0.5317538889200516</v>
      </c>
      <c r="C43">
        <v>5.2776764314857783E-2</v>
      </c>
      <c r="D43">
        <v>-0.51239994568015423</v>
      </c>
      <c r="E43">
        <v>0.13937828082088255</v>
      </c>
    </row>
    <row r="44" spans="1:16" x14ac:dyDescent="0.25">
      <c r="A44">
        <v>-3.9403850993179765E-2</v>
      </c>
      <c r="B44">
        <v>-0.45721183492242629</v>
      </c>
      <c r="C44">
        <v>-0.12555894991238345</v>
      </c>
      <c r="D44">
        <v>-0.32889957823111843</v>
      </c>
      <c r="E44">
        <v>-0.30028282043898846</v>
      </c>
    </row>
    <row r="45" spans="1:16" x14ac:dyDescent="0.25">
      <c r="A45">
        <v>-0.13898102701355755</v>
      </c>
      <c r="B45">
        <v>-0.54350590036555602</v>
      </c>
      <c r="C45">
        <v>-2.5057409841185482E-2</v>
      </c>
      <c r="D45">
        <v>-0.45333333474422494</v>
      </c>
      <c r="E45">
        <v>-0.37495721255155717</v>
      </c>
    </row>
    <row r="46" spans="1:16" x14ac:dyDescent="0.25">
      <c r="A46">
        <v>-1.1452106042626253</v>
      </c>
      <c r="B46">
        <v>-0.42967600677347423</v>
      </c>
      <c r="C46">
        <v>0.12220253419722102</v>
      </c>
      <c r="D46">
        <v>9.7492663471028751E-2</v>
      </c>
      <c r="E46">
        <v>0.26785552052822736</v>
      </c>
    </row>
    <row r="47" spans="1:16" x14ac:dyDescent="0.25">
      <c r="A47">
        <v>-4.3379933728962705E-2</v>
      </c>
      <c r="B47">
        <v>-0.32800266201999756</v>
      </c>
      <c r="C47">
        <v>0.35112384087345699</v>
      </c>
      <c r="D47">
        <v>0.23914659922428966</v>
      </c>
      <c r="E47">
        <v>-0.13359739298282869</v>
      </c>
    </row>
    <row r="48" spans="1:16" x14ac:dyDescent="0.25">
      <c r="A48">
        <v>-0.11175482311640948</v>
      </c>
      <c r="B48">
        <v>-4.4174002957795486E-2</v>
      </c>
      <c r="C48">
        <v>-3.2641861724482461E-2</v>
      </c>
      <c r="D48">
        <v>-0.18638558795907628</v>
      </c>
      <c r="E48">
        <v>8.1942966623828259E-2</v>
      </c>
      <c r="F48">
        <v>0.21256194852498395</v>
      </c>
      <c r="G48">
        <v>8.2630522794747155E-2</v>
      </c>
      <c r="H48">
        <v>4.5156807884629342E-2</v>
      </c>
      <c r="I48">
        <v>1.6164994032112107E-2</v>
      </c>
      <c r="J48">
        <v>0.4407368848961366</v>
      </c>
      <c r="K48">
        <v>-9.7594712896981364E-2</v>
      </c>
      <c r="L48">
        <v>0.17855130124783791</v>
      </c>
      <c r="M48">
        <v>5.6188123405073946E-2</v>
      </c>
      <c r="N48">
        <v>-8.1797086407962613E-2</v>
      </c>
      <c r="O48">
        <v>-8.0419147334526112E-2</v>
      </c>
      <c r="P48">
        <v>0.43642792268635067</v>
      </c>
    </row>
    <row r="49" spans="1:16" x14ac:dyDescent="0.25">
      <c r="A49">
        <v>0.91307095045333531</v>
      </c>
      <c r="B49">
        <v>-0.37592881510024861</v>
      </c>
      <c r="C49">
        <v>-0.58206167613132986</v>
      </c>
      <c r="D49">
        <v>-0.16177375261262258</v>
      </c>
      <c r="E49">
        <v>0.42722460759683917</v>
      </c>
      <c r="F49">
        <v>-0.32892175396234019</v>
      </c>
      <c r="G49">
        <v>-0.22413832025309219</v>
      </c>
      <c r="H49">
        <v>0.46760086897586517</v>
      </c>
      <c r="I49">
        <v>-0.68578735801542379</v>
      </c>
      <c r="J49">
        <v>-0.35010624462104828</v>
      </c>
      <c r="K49">
        <v>-0.84965257337805256</v>
      </c>
      <c r="L49">
        <v>0.24035004624854303</v>
      </c>
      <c r="M49">
        <v>0.31624872439277368</v>
      </c>
      <c r="N49">
        <v>0.49510345155759133</v>
      </c>
      <c r="O49">
        <v>0.76561971740493373</v>
      </c>
      <c r="P49">
        <v>-0.271690541846135</v>
      </c>
    </row>
    <row r="50" spans="1:16" x14ac:dyDescent="0.25">
      <c r="A50">
        <v>-7.5911000784928725E-2</v>
      </c>
      <c r="B50">
        <v>-0.79613916549860841</v>
      </c>
      <c r="C50">
        <v>0.53965311805288219</v>
      </c>
      <c r="D50">
        <v>-0.17302702715185644</v>
      </c>
      <c r="E50">
        <v>-2.9582372526545768E-2</v>
      </c>
      <c r="F50">
        <v>-0.48787742598198724</v>
      </c>
      <c r="G50">
        <v>-3.0751850839554065</v>
      </c>
      <c r="H50">
        <v>2.4521641258989075</v>
      </c>
      <c r="I50">
        <v>-0.91047129077249778</v>
      </c>
      <c r="J50">
        <v>2.5455016199895151</v>
      </c>
      <c r="K50">
        <v>-0.69029755528642522</v>
      </c>
      <c r="L50">
        <v>-0.62955258729990315</v>
      </c>
      <c r="M50">
        <v>2.1875159026839133</v>
      </c>
      <c r="N50">
        <v>-1.0468002716796299</v>
      </c>
      <c r="O50">
        <v>0.39296896590647412</v>
      </c>
      <c r="P50">
        <v>-1.5782717525749734</v>
      </c>
    </row>
    <row r="51" spans="1:16" x14ac:dyDescent="0.25">
      <c r="A51">
        <v>-0.22607934045578412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28E7-DDA9-49E9-A7FA-BF4906B9DDA0}">
  <sheetPr codeName="Sheet6"/>
  <dimension ref="B2:L33"/>
  <sheetViews>
    <sheetView workbookViewId="0">
      <selection activeCell="G29" sqref="G29"/>
    </sheetView>
  </sheetViews>
  <sheetFormatPr defaultRowHeight="15" x14ac:dyDescent="0.25"/>
  <cols>
    <col min="3" max="12" width="9.140625" customWidth="1"/>
    <col min="13" max="16" width="4" customWidth="1"/>
  </cols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ht="18" customHeight="1" x14ac:dyDescent="0.25">
      <c r="B3" s="14">
        <v>20</v>
      </c>
      <c r="C3" s="47">
        <v>3.1093172244191163E-8</v>
      </c>
      <c r="D3" s="48">
        <v>1.6958296312767201E-8</v>
      </c>
      <c r="E3" s="47">
        <v>9.249098474904474E-9</v>
      </c>
      <c r="F3" s="47">
        <v>5.0444821060399638E-9</v>
      </c>
      <c r="G3" s="47">
        <v>2.7512735147715218E-9</v>
      </c>
      <c r="H3" s="47">
        <v>1.5005516495199439E-9</v>
      </c>
      <c r="I3" s="47">
        <v>8.1840472766801062E-10</v>
      </c>
      <c r="J3" s="15">
        <v>4.463600425056504E-10</v>
      </c>
      <c r="K3" s="15">
        <v>2.4344591468778804E-10</v>
      </c>
      <c r="L3" s="15">
        <v>1.3277602771076132E-10</v>
      </c>
    </row>
    <row r="4" spans="2:12" ht="18" customHeight="1" x14ac:dyDescent="0.25">
      <c r="B4" s="14">
        <v>19</v>
      </c>
      <c r="C4" s="47">
        <v>1.5196165304292475E-7</v>
      </c>
      <c r="D4" s="47">
        <v>8.2880281942251837E-8</v>
      </c>
      <c r="E4" s="47">
        <v>4.520312053440739E-8</v>
      </c>
      <c r="F4" s="48">
        <v>2.4653898649548355E-8</v>
      </c>
      <c r="G4" s="48">
        <v>1.3446299851833766E-8</v>
      </c>
      <c r="H4" s="47">
        <v>7.3336465503623799E-9</v>
      </c>
      <c r="I4" s="48">
        <v>3.9997896944754727E-9</v>
      </c>
      <c r="J4" s="15">
        <v>2.1814955855753778E-9</v>
      </c>
      <c r="K4" s="15">
        <v>1.1897933015138858E-9</v>
      </c>
      <c r="L4" s="15">
        <v>6.4891632559309484E-10</v>
      </c>
    </row>
    <row r="5" spans="2:12" ht="18" customHeight="1" x14ac:dyDescent="0.25">
      <c r="B5" s="14">
        <v>18</v>
      </c>
      <c r="C5" s="48">
        <v>7.4268180049954821E-7</v>
      </c>
      <c r="D5" s="48">
        <v>4.0506069995840311E-7</v>
      </c>
      <c r="E5" s="48">
        <v>2.2092118772541073E-7</v>
      </c>
      <c r="F5" s="47">
        <v>1.204909958075047E-7</v>
      </c>
      <c r="G5" s="47">
        <v>6.5716102458681381E-8</v>
      </c>
      <c r="H5" s="47">
        <v>3.5841732287811014E-8</v>
      </c>
      <c r="I5" s="48">
        <v>1.9548173246465842E-8</v>
      </c>
      <c r="J5" s="15">
        <v>1.0661624035770928E-8</v>
      </c>
      <c r="K5" s="15">
        <v>5.8148771850829483E-9</v>
      </c>
      <c r="L5" s="15">
        <v>3.1714489734070788E-9</v>
      </c>
    </row>
    <row r="6" spans="2:12" ht="18" customHeight="1" x14ac:dyDescent="0.25">
      <c r="B6" s="14">
        <v>17</v>
      </c>
      <c r="C6" s="47">
        <v>3.6296985401500506E-6</v>
      </c>
      <c r="D6" s="47">
        <v>1.9796501811729954E-6</v>
      </c>
      <c r="E6" s="47">
        <v>1.0797072695657592E-6</v>
      </c>
      <c r="F6" s="47">
        <v>5.8887540945890025E-7</v>
      </c>
      <c r="G6" s="48">
        <v>3.2117424811706934E-7</v>
      </c>
      <c r="H6" s="48">
        <v>1.7516928613987302E-7</v>
      </c>
      <c r="I6" s="47">
        <v>9.553778657542226E-8</v>
      </c>
      <c r="J6" s="15">
        <v>5.2106556659857071E-8</v>
      </c>
      <c r="K6" s="15">
        <v>2.8419050625559448E-8</v>
      </c>
      <c r="L6" s="15">
        <v>1.549982346815504E-8</v>
      </c>
    </row>
    <row r="7" spans="2:12" ht="18" customHeight="1" x14ac:dyDescent="0.25">
      <c r="B7" s="14">
        <v>16</v>
      </c>
      <c r="C7" s="47">
        <v>1.7739176629536254E-5</v>
      </c>
      <c r="D7" s="48">
        <v>9.6750705573229251E-6</v>
      </c>
      <c r="E7" s="48">
        <v>5.276831562514287E-6</v>
      </c>
      <c r="F7" s="48">
        <v>2.8780044031780758E-6</v>
      </c>
      <c r="G7" s="47">
        <v>1.5696730536223394E-6</v>
      </c>
      <c r="H7" s="47">
        <v>8.5610432948707325E-7</v>
      </c>
      <c r="I7" s="47">
        <v>4.6692168380380199E-7</v>
      </c>
      <c r="J7" s="15">
        <v>2.5466034071468283E-7</v>
      </c>
      <c r="K7" s="15">
        <v>1.3889242055930021E-7</v>
      </c>
      <c r="L7" s="15">
        <v>7.5752288006189854E-8</v>
      </c>
    </row>
    <row r="8" spans="2:12" ht="18" customHeight="1" x14ac:dyDescent="0.25">
      <c r="B8" s="14">
        <v>15</v>
      </c>
      <c r="C8" s="47">
        <v>8.6690706071777433E-5</v>
      </c>
      <c r="D8" s="48">
        <v>4.7283197348085547E-5</v>
      </c>
      <c r="E8" s="47">
        <v>2.5788931712798697E-5</v>
      </c>
      <c r="F8" s="47">
        <v>1.4065514549868302E-5</v>
      </c>
      <c r="G8" s="47">
        <v>7.6714168458200058E-6</v>
      </c>
      <c r="H8" s="47">
        <v>4.1840250599836259E-6</v>
      </c>
      <c r="I8" s="47">
        <v>2.2819823640077837E-6</v>
      </c>
      <c r="J8" s="15">
        <v>1.2446003387395414E-6</v>
      </c>
      <c r="K8" s="15">
        <v>6.7880860830174856E-7</v>
      </c>
      <c r="L8" s="15">
        <v>3.7022407422355783E-7</v>
      </c>
    </row>
    <row r="9" spans="2:12" ht="18" customHeight="1" x14ac:dyDescent="0.25">
      <c r="B9" s="14">
        <v>14</v>
      </c>
      <c r="C9" s="47">
        <v>4.2354078741997994E-4</v>
      </c>
      <c r="D9" s="47">
        <v>2.3104471973144891E-4</v>
      </c>
      <c r="E9" s="47">
        <v>1.2602562085249166E-4</v>
      </c>
      <c r="F9" s="48">
        <v>6.8738635686363186E-5</v>
      </c>
      <c r="G9" s="47">
        <v>3.7491400155986347E-5</v>
      </c>
      <c r="H9" s="47">
        <v>2.0448254533759475E-5</v>
      </c>
      <c r="I9" s="47">
        <v>1.115263426076022E-5</v>
      </c>
      <c r="J9" s="15">
        <v>6.0827062349171154E-6</v>
      </c>
      <c r="K9" s="15">
        <v>3.3175327908940917E-6</v>
      </c>
      <c r="L9" s="15">
        <v>1.8093936413429917E-6</v>
      </c>
    </row>
    <row r="10" spans="2:12" x14ac:dyDescent="0.25">
      <c r="B10" s="14">
        <v>13</v>
      </c>
      <c r="C10" s="15">
        <v>2.0665685751136268E-3</v>
      </c>
      <c r="D10" s="15">
        <v>1.1281716819007172E-3</v>
      </c>
      <c r="E10" s="15">
        <v>6.1562346657522522E-4</v>
      </c>
      <c r="F10" s="15">
        <v>3.3585661436668284E-4</v>
      </c>
      <c r="G10" s="15">
        <v>1.8320503252328317E-4</v>
      </c>
      <c r="H10" s="15">
        <v>9.9928818227915242E-5</v>
      </c>
      <c r="I10" s="15">
        <v>5.4503910318137517E-5</v>
      </c>
      <c r="J10" s="15">
        <v>2.9727309364053626E-5</v>
      </c>
      <c r="K10" s="15">
        <v>1.6213570056530428E-5</v>
      </c>
      <c r="L10" s="15">
        <v>8.8429879675303781E-6</v>
      </c>
    </row>
    <row r="11" spans="2:12" x14ac:dyDescent="0.25">
      <c r="B11" s="14">
        <v>12</v>
      </c>
      <c r="C11" s="15">
        <v>1.0019451321351572E-2</v>
      </c>
      <c r="D11" s="15">
        <v>5.4896388067631405E-3</v>
      </c>
      <c r="E11" s="15">
        <v>3.0015537218977617E-3</v>
      </c>
      <c r="F11" s="15">
        <v>1.6392919275538555E-3</v>
      </c>
      <c r="G11" s="15">
        <v>8.947408082711915E-4</v>
      </c>
      <c r="H11" s="15">
        <v>4.8819250771250927E-4</v>
      </c>
      <c r="I11" s="15">
        <v>2.6632055350322102E-4</v>
      </c>
      <c r="J11" s="15">
        <v>1.452695020906437E-4</v>
      </c>
      <c r="K11" s="15">
        <v>7.9235592534473374E-5</v>
      </c>
      <c r="L11" s="15">
        <v>4.3216852542742776E-5</v>
      </c>
    </row>
    <row r="12" spans="2:12" x14ac:dyDescent="0.25">
      <c r="B12" s="14">
        <v>11</v>
      </c>
      <c r="C12" s="15">
        <v>4.7132328885410434E-2</v>
      </c>
      <c r="D12" s="15">
        <v>2.6268937785575406E-2</v>
      </c>
      <c r="E12" s="15">
        <v>1.4500305827852963E-2</v>
      </c>
      <c r="F12" s="15">
        <v>7.9609812847760506E-3</v>
      </c>
      <c r="G12" s="15">
        <v>4.3577103932874554E-3</v>
      </c>
      <c r="H12" s="15">
        <v>2.3814240613000766E-3</v>
      </c>
      <c r="I12" s="15">
        <v>1.3002424334385653E-3</v>
      </c>
      <c r="J12" s="15">
        <v>7.0957498618091669E-4</v>
      </c>
      <c r="K12" s="15">
        <v>3.8712889810647687E-4</v>
      </c>
      <c r="L12" s="15">
        <v>2.1117826101579894E-4</v>
      </c>
    </row>
    <row r="13" spans="2:12" x14ac:dyDescent="0.25">
      <c r="B13" s="14">
        <v>10</v>
      </c>
      <c r="C13" s="15">
        <v>0.19468089647159767</v>
      </c>
      <c r="D13" s="15">
        <v>0.11648889585379558</v>
      </c>
      <c r="E13" s="15">
        <v>6.7085914954065726E-2</v>
      </c>
      <c r="F13" s="15">
        <v>3.7739783849763106E-2</v>
      </c>
      <c r="G13" s="15">
        <v>2.094267624247724E-2</v>
      </c>
      <c r="H13" s="15">
        <v>1.1531979518475934E-2</v>
      </c>
      <c r="I13" s="15">
        <v>6.322717541147555E-3</v>
      </c>
      <c r="J13" s="15">
        <v>3.4583667536445223E-3</v>
      </c>
      <c r="K13" s="15">
        <v>1.8891722075816933E-3</v>
      </c>
      <c r="L13" s="15">
        <v>1.0312450249591429E-3</v>
      </c>
    </row>
    <row r="14" spans="2:12" x14ac:dyDescent="0.25">
      <c r="B14" s="14">
        <v>9</v>
      </c>
      <c r="C14" s="15">
        <v>0.54159446532727684</v>
      </c>
      <c r="D14" s="15">
        <v>0.39186778154784896</v>
      </c>
      <c r="E14" s="15">
        <v>0.2600518797947573</v>
      </c>
      <c r="F14" s="15">
        <v>0.16084827213281311</v>
      </c>
      <c r="G14" s="15">
        <v>9.4647824673699893E-2</v>
      </c>
      <c r="H14" s="15">
        <v>5.3942115846562874E-2</v>
      </c>
      <c r="I14" s="15">
        <v>3.0159744308835109E-2</v>
      </c>
      <c r="J14" s="15">
        <v>1.6677864645105539E-2</v>
      </c>
      <c r="K14" s="15">
        <v>9.1656415274526965E-3</v>
      </c>
      <c r="L14" s="15">
        <v>5.0198806728727167E-3</v>
      </c>
    </row>
    <row r="15" spans="2:12" x14ac:dyDescent="0.25">
      <c r="B15" s="14">
        <v>8</v>
      </c>
      <c r="C15" s="15">
        <v>0.65784741949362924</v>
      </c>
      <c r="D15" s="15">
        <v>0.65201121792810413</v>
      </c>
      <c r="E15" s="15">
        <v>0.6239759086820198</v>
      </c>
      <c r="F15" s="15">
        <v>0.48368330876086979</v>
      </c>
      <c r="G15" s="15">
        <v>0.33815633747053525</v>
      </c>
      <c r="H15" s="15">
        <v>0.2179331022748601</v>
      </c>
      <c r="I15" s="15">
        <v>0.1319320206889574</v>
      </c>
      <c r="J15" s="15">
        <v>7.6547045589905938E-2</v>
      </c>
      <c r="K15" s="15">
        <v>4.3254116074226995E-2</v>
      </c>
      <c r="L15" s="15">
        <v>2.4064083221266103E-2</v>
      </c>
    </row>
    <row r="16" spans="2:12" x14ac:dyDescent="0.25">
      <c r="B16" s="14">
        <v>7</v>
      </c>
      <c r="C16" s="15">
        <v>0.65761239808732275</v>
      </c>
      <c r="D16" s="15">
        <v>0.65795642317034519</v>
      </c>
      <c r="E16" s="15">
        <v>0.65830028219557823</v>
      </c>
      <c r="F16" s="15">
        <v>0.65864397488194326</v>
      </c>
      <c r="G16" s="15">
        <v>0.65766087300347553</v>
      </c>
      <c r="H16" s="15">
        <v>0.57661379567449722</v>
      </c>
      <c r="I16" s="15">
        <v>0.42620709804526247</v>
      </c>
      <c r="J16" s="15">
        <v>0.28831654112883304</v>
      </c>
      <c r="K16" s="15">
        <v>0.18096764209588542</v>
      </c>
      <c r="L16" s="15">
        <v>0.10754790653404978</v>
      </c>
    </row>
    <row r="17" spans="2:12" x14ac:dyDescent="0.25">
      <c r="B17" s="14">
        <v>6</v>
      </c>
      <c r="C17" s="15">
        <v>0.65737729932570954</v>
      </c>
      <c r="D17" s="15">
        <v>0.65772143768084479</v>
      </c>
      <c r="E17" s="15">
        <v>0.65806541017057441</v>
      </c>
      <c r="F17" s="15">
        <v>0.65840921651336937</v>
      </c>
      <c r="G17" s="15">
        <v>0.65875285642836012</v>
      </c>
      <c r="H17" s="15">
        <v>0.65909632963533771</v>
      </c>
      <c r="I17" s="15">
        <v>0.65943963585475385</v>
      </c>
      <c r="J17" s="15">
        <v>0.63803315674628414</v>
      </c>
      <c r="K17" s="15">
        <v>0.51919923668470203</v>
      </c>
      <c r="L17" s="15">
        <v>0.37065768596770704</v>
      </c>
    </row>
    <row r="18" spans="2:12" x14ac:dyDescent="0.25">
      <c r="B18" s="14">
        <v>5</v>
      </c>
      <c r="C18" s="15">
        <v>0.65714212329877109</v>
      </c>
      <c r="D18" s="15">
        <v>0.65748637479434269</v>
      </c>
      <c r="E18" s="15">
        <v>0.6578304606172003</v>
      </c>
      <c r="F18" s="15">
        <v>0.65817438048536436</v>
      </c>
      <c r="G18" s="15">
        <v>0.6585181341175147</v>
      </c>
      <c r="H18" s="15">
        <v>0.65886172123299103</v>
      </c>
      <c r="I18" s="15">
        <v>0.65920514155179366</v>
      </c>
      <c r="J18" s="15">
        <v>0.65954839479458416</v>
      </c>
      <c r="K18" s="15">
        <v>0.65989148068268588</v>
      </c>
      <c r="L18" s="15">
        <v>0.6540744688465957</v>
      </c>
    </row>
    <row r="19" spans="2:12" x14ac:dyDescent="0.25">
      <c r="B19" s="14">
        <v>4</v>
      </c>
      <c r="C19" s="15">
        <v>0.65690687009663185</v>
      </c>
      <c r="D19" s="15">
        <v>0.65725123460075374</v>
      </c>
      <c r="E19" s="15">
        <v>0.65759543362516049</v>
      </c>
      <c r="F19" s="15">
        <v>0.65793946688742255</v>
      </c>
      <c r="G19" s="15">
        <v>0.65828333410576934</v>
      </c>
      <c r="H19" s="15">
        <v>0.65862703499908948</v>
      </c>
      <c r="I19" s="15">
        <v>0.6589705692869321</v>
      </c>
      <c r="J19" s="15">
        <v>0.65931393668950711</v>
      </c>
      <c r="K19" s="15">
        <v>0.65965713692768557</v>
      </c>
      <c r="L19" s="15">
        <v>0.66000016972300068</v>
      </c>
    </row>
    <row r="20" spans="2:12" x14ac:dyDescent="0.25">
      <c r="B20" s="14">
        <v>3</v>
      </c>
      <c r="C20" s="15">
        <v>0.65667153980955995</v>
      </c>
      <c r="D20" s="15">
        <v>0.65701601719013603</v>
      </c>
      <c r="E20" s="15">
        <v>0.6573603292843031</v>
      </c>
      <c r="F20" s="15">
        <v>0.6577044758091819</v>
      </c>
      <c r="G20" s="15">
        <v>0.65804845648255139</v>
      </c>
      <c r="H20" s="15">
        <v>0.65839227102284992</v>
      </c>
      <c r="I20" s="15">
        <v>0.6587359191491754</v>
      </c>
      <c r="J20" s="15">
        <v>0.65907940058128633</v>
      </c>
      <c r="K20" s="15">
        <v>0.65942271503960193</v>
      </c>
      <c r="L20" s="15">
        <v>0.65976586224520306</v>
      </c>
    </row>
    <row r="21" spans="2:12" x14ac:dyDescent="0.25">
      <c r="B21" s="14">
        <v>2</v>
      </c>
      <c r="C21" s="15">
        <v>0.65643613252796662</v>
      </c>
      <c r="D21" s="15">
        <v>0.65678072265269116</v>
      </c>
      <c r="E21" s="15">
        <v>0.65712514768461994</v>
      </c>
      <c r="F21" s="15">
        <v>0.65746940734042403</v>
      </c>
      <c r="G21" s="15">
        <v>0.65781350133743244</v>
      </c>
      <c r="H21" s="15">
        <v>0.65815742939363331</v>
      </c>
      <c r="I21" s="15">
        <v>0.65850119122767381</v>
      </c>
      <c r="J21" s="15">
        <v>0.65884478655886125</v>
      </c>
      <c r="K21" s="15">
        <v>0.65918821510716319</v>
      </c>
      <c r="L21" s="15">
        <v>0.65953147659320865</v>
      </c>
    </row>
    <row r="22" spans="2:12" x14ac:dyDescent="0.25">
      <c r="B22" s="14">
        <v>1</v>
      </c>
      <c r="C22" s="15">
        <v>0.65620064834240599</v>
      </c>
      <c r="D22" s="15">
        <v>0.65654535107876399</v>
      </c>
      <c r="E22" s="15">
        <v>0.656889888916246</v>
      </c>
      <c r="F22" s="15">
        <v>0.6572342615710739</v>
      </c>
      <c r="G22" s="15">
        <v>0.65757846876012738</v>
      </c>
      <c r="H22" s="15">
        <v>0.65792251020094428</v>
      </c>
      <c r="I22" s="15">
        <v>0.65826638561172146</v>
      </c>
      <c r="J22" s="15">
        <v>0.65861009471131515</v>
      </c>
      <c r="K22" s="15">
        <v>0.65895363721924194</v>
      </c>
      <c r="L22" s="15">
        <v>0.65929701285567888</v>
      </c>
    </row>
    <row r="23" spans="2:12" x14ac:dyDescent="0.25">
      <c r="B23" s="14">
        <v>0</v>
      </c>
      <c r="C23" s="15">
        <v>0.65596508734357561</v>
      </c>
      <c r="D23" s="15">
        <v>0.65630990255884225</v>
      </c>
      <c r="E23" s="15">
        <v>0.65665455306945941</v>
      </c>
      <c r="F23" s="15">
        <v>0.65699903859120012</v>
      </c>
      <c r="G23" s="15">
        <v>0.65734335884049466</v>
      </c>
      <c r="H23" s="15">
        <v>0.65768751353443111</v>
      </c>
      <c r="I23" s="15">
        <v>0.65803150239075614</v>
      </c>
      <c r="J23" s="15">
        <v>0.65837532512787555</v>
      </c>
      <c r="K23" s="15">
        <v>0.65871898146485464</v>
      </c>
      <c r="L23" s="15">
        <v>0.65906247112141936</v>
      </c>
    </row>
    <row r="24" spans="2:12" x14ac:dyDescent="0.25">
      <c r="B24" s="14">
        <v>-1</v>
      </c>
      <c r="C24" s="15">
        <v>0.6557294496223155</v>
      </c>
      <c r="D24" s="15">
        <v>0.65607437718355699</v>
      </c>
      <c r="E24" s="15">
        <v>0.65641914023468195</v>
      </c>
      <c r="F24" s="15">
        <v>0.65676373849101455</v>
      </c>
      <c r="G24" s="15">
        <v>0.6571081716685363</v>
      </c>
      <c r="H24" s="15">
        <v>0.65745243948388576</v>
      </c>
      <c r="I24" s="15">
        <v>0.65779654165435963</v>
      </c>
      <c r="J24" s="15">
        <v>0.65814047789791352</v>
      </c>
      <c r="K24" s="15">
        <v>0.65848424793316196</v>
      </c>
      <c r="L24" s="15">
        <v>0.65882785147937983</v>
      </c>
    </row>
    <row r="25" spans="2:12" x14ac:dyDescent="0.25">
      <c r="B25" s="14">
        <v>-2</v>
      </c>
      <c r="C25" s="15">
        <v>0.65549373526960897</v>
      </c>
      <c r="D25" s="15">
        <v>0.65583877504368226</v>
      </c>
      <c r="E25" s="15">
        <v>0.65618365050247807</v>
      </c>
      <c r="F25" s="15">
        <v>0.65652836136087234</v>
      </c>
      <c r="G25" s="15">
        <v>0.65687290733439763</v>
      </c>
      <c r="H25" s="15">
        <v>0.65721728813924363</v>
      </c>
      <c r="I25" s="15">
        <v>0.65756150349225728</v>
      </c>
      <c r="J25" s="15">
        <v>0.65790555311094412</v>
      </c>
      <c r="K25" s="15">
        <v>0.65824943671346836</v>
      </c>
      <c r="L25" s="15">
        <v>0.65859315401865404</v>
      </c>
    </row>
    <row r="26" spans="2:12" x14ac:dyDescent="0.25">
      <c r="B26" s="14">
        <v>-3</v>
      </c>
      <c r="C26" s="15">
        <v>0.65525794437658169</v>
      </c>
      <c r="D26" s="15">
        <v>0.6556030962301348</v>
      </c>
      <c r="E26" s="15">
        <v>0.65594808396355542</v>
      </c>
      <c r="F26" s="15">
        <v>0.65629290729127165</v>
      </c>
      <c r="G26" s="15">
        <v>0.65663756592836753</v>
      </c>
      <c r="H26" s="15">
        <v>0.65698205959058364</v>
      </c>
      <c r="I26" s="15">
        <v>0.65732638799431797</v>
      </c>
      <c r="J26" s="15">
        <v>0.65767055085662607</v>
      </c>
      <c r="K26" s="15">
        <v>0.65801454789522229</v>
      </c>
      <c r="L26" s="15">
        <v>0.6583583788284797</v>
      </c>
    </row>
    <row r="27" spans="2:12" x14ac:dyDescent="0.25">
      <c r="B27" s="14">
        <v>-4</v>
      </c>
      <c r="C27" s="15">
        <v>0.6550220770345021</v>
      </c>
      <c r="D27" s="15">
        <v>0.6553673408339743</v>
      </c>
      <c r="E27" s="15">
        <v>0.65571244070876467</v>
      </c>
      <c r="F27" s="15">
        <v>0.65605737637285377</v>
      </c>
      <c r="G27" s="15">
        <v>0.65640214754087756</v>
      </c>
      <c r="H27" s="15">
        <v>0.65674675392812798</v>
      </c>
      <c r="I27" s="15">
        <v>0.65709119525055393</v>
      </c>
      <c r="J27" s="15">
        <v>0.65743547122476165</v>
      </c>
      <c r="K27" s="15">
        <v>0.65777958156801553</v>
      </c>
      <c r="L27" s="15">
        <v>0.65812352599823853</v>
      </c>
    </row>
    <row r="28" spans="2:12" x14ac:dyDescent="0.25">
      <c r="B28" s="14">
        <v>-5</v>
      </c>
      <c r="C28" s="15">
        <v>0.6547861333347812</v>
      </c>
      <c r="D28" s="15">
        <v>0.65513150894640293</v>
      </c>
      <c r="E28" s="15">
        <v>0.65547672082909914</v>
      </c>
      <c r="F28" s="15">
        <v>0.65582176869640318</v>
      </c>
      <c r="G28" s="15">
        <v>0.65616665226250281</v>
      </c>
      <c r="H28" s="15">
        <v>0.65651137124224201</v>
      </c>
      <c r="I28" s="15">
        <v>0.65685592535112092</v>
      </c>
      <c r="J28" s="15">
        <v>0.65720031430529668</v>
      </c>
      <c r="K28" s="15">
        <v>0.65754453782158406</v>
      </c>
      <c r="L28" s="15">
        <v>0.65788859561745583</v>
      </c>
    </row>
    <row r="29" spans="2:12" x14ac:dyDescent="0.25">
      <c r="B29" s="14">
        <v>-6</v>
      </c>
      <c r="C29" s="15">
        <v>0.6545501133689724</v>
      </c>
      <c r="D29" s="15">
        <v>0.65489560065876562</v>
      </c>
      <c r="E29" s="15">
        <v>0.65524092441569504</v>
      </c>
      <c r="F29" s="15">
        <v>0.65558608435284671</v>
      </c>
      <c r="G29" s="15">
        <v>0.65593108018396129</v>
      </c>
      <c r="H29" s="15">
        <v>0.65627591162343446</v>
      </c>
      <c r="I29" s="15">
        <v>0.65662057838631815</v>
      </c>
      <c r="J29" s="15">
        <v>0.65696508018832045</v>
      </c>
      <c r="K29" s="15">
        <v>0.6573094167458069</v>
      </c>
      <c r="L29" s="15">
        <v>0.65765358777580063</v>
      </c>
    </row>
    <row r="30" spans="2:12" x14ac:dyDescent="0.25">
      <c r="B30" s="14">
        <v>-7</v>
      </c>
      <c r="C30" s="15">
        <v>0.65431401722877169</v>
      </c>
      <c r="D30" s="15">
        <v>0.65465961606254974</v>
      </c>
      <c r="E30" s="15">
        <v>0.65500505155983091</v>
      </c>
      <c r="F30" s="15">
        <v>0.6553503234332545</v>
      </c>
      <c r="G30" s="15">
        <v>0.65569543139611375</v>
      </c>
      <c r="H30" s="15">
        <v>0.65604037516235691</v>
      </c>
      <c r="I30" s="15">
        <v>0.65638515444658752</v>
      </c>
      <c r="J30" s="15">
        <v>0.65672976896406532</v>
      </c>
      <c r="K30" s="15">
        <v>0.65707421843070679</v>
      </c>
      <c r="L30" s="15">
        <v>0.65741850256308565</v>
      </c>
    </row>
    <row r="31" spans="2:12" x14ac:dyDescent="0.25">
      <c r="B31" s="14">
        <v>-8</v>
      </c>
      <c r="C31" s="15">
        <v>0.65407784500601684</v>
      </c>
      <c r="D31" s="15">
        <v>0.654423555249385</v>
      </c>
      <c r="E31" s="15">
        <v>0.65476910235292818</v>
      </c>
      <c r="F31" s="15">
        <v>0.65511448602883893</v>
      </c>
      <c r="G31" s="15">
        <v>0.65545970598996395</v>
      </c>
      <c r="H31" s="15">
        <v>0.65580476194980386</v>
      </c>
      <c r="I31" s="15">
        <v>0.65614965362251443</v>
      </c>
      <c r="J31" s="15">
        <v>0.65649438072290711</v>
      </c>
      <c r="K31" s="15">
        <v>0.65683894296644985</v>
      </c>
      <c r="L31" s="15">
        <v>0.65718334006926704</v>
      </c>
    </row>
    <row r="32" spans="2:12" x14ac:dyDescent="0.25">
      <c r="B32" s="14">
        <v>-9</v>
      </c>
      <c r="C32" s="15">
        <v>0.65384159679268805</v>
      </c>
      <c r="D32" s="15">
        <v>0.65418741831104343</v>
      </c>
      <c r="E32" s="15">
        <v>0.65453307688655049</v>
      </c>
      <c r="F32" s="15">
        <v>0.65487857223095547</v>
      </c>
      <c r="G32" s="15">
        <v>0.65522390405665831</v>
      </c>
      <c r="H32" s="15">
        <v>0.65556907207671278</v>
      </c>
      <c r="I32" s="15">
        <v>0.65591407600482721</v>
      </c>
      <c r="J32" s="15">
        <v>0.65625891555536486</v>
      </c>
      <c r="K32" s="15">
        <v>0.65660359044334538</v>
      </c>
      <c r="L32" s="15">
        <v>0.65694810038444451</v>
      </c>
    </row>
    <row r="33" spans="2:12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</row>
  </sheetData>
  <conditionalFormatting sqref="C3:L32">
    <cfRule type="colorScale" priority="9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C121B-9668-4F4A-96DC-8F32832FABB9}">
  <sheetPr codeName="Sheet7"/>
  <dimension ref="B2:L32"/>
  <sheetViews>
    <sheetView workbookViewId="0">
      <selection activeCell="G17" sqref="G17"/>
    </sheetView>
  </sheetViews>
  <sheetFormatPr defaultRowHeight="15" x14ac:dyDescent="0.25"/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x14ac:dyDescent="0.25">
      <c r="B3" s="14">
        <v>20</v>
      </c>
      <c r="C3" s="47">
        <v>0.10370072712506949</v>
      </c>
      <c r="D3" s="48">
        <v>8.1446087441136836E-2</v>
      </c>
      <c r="E3" s="47">
        <v>5.9191447757204155E-2</v>
      </c>
      <c r="F3" s="47">
        <v>3.6936808073271363E-2</v>
      </c>
      <c r="G3" s="47">
        <v>1.4682168389338654E-2</v>
      </c>
      <c r="H3" s="47">
        <v>-7.5724712945940548E-3</v>
      </c>
      <c r="I3" s="47">
        <v>-2.982711097852668E-2</v>
      </c>
      <c r="J3" s="15">
        <v>-5.2081750662459389E-2</v>
      </c>
      <c r="K3" s="15">
        <v>-7.433639034639207E-2</v>
      </c>
      <c r="L3" s="15">
        <v>-9.6591030030324834E-2</v>
      </c>
    </row>
    <row r="4" spans="2:12" x14ac:dyDescent="0.25">
      <c r="B4" s="14">
        <v>19</v>
      </c>
      <c r="C4" s="47">
        <v>0.10182391458448385</v>
      </c>
      <c r="D4" s="47">
        <v>7.9569274900551226E-2</v>
      </c>
      <c r="E4" s="47">
        <v>5.731463521661849E-2</v>
      </c>
      <c r="F4" s="48">
        <v>3.5059995532685642E-2</v>
      </c>
      <c r="G4" s="48">
        <v>1.2805355848752961E-2</v>
      </c>
      <c r="H4" s="47">
        <v>-9.4492838351797476E-3</v>
      </c>
      <c r="I4" s="48">
        <v>-3.1703923519112429E-2</v>
      </c>
      <c r="J4" s="15">
        <v>-5.395856320304511E-2</v>
      </c>
      <c r="K4" s="15">
        <v>-7.6213202886977791E-2</v>
      </c>
      <c r="L4" s="15">
        <v>-9.8467842570910472E-2</v>
      </c>
    </row>
    <row r="5" spans="2:12" x14ac:dyDescent="0.25">
      <c r="B5" s="14">
        <v>18</v>
      </c>
      <c r="C5" s="48">
        <v>9.9947102043898048E-2</v>
      </c>
      <c r="D5" s="48">
        <v>7.7692462359965478E-2</v>
      </c>
      <c r="E5" s="48">
        <v>5.5437822676032741E-2</v>
      </c>
      <c r="F5" s="47">
        <v>3.3183182992099977E-2</v>
      </c>
      <c r="G5" s="47">
        <v>1.0928543308167213E-2</v>
      </c>
      <c r="H5" s="47">
        <v>-1.1326096375765468E-2</v>
      </c>
      <c r="I5" s="48">
        <v>-3.3580736059698121E-2</v>
      </c>
      <c r="J5" s="15">
        <v>-5.583537574363083E-2</v>
      </c>
      <c r="K5" s="15">
        <v>-7.8090015427563539E-2</v>
      </c>
      <c r="L5" s="15">
        <v>-0.10034465511149622</v>
      </c>
    </row>
    <row r="6" spans="2:12" x14ac:dyDescent="0.25">
      <c r="B6" s="14">
        <v>17</v>
      </c>
      <c r="C6" s="47">
        <v>9.8070289503312438E-2</v>
      </c>
      <c r="D6" s="47">
        <v>7.5815649819379757E-2</v>
      </c>
      <c r="E6" s="47">
        <v>5.3561010135446993E-2</v>
      </c>
      <c r="F6" s="47">
        <v>3.1306370451514257E-2</v>
      </c>
      <c r="G6" s="48">
        <v>9.0517307675815756E-3</v>
      </c>
      <c r="H6" s="48">
        <v>-1.3202908916351133E-2</v>
      </c>
      <c r="I6" s="47">
        <v>-3.5457548600283842E-2</v>
      </c>
      <c r="J6" s="15">
        <v>-5.7712188284216551E-2</v>
      </c>
      <c r="K6" s="15">
        <v>-7.9966827968149232E-2</v>
      </c>
      <c r="L6" s="15">
        <v>-0.102221467652082</v>
      </c>
    </row>
    <row r="7" spans="2:12" x14ac:dyDescent="0.25">
      <c r="B7" s="14">
        <v>16</v>
      </c>
      <c r="C7" s="47">
        <v>9.6193476962726523E-2</v>
      </c>
      <c r="D7" s="48">
        <v>7.3938837278793926E-2</v>
      </c>
      <c r="E7" s="48">
        <v>5.1684197594861217E-2</v>
      </c>
      <c r="F7" s="48">
        <v>2.9429557910928425E-2</v>
      </c>
      <c r="G7" s="47">
        <v>7.1749182269957995E-3</v>
      </c>
      <c r="H7" s="47">
        <v>-1.507972145693677E-2</v>
      </c>
      <c r="I7" s="47">
        <v>-3.7334361140869562E-2</v>
      </c>
      <c r="J7" s="15">
        <v>-5.9589000824802243E-2</v>
      </c>
      <c r="K7" s="15">
        <v>-8.1843640508734897E-2</v>
      </c>
      <c r="L7" s="15">
        <v>-0.10409828019266761</v>
      </c>
    </row>
    <row r="8" spans="2:12" x14ac:dyDescent="0.25">
      <c r="B8" s="14">
        <v>15</v>
      </c>
      <c r="C8" s="47">
        <v>9.4316664422140942E-2</v>
      </c>
      <c r="D8" s="48">
        <v>7.2062024738208372E-2</v>
      </c>
      <c r="E8" s="47">
        <v>4.9807385054275607E-2</v>
      </c>
      <c r="F8" s="47">
        <v>2.7552745370342815E-2</v>
      </c>
      <c r="G8" s="47">
        <v>5.2981056864101622E-3</v>
      </c>
      <c r="H8" s="47">
        <v>-1.6956533997522658E-2</v>
      </c>
      <c r="I8" s="47">
        <v>-3.9211173681455255E-2</v>
      </c>
      <c r="J8" s="15">
        <v>-6.146581336538802E-2</v>
      </c>
      <c r="K8" s="15">
        <v>-8.3720453049320701E-2</v>
      </c>
      <c r="L8" s="15">
        <v>-0.10597509273325335</v>
      </c>
    </row>
    <row r="9" spans="2:12" x14ac:dyDescent="0.25">
      <c r="B9" s="14">
        <v>14</v>
      </c>
      <c r="C9" s="47">
        <v>9.2439851881555332E-2</v>
      </c>
      <c r="D9" s="47">
        <v>7.0185212197622651E-2</v>
      </c>
      <c r="E9" s="47">
        <v>4.793057251368997E-2</v>
      </c>
      <c r="F9" s="48">
        <v>2.5675932829757067E-2</v>
      </c>
      <c r="G9" s="47">
        <v>3.4212931458244694E-3</v>
      </c>
      <c r="H9" s="47">
        <v>-1.883334653810835E-2</v>
      </c>
      <c r="I9" s="47">
        <v>-4.1087986222040948E-2</v>
      </c>
      <c r="J9" s="15">
        <v>-6.3342625905973685E-2</v>
      </c>
      <c r="K9" s="15">
        <v>-8.5597265589906393E-2</v>
      </c>
      <c r="L9" s="15">
        <v>-0.10785190527383907</v>
      </c>
    </row>
    <row r="10" spans="2:12" x14ac:dyDescent="0.25">
      <c r="B10" s="14">
        <v>13</v>
      </c>
      <c r="C10" s="15">
        <v>9.0563039340969556E-2</v>
      </c>
      <c r="D10" s="15">
        <v>6.830839965703682E-2</v>
      </c>
      <c r="E10" s="15">
        <v>4.6053759973104139E-2</v>
      </c>
      <c r="F10" s="15">
        <v>2.3799120289171347E-2</v>
      </c>
      <c r="G10" s="15">
        <v>1.5444806052386378E-3</v>
      </c>
      <c r="H10" s="15">
        <v>-2.0710159078693988E-2</v>
      </c>
      <c r="I10" s="15">
        <v>-4.2964798762626641E-2</v>
      </c>
      <c r="J10" s="15">
        <v>-6.5219438446559322E-2</v>
      </c>
      <c r="K10" s="15">
        <v>-8.7474078130492086E-2</v>
      </c>
      <c r="L10" s="15">
        <v>-0.10972871781442477</v>
      </c>
    </row>
    <row r="11" spans="2:12" x14ac:dyDescent="0.25">
      <c r="B11" s="14">
        <v>12</v>
      </c>
      <c r="C11" s="15">
        <v>8.8686226800383863E-2</v>
      </c>
      <c r="D11" s="15">
        <v>6.6431587116451155E-2</v>
      </c>
      <c r="E11" s="15">
        <v>4.4176947432518557E-2</v>
      </c>
      <c r="F11" s="15">
        <v>2.1922307748585793E-2</v>
      </c>
      <c r="G11" s="15">
        <v>-3.3233193534691619E-4</v>
      </c>
      <c r="H11" s="15">
        <v>-2.2586971619279708E-2</v>
      </c>
      <c r="I11" s="15">
        <v>-4.4841611303212417E-2</v>
      </c>
      <c r="J11" s="15">
        <v>-6.7096250987145181E-2</v>
      </c>
      <c r="K11" s="15">
        <v>-8.9350890671077807E-2</v>
      </c>
      <c r="L11" s="15">
        <v>-0.11160553035501046</v>
      </c>
    </row>
    <row r="12" spans="2:12" x14ac:dyDescent="0.25">
      <c r="B12" s="14">
        <v>11</v>
      </c>
      <c r="C12" s="15">
        <v>8.6809414259798032E-2</v>
      </c>
      <c r="D12" s="15">
        <v>6.4554774575865517E-2</v>
      </c>
      <c r="E12" s="15">
        <v>4.2300134891932753E-2</v>
      </c>
      <c r="F12" s="15">
        <v>2.0045495207999961E-2</v>
      </c>
      <c r="G12" s="15">
        <v>-2.20914447593272E-3</v>
      </c>
      <c r="H12" s="15">
        <v>-2.4463784159865457E-2</v>
      </c>
      <c r="I12" s="15">
        <v>-4.671842384379811E-2</v>
      </c>
      <c r="J12" s="15">
        <v>-6.8973063527730819E-2</v>
      </c>
      <c r="K12" s="15">
        <v>-9.1227703211663499E-2</v>
      </c>
      <c r="L12" s="15">
        <v>-0.11348234289559624</v>
      </c>
    </row>
    <row r="13" spans="2:12" x14ac:dyDescent="0.25">
      <c r="B13" s="14">
        <v>10</v>
      </c>
      <c r="C13" s="15">
        <v>8.4932601719212339E-2</v>
      </c>
      <c r="D13" s="15">
        <v>6.267796203527988E-2</v>
      </c>
      <c r="E13" s="15">
        <v>4.0423322351347032E-2</v>
      </c>
      <c r="F13" s="15">
        <v>1.8168682667414157E-2</v>
      </c>
      <c r="G13" s="15">
        <v>-4.0859570165185516E-3</v>
      </c>
      <c r="H13" s="15">
        <v>-2.6340596700451122E-2</v>
      </c>
      <c r="I13" s="15">
        <v>-4.8595236384383858E-2</v>
      </c>
      <c r="J13" s="15">
        <v>-7.0849876068316511E-2</v>
      </c>
      <c r="K13" s="15">
        <v>-9.310451575224922E-2</v>
      </c>
      <c r="L13" s="15">
        <v>-0.11535915543618193</v>
      </c>
    </row>
    <row r="14" spans="2:12" x14ac:dyDescent="0.25">
      <c r="B14" s="14">
        <v>9</v>
      </c>
      <c r="C14" s="15">
        <v>0.12037982000269463</v>
      </c>
      <c r="D14" s="15">
        <v>7.2538747427971853E-2</v>
      </c>
      <c r="E14" s="15">
        <v>3.854650981076134E-2</v>
      </c>
      <c r="F14" s="15">
        <v>1.6291870126828464E-2</v>
      </c>
      <c r="G14" s="15">
        <v>-5.9627695571041334E-3</v>
      </c>
      <c r="H14" s="15">
        <v>-2.8217409241036842E-2</v>
      </c>
      <c r="I14" s="15">
        <v>-5.0472048924969579E-2</v>
      </c>
      <c r="J14" s="15">
        <v>-7.2726688608902232E-2</v>
      </c>
      <c r="K14" s="15">
        <v>-9.4981328292834913E-2</v>
      </c>
      <c r="L14" s="15">
        <v>-0.11723596797676759</v>
      </c>
    </row>
    <row r="15" spans="2:12" x14ac:dyDescent="0.25">
      <c r="B15" s="14">
        <v>8</v>
      </c>
      <c r="C15" s="15">
        <v>0.16234279842234295</v>
      </c>
      <c r="D15" s="15">
        <v>0.11450172584762035</v>
      </c>
      <c r="E15" s="15">
        <v>6.666065327289751E-2</v>
      </c>
      <c r="F15" s="15">
        <v>1.8819580698174368E-2</v>
      </c>
      <c r="G15" s="15">
        <v>-7.8395820976898817E-3</v>
      </c>
      <c r="H15" s="15">
        <v>-3.0094221781622535E-2</v>
      </c>
      <c r="I15" s="15">
        <v>-5.2348861465555244E-2</v>
      </c>
      <c r="J15" s="15">
        <v>-7.4603501149487952E-2</v>
      </c>
      <c r="K15" s="15">
        <v>-9.6858140833420717E-2</v>
      </c>
      <c r="L15" s="15">
        <v>-0.11911278051735345</v>
      </c>
    </row>
    <row r="16" spans="2:12" x14ac:dyDescent="0.25">
      <c r="B16" s="14">
        <v>7</v>
      </c>
      <c r="C16" s="15">
        <v>0.24617573016549676</v>
      </c>
      <c r="D16" s="15">
        <v>0.16272344339783329</v>
      </c>
      <c r="E16" s="15">
        <v>0.10862363169254595</v>
      </c>
      <c r="F16" s="15">
        <v>6.0782559117822973E-2</v>
      </c>
      <c r="G16" s="15">
        <v>1.2941486543100136E-2</v>
      </c>
      <c r="H16" s="15">
        <v>-3.1971034322208283E-2</v>
      </c>
      <c r="I16" s="15">
        <v>-5.4225674006140992E-2</v>
      </c>
      <c r="J16" s="15">
        <v>-7.6480313690073673E-2</v>
      </c>
      <c r="K16" s="15">
        <v>-9.8734953374006298E-2</v>
      </c>
      <c r="L16" s="15">
        <v>-0.12098959305793903</v>
      </c>
    </row>
    <row r="17" spans="2:12" x14ac:dyDescent="0.25">
      <c r="B17" s="14">
        <v>6</v>
      </c>
      <c r="C17" s="15">
        <v>0.38545644903916565</v>
      </c>
      <c r="D17" s="15">
        <v>0.29592550983342925</v>
      </c>
      <c r="E17" s="15">
        <v>0.20639457062769273</v>
      </c>
      <c r="F17" s="15">
        <v>0.11686363142195587</v>
      </c>
      <c r="G17" s="15">
        <v>5.490446496274877E-2</v>
      </c>
      <c r="H17" s="15">
        <v>7.0633923880259047E-3</v>
      </c>
      <c r="I17" s="15">
        <v>-4.0777680186696988E-2</v>
      </c>
      <c r="J17" s="15">
        <v>-7.8357126230659338E-2</v>
      </c>
      <c r="K17" s="15">
        <v>-0.10061176591459205</v>
      </c>
      <c r="L17" s="15">
        <v>-0.12286640559852473</v>
      </c>
    </row>
    <row r="18" spans="2:12" x14ac:dyDescent="0.25">
      <c r="B18" s="14">
        <v>5</v>
      </c>
      <c r="C18" s="15">
        <v>0.52473716791283487</v>
      </c>
      <c r="D18" s="15">
        <v>0.43520622870709824</v>
      </c>
      <c r="E18" s="15">
        <v>0.34567528950136195</v>
      </c>
      <c r="F18" s="15">
        <v>0.25614435029562499</v>
      </c>
      <c r="G18" s="15">
        <v>0.16661341108988864</v>
      </c>
      <c r="H18" s="15">
        <v>7.7082471884152029E-2</v>
      </c>
      <c r="I18" s="15">
        <v>4.4047659476107864E-3</v>
      </c>
      <c r="J18" s="15">
        <v>-4.6655774341771358E-2</v>
      </c>
      <c r="K18" s="15">
        <v>-9.4496846916494223E-2</v>
      </c>
      <c r="L18" s="15">
        <v>-0.12474321813911053</v>
      </c>
    </row>
    <row r="19" spans="2:12" x14ac:dyDescent="0.25">
      <c r="B19" s="14">
        <v>4</v>
      </c>
      <c r="C19" s="15">
        <v>0.66401788678650409</v>
      </c>
      <c r="D19" s="15">
        <v>0.57448694758076768</v>
      </c>
      <c r="E19" s="15">
        <v>0.48495600837503072</v>
      </c>
      <c r="F19" s="15">
        <v>0.39542506916929399</v>
      </c>
      <c r="G19" s="15">
        <v>0.30589412996355769</v>
      </c>
      <c r="H19" s="15">
        <v>0.21636319075782096</v>
      </c>
      <c r="I19" s="15">
        <v>0.12683225155208461</v>
      </c>
      <c r="J19" s="15">
        <v>3.7301312346347884E-2</v>
      </c>
      <c r="K19" s="15">
        <v>-4.1261173576163254E-2</v>
      </c>
      <c r="L19" s="15">
        <v>-9.5910580410200272E-2</v>
      </c>
    </row>
    <row r="20" spans="2:12" x14ac:dyDescent="0.25">
      <c r="B20" s="14">
        <v>3</v>
      </c>
      <c r="C20" s="15">
        <v>0.8032986056601733</v>
      </c>
      <c r="D20" s="15">
        <v>0.71376766645443679</v>
      </c>
      <c r="E20" s="15">
        <v>0.62423672724870005</v>
      </c>
      <c r="F20" s="15">
        <v>0.53470578804296343</v>
      </c>
      <c r="G20" s="15">
        <v>0.44517484883722691</v>
      </c>
      <c r="H20" s="15">
        <v>0.3556439096314904</v>
      </c>
      <c r="I20" s="15">
        <v>0.26611297042575366</v>
      </c>
      <c r="J20" s="15">
        <v>0.17658203122001703</v>
      </c>
      <c r="K20" s="15">
        <v>8.7051092014280476E-2</v>
      </c>
      <c r="L20" s="15">
        <v>-2.4798471914561498E-3</v>
      </c>
    </row>
    <row r="21" spans="2:12" x14ac:dyDescent="0.25">
      <c r="B21" s="14">
        <v>2</v>
      </c>
      <c r="C21" s="15">
        <v>0.94257932453384241</v>
      </c>
      <c r="D21" s="15">
        <v>0.85304838532810601</v>
      </c>
      <c r="E21" s="15">
        <v>0.76351744612236938</v>
      </c>
      <c r="F21" s="15">
        <v>0.67398650691663242</v>
      </c>
      <c r="G21" s="15">
        <v>0.58445556771089613</v>
      </c>
      <c r="H21" s="15">
        <v>0.4949246285051595</v>
      </c>
      <c r="I21" s="15">
        <v>0.40539368929942288</v>
      </c>
      <c r="J21" s="15">
        <v>0.31586275009368625</v>
      </c>
      <c r="K21" s="15">
        <v>0.22633181088794957</v>
      </c>
      <c r="L21" s="15">
        <v>0.13680087168221305</v>
      </c>
    </row>
    <row r="22" spans="2:12" x14ac:dyDescent="0.25">
      <c r="B22" s="14">
        <v>1</v>
      </c>
      <c r="C22" s="15">
        <v>1.0818600434075114</v>
      </c>
      <c r="D22" s="15">
        <v>0.99232910420177511</v>
      </c>
      <c r="E22" s="15">
        <v>0.90279816499603849</v>
      </c>
      <c r="F22" s="15">
        <v>0.81326722579030153</v>
      </c>
      <c r="G22" s="15">
        <v>0.72373628658456535</v>
      </c>
      <c r="H22" s="15">
        <v>0.63420534737882872</v>
      </c>
      <c r="I22" s="15">
        <v>0.54467440817309198</v>
      </c>
      <c r="J22" s="15">
        <v>0.45514346896735536</v>
      </c>
      <c r="K22" s="15">
        <v>0.36561252976161879</v>
      </c>
      <c r="L22" s="15">
        <v>0.27608159055588222</v>
      </c>
    </row>
    <row r="23" spans="2:12" x14ac:dyDescent="0.25">
      <c r="B23" s="14">
        <v>0</v>
      </c>
      <c r="C23" s="15">
        <v>1.2211407622811807</v>
      </c>
      <c r="D23" s="15">
        <v>1.1316098230754443</v>
      </c>
      <c r="E23" s="15">
        <v>1.0420788838697077</v>
      </c>
      <c r="F23" s="15">
        <v>0.95254794466397052</v>
      </c>
      <c r="G23" s="15">
        <v>0.86301700545823445</v>
      </c>
      <c r="H23" s="15">
        <v>0.77348606625249761</v>
      </c>
      <c r="I23" s="15">
        <v>0.68395512704676142</v>
      </c>
      <c r="J23" s="15">
        <v>0.59442418784102458</v>
      </c>
      <c r="K23" s="15">
        <v>0.50489324863528784</v>
      </c>
      <c r="L23" s="15">
        <v>0.41536230942955138</v>
      </c>
    </row>
    <row r="24" spans="2:12" x14ac:dyDescent="0.25">
      <c r="B24" s="14">
        <v>-1</v>
      </c>
      <c r="C24" s="15">
        <v>1.3604214811548501</v>
      </c>
      <c r="D24" s="15">
        <v>1.2708905419491134</v>
      </c>
      <c r="E24" s="15">
        <v>1.1813596027433773</v>
      </c>
      <c r="F24" s="15">
        <v>1.0918286635376402</v>
      </c>
      <c r="G24" s="15">
        <v>1.0022977243319036</v>
      </c>
      <c r="H24" s="15">
        <v>0.91276678512616716</v>
      </c>
      <c r="I24" s="15">
        <v>0.82323584592043031</v>
      </c>
      <c r="J24" s="15">
        <v>0.73370490671469368</v>
      </c>
      <c r="K24" s="15">
        <v>0.64417396750895706</v>
      </c>
      <c r="L24" s="15">
        <v>0.55464302830322054</v>
      </c>
    </row>
    <row r="25" spans="2:12" x14ac:dyDescent="0.25">
      <c r="B25" s="14">
        <v>-2</v>
      </c>
      <c r="C25" s="15">
        <v>1.4997022000285192</v>
      </c>
      <c r="D25" s="15">
        <v>1.4101712608227825</v>
      </c>
      <c r="E25" s="15">
        <v>1.3206403216170461</v>
      </c>
      <c r="F25" s="15">
        <v>1.2311093824113091</v>
      </c>
      <c r="G25" s="15">
        <v>1.1415784432055727</v>
      </c>
      <c r="H25" s="15">
        <v>1.0520475039998363</v>
      </c>
      <c r="I25" s="15">
        <v>0.96251656479409975</v>
      </c>
      <c r="J25" s="15">
        <v>0.87298562558836279</v>
      </c>
      <c r="K25" s="15">
        <v>0.78345468638262616</v>
      </c>
      <c r="L25" s="15">
        <v>0.69392374717688965</v>
      </c>
    </row>
    <row r="26" spans="2:12" x14ac:dyDescent="0.25">
      <c r="B26" s="14">
        <v>-3</v>
      </c>
      <c r="C26" s="15">
        <v>1.6389829189021883</v>
      </c>
      <c r="D26" s="15">
        <v>1.5494519796964517</v>
      </c>
      <c r="E26" s="15">
        <v>1.4599210404907155</v>
      </c>
      <c r="F26" s="15">
        <v>1.3703901012849784</v>
      </c>
      <c r="G26" s="15">
        <v>1.2808591620792418</v>
      </c>
      <c r="H26" s="15">
        <v>1.1913282228735054</v>
      </c>
      <c r="I26" s="15">
        <v>1.1017972836677687</v>
      </c>
      <c r="J26" s="15">
        <v>1.0122663444620321</v>
      </c>
      <c r="K26" s="15">
        <v>0.92273540525629549</v>
      </c>
      <c r="L26" s="15">
        <v>0.83320446605055887</v>
      </c>
    </row>
    <row r="27" spans="2:12" x14ac:dyDescent="0.25">
      <c r="B27" s="14">
        <v>-4</v>
      </c>
      <c r="C27" s="15">
        <v>1.7782636377758574</v>
      </c>
      <c r="D27" s="15">
        <v>1.6887326985701212</v>
      </c>
      <c r="E27" s="15">
        <v>1.5992017593643844</v>
      </c>
      <c r="F27" s="15">
        <v>1.5096708201586475</v>
      </c>
      <c r="G27" s="15">
        <v>1.4201398809529109</v>
      </c>
      <c r="H27" s="15">
        <v>1.3306089417471747</v>
      </c>
      <c r="I27" s="15">
        <v>1.2410780025414381</v>
      </c>
      <c r="J27" s="15">
        <v>1.1515470633357014</v>
      </c>
      <c r="K27" s="15">
        <v>1.062016124129965</v>
      </c>
      <c r="L27" s="15">
        <v>0.97248518492422809</v>
      </c>
    </row>
    <row r="28" spans="2:12" x14ac:dyDescent="0.25">
      <c r="B28" s="14">
        <v>-5</v>
      </c>
      <c r="C28" s="15">
        <v>1.9175443566495269</v>
      </c>
      <c r="D28" s="15">
        <v>1.8280134174437899</v>
      </c>
      <c r="E28" s="15">
        <v>1.7384824782380532</v>
      </c>
      <c r="F28" s="15">
        <v>1.6489515390323164</v>
      </c>
      <c r="G28" s="15">
        <v>1.55942059982658</v>
      </c>
      <c r="H28" s="15">
        <v>1.4698896606208434</v>
      </c>
      <c r="I28" s="15">
        <v>1.380358721415107</v>
      </c>
      <c r="J28" s="15">
        <v>1.2908277822093703</v>
      </c>
      <c r="K28" s="15">
        <v>1.2012968430036337</v>
      </c>
      <c r="L28" s="15">
        <v>1.1117659037978975</v>
      </c>
    </row>
    <row r="29" spans="2:12" x14ac:dyDescent="0.25">
      <c r="B29" s="14">
        <v>-6</v>
      </c>
      <c r="C29" s="15">
        <v>2.0568250755231956</v>
      </c>
      <c r="D29" s="15">
        <v>1.9672941363174594</v>
      </c>
      <c r="E29" s="15">
        <v>1.8777631971117228</v>
      </c>
      <c r="F29" s="15">
        <v>1.7882322579059857</v>
      </c>
      <c r="G29" s="15">
        <v>1.6987013187002495</v>
      </c>
      <c r="H29" s="15">
        <v>1.6091703794945127</v>
      </c>
      <c r="I29" s="15">
        <v>1.5196394402887763</v>
      </c>
      <c r="J29" s="15">
        <v>1.4301085010830397</v>
      </c>
      <c r="K29" s="15">
        <v>1.340577561877303</v>
      </c>
      <c r="L29" s="15">
        <v>1.2510466226715666</v>
      </c>
    </row>
    <row r="30" spans="2:12" x14ac:dyDescent="0.25">
      <c r="B30" s="14">
        <v>-7</v>
      </c>
      <c r="C30" s="15">
        <v>2.1961057943968654</v>
      </c>
      <c r="D30" s="15">
        <v>2.1065748551911283</v>
      </c>
      <c r="E30" s="15">
        <v>2.0170439159853921</v>
      </c>
      <c r="F30" s="15">
        <v>1.9275129767796555</v>
      </c>
      <c r="G30" s="15">
        <v>1.8379820375739186</v>
      </c>
      <c r="H30" s="15">
        <v>1.748451098368182</v>
      </c>
      <c r="I30" s="15">
        <v>1.6589201591624456</v>
      </c>
      <c r="J30" s="15">
        <v>1.569389219956709</v>
      </c>
      <c r="K30" s="15">
        <v>1.4798582807509719</v>
      </c>
      <c r="L30" s="15">
        <v>1.3903273415452357</v>
      </c>
    </row>
    <row r="31" spans="2:12" x14ac:dyDescent="0.25">
      <c r="B31" s="14">
        <v>-8</v>
      </c>
      <c r="C31" s="15">
        <v>2.3353865132705343</v>
      </c>
      <c r="D31" s="15">
        <v>2.2458555740647976</v>
      </c>
      <c r="E31" s="15">
        <v>2.1563246348590615</v>
      </c>
      <c r="F31" s="15">
        <v>2.0667936956533244</v>
      </c>
      <c r="G31" s="15">
        <v>1.9772627564475878</v>
      </c>
      <c r="H31" s="15">
        <v>1.8877318172418511</v>
      </c>
      <c r="I31" s="15">
        <v>1.7982008780361149</v>
      </c>
      <c r="J31" s="15">
        <v>1.7086699388303779</v>
      </c>
      <c r="K31" s="15">
        <v>1.6191389996246413</v>
      </c>
      <c r="L31" s="15">
        <v>1.5296080604189048</v>
      </c>
    </row>
    <row r="32" spans="2:12" x14ac:dyDescent="0.25">
      <c r="B32" s="14">
        <v>-9</v>
      </c>
      <c r="C32" s="15">
        <v>2.474667232144204</v>
      </c>
      <c r="D32" s="15">
        <v>2.385136292938467</v>
      </c>
      <c r="E32" s="15">
        <v>2.2956053537327308</v>
      </c>
      <c r="F32" s="15">
        <v>2.2060744145269942</v>
      </c>
      <c r="G32" s="15">
        <v>2.1165434753212575</v>
      </c>
      <c r="H32" s="15">
        <v>2.0270125361155205</v>
      </c>
      <c r="I32" s="15">
        <v>1.9374815969097843</v>
      </c>
      <c r="J32" s="15">
        <v>1.8479506577040474</v>
      </c>
      <c r="K32" s="15">
        <v>1.7584197184983104</v>
      </c>
      <c r="L32" s="15">
        <v>1.6688887792925744</v>
      </c>
    </row>
  </sheetData>
  <conditionalFormatting sqref="C3:L32">
    <cfRule type="colorScale" priority="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EA45-D8D9-4BDC-A5BF-1B6A7661420A}">
  <sheetPr codeName="Sheet11"/>
  <dimension ref="A1:AU5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5" x14ac:dyDescent="0.25"/>
  <cols>
    <col min="1" max="1" width="13.28515625" bestFit="1" customWidth="1"/>
    <col min="7" max="7" width="14.85546875" customWidth="1"/>
    <col min="8" max="8" width="9" customWidth="1"/>
    <col min="10" max="10" width="9.140625" customWidth="1"/>
    <col min="38" max="38" width="12" bestFit="1" customWidth="1"/>
  </cols>
  <sheetData>
    <row r="1" spans="1:47" x14ac:dyDescent="0.25">
      <c r="A1" t="s">
        <v>48</v>
      </c>
      <c r="B1" t="s">
        <v>44</v>
      </c>
      <c r="C1" t="s">
        <v>45</v>
      </c>
      <c r="D1" t="s">
        <v>46</v>
      </c>
      <c r="E1" t="s">
        <v>47</v>
      </c>
      <c r="G1" t="s">
        <v>53</v>
      </c>
      <c r="H1" t="s">
        <v>52</v>
      </c>
      <c r="I1" s="56">
        <f t="array" ref="I1">AVERAGE(IF(G2:G151=A2:A151,1,0))</f>
        <v>0.98</v>
      </c>
      <c r="J1" s="51">
        <v>2.7777777777777776E-2</v>
      </c>
      <c r="K1" s="51"/>
      <c r="L1" t="s">
        <v>54</v>
      </c>
      <c r="M1" t="s">
        <v>57</v>
      </c>
      <c r="N1" t="s">
        <v>58</v>
      </c>
      <c r="O1" t="s">
        <v>55</v>
      </c>
      <c r="P1" t="s">
        <v>57</v>
      </c>
      <c r="Q1" t="s">
        <v>58</v>
      </c>
      <c r="R1" t="s">
        <v>56</v>
      </c>
      <c r="S1" t="s">
        <v>57</v>
      </c>
      <c r="T1" t="s">
        <v>58</v>
      </c>
      <c r="AE1" t="s">
        <v>1</v>
      </c>
      <c r="AF1" t="s">
        <v>2</v>
      </c>
      <c r="AG1" t="s">
        <v>60</v>
      </c>
      <c r="AH1">
        <f t="array" ref="AH1">AVERAGE((AF2:AF102-AG2:AG102)^2)/2</f>
        <v>3.5457723530719576E-2</v>
      </c>
    </row>
    <row r="2" spans="1:47" x14ac:dyDescent="0.25">
      <c r="A2" t="s">
        <v>50</v>
      </c>
      <c r="B2">
        <v>6.4</v>
      </c>
      <c r="C2">
        <v>3.2</v>
      </c>
      <c r="D2">
        <v>4.5</v>
      </c>
      <c r="E2">
        <v>1.5</v>
      </c>
      <c r="G2" t="s">
        <v>50</v>
      </c>
      <c r="H2" t="s">
        <v>50</v>
      </c>
      <c r="I2" s="56">
        <f t="array" ref="I2">AVERAGE(IF(H2:H151=A2:A151,1,0))</f>
        <v>0.98</v>
      </c>
      <c r="J2" s="51">
        <v>2.7777777777777776E-2</v>
      </c>
      <c r="L2">
        <v>1</v>
      </c>
      <c r="M2">
        <v>5.4621486646114346E-2</v>
      </c>
      <c r="N2">
        <v>1E-3</v>
      </c>
      <c r="O2">
        <v>1</v>
      </c>
      <c r="P2">
        <v>6.0491345364553889E-2</v>
      </c>
      <c r="Q2">
        <v>1E-3</v>
      </c>
      <c r="R2">
        <v>1</v>
      </c>
      <c r="S2">
        <v>6.0321441643657873E-2</v>
      </c>
      <c r="T2">
        <v>1E-3</v>
      </c>
      <c r="AE2">
        <v>0.35000000000000014</v>
      </c>
      <c r="AF2">
        <v>-1.5544548452760956</v>
      </c>
      <c r="AG2">
        <v>-1.4558236679977412</v>
      </c>
      <c r="AI2">
        <v>1</v>
      </c>
      <c r="AJ2">
        <v>0.49815405777454513</v>
      </c>
      <c r="AK2">
        <v>1</v>
      </c>
      <c r="AT2">
        <v>0.35000000000000014</v>
      </c>
      <c r="AU2">
        <v>-1.5544548452760956</v>
      </c>
    </row>
    <row r="3" spans="1:47" x14ac:dyDescent="0.25">
      <c r="A3" t="s">
        <v>49</v>
      </c>
      <c r="B3">
        <v>5.0999999999999996</v>
      </c>
      <c r="C3">
        <v>3.5</v>
      </c>
      <c r="D3">
        <v>1.4</v>
      </c>
      <c r="E3">
        <v>0.2</v>
      </c>
      <c r="G3" t="s">
        <v>49</v>
      </c>
      <c r="H3" t="s">
        <v>49</v>
      </c>
      <c r="L3">
        <v>2</v>
      </c>
      <c r="M3">
        <v>5.0622193628615753E-2</v>
      </c>
      <c r="N3">
        <v>1.0500000000000002E-3</v>
      </c>
      <c r="O3">
        <v>2</v>
      </c>
      <c r="P3">
        <v>5.885788150695017E-2</v>
      </c>
      <c r="Q3">
        <v>1.0500000000000002E-3</v>
      </c>
      <c r="R3">
        <v>2</v>
      </c>
      <c r="S3">
        <v>5.8649066933663882E-2</v>
      </c>
      <c r="T3">
        <v>1.0500000000000002E-3</v>
      </c>
      <c r="AE3">
        <v>0.3000000000000001</v>
      </c>
      <c r="AF3">
        <v>-0.61591384657191028</v>
      </c>
      <c r="AG3">
        <v>-0.9210520935476012</v>
      </c>
      <c r="AI3">
        <v>2</v>
      </c>
      <c r="AJ3">
        <v>0.49668835387151411</v>
      </c>
      <c r="AK3">
        <v>7.75</v>
      </c>
      <c r="AT3">
        <v>0.3000000000000001</v>
      </c>
      <c r="AU3">
        <v>-0.61591384657191028</v>
      </c>
    </row>
    <row r="4" spans="1:47" x14ac:dyDescent="0.25">
      <c r="A4" t="s">
        <v>51</v>
      </c>
      <c r="B4">
        <v>6.3</v>
      </c>
      <c r="C4">
        <v>2.9</v>
      </c>
      <c r="D4">
        <v>5.6</v>
      </c>
      <c r="E4">
        <v>1.8</v>
      </c>
      <c r="G4" t="s">
        <v>51</v>
      </c>
      <c r="H4" t="s">
        <v>51</v>
      </c>
      <c r="L4">
        <v>3</v>
      </c>
      <c r="M4">
        <v>0.12026614079734455</v>
      </c>
      <c r="N4">
        <v>1.1025000000000002E-3</v>
      </c>
      <c r="O4">
        <v>3</v>
      </c>
      <c r="P4">
        <v>5.7419896653527196E-2</v>
      </c>
      <c r="Q4">
        <v>1.1025000000000002E-3</v>
      </c>
      <c r="R4">
        <v>3</v>
      </c>
      <c r="S4">
        <v>5.7287233400349566E-2</v>
      </c>
      <c r="T4">
        <v>1.1025000000000002E-3</v>
      </c>
      <c r="AE4">
        <v>0.34000000000000014</v>
      </c>
      <c r="AF4">
        <v>-1.3950444955108732</v>
      </c>
      <c r="AG4">
        <v>-1.3841542292137561</v>
      </c>
      <c r="AI4">
        <v>3</v>
      </c>
      <c r="AJ4">
        <v>0.48398948905650729</v>
      </c>
      <c r="AK4">
        <v>1</v>
      </c>
      <c r="AT4">
        <v>0.34000000000000014</v>
      </c>
      <c r="AU4">
        <v>-1.3950444955108732</v>
      </c>
    </row>
    <row r="5" spans="1:47" x14ac:dyDescent="0.25">
      <c r="A5" t="s">
        <v>49</v>
      </c>
      <c r="B5">
        <v>4.8</v>
      </c>
      <c r="C5">
        <v>3.4</v>
      </c>
      <c r="D5">
        <v>1.9</v>
      </c>
      <c r="E5">
        <v>0.2</v>
      </c>
      <c r="G5" t="s">
        <v>49</v>
      </c>
      <c r="H5" t="s">
        <v>49</v>
      </c>
      <c r="L5">
        <v>4</v>
      </c>
      <c r="M5">
        <v>4.8603149292365797E-2</v>
      </c>
      <c r="N5">
        <v>1.1025000000000002E-4</v>
      </c>
      <c r="O5">
        <v>4</v>
      </c>
      <c r="P5">
        <v>5.6082098517648976E-2</v>
      </c>
      <c r="Q5">
        <v>1.1576250000000002E-3</v>
      </c>
      <c r="R5">
        <v>4</v>
      </c>
      <c r="S5">
        <v>5.5899373221883604E-2</v>
      </c>
      <c r="T5">
        <v>1.1576250000000002E-3</v>
      </c>
      <c r="AE5">
        <v>0.9200000000000006</v>
      </c>
      <c r="AF5">
        <v>-0.33048813093575308</v>
      </c>
      <c r="AG5">
        <v>-0.24311524669102624</v>
      </c>
      <c r="AI5">
        <v>4</v>
      </c>
      <c r="AJ5">
        <v>0.47344847192677347</v>
      </c>
      <c r="AK5">
        <v>1</v>
      </c>
      <c r="AT5">
        <v>0.9200000000000006</v>
      </c>
      <c r="AU5">
        <v>-0.33048813093575308</v>
      </c>
    </row>
    <row r="6" spans="1:47" x14ac:dyDescent="0.25">
      <c r="A6" t="s">
        <v>49</v>
      </c>
      <c r="B6">
        <v>4.5999999999999996</v>
      </c>
      <c r="C6">
        <v>3.1</v>
      </c>
      <c r="D6">
        <v>1.5</v>
      </c>
      <c r="E6">
        <v>0.2</v>
      </c>
      <c r="G6" t="s">
        <v>49</v>
      </c>
      <c r="H6" t="s">
        <v>49</v>
      </c>
      <c r="L6">
        <v>5</v>
      </c>
      <c r="M6">
        <v>4.8132794752164143E-2</v>
      </c>
      <c r="N6">
        <v>1.1576250000000003E-4</v>
      </c>
      <c r="O6">
        <v>5</v>
      </c>
      <c r="P6">
        <v>5.4778479597696342E-2</v>
      </c>
      <c r="Q6">
        <v>1.2155062500000004E-3</v>
      </c>
      <c r="R6">
        <v>5</v>
      </c>
      <c r="S6">
        <v>5.4466844994522742E-2</v>
      </c>
      <c r="T6">
        <v>1.2155062500000004E-3</v>
      </c>
      <c r="AE6">
        <v>0.99000000000000066</v>
      </c>
      <c r="AF6">
        <v>1.8300546105888296</v>
      </c>
      <c r="AG6">
        <v>1.5253949755958374</v>
      </c>
      <c r="AI6">
        <v>5</v>
      </c>
      <c r="AJ6">
        <v>0.45954454987704352</v>
      </c>
      <c r="AK6">
        <v>1</v>
      </c>
      <c r="AT6">
        <v>0.99000000000000066</v>
      </c>
      <c r="AU6">
        <v>1.8300546105888296</v>
      </c>
    </row>
    <row r="7" spans="1:47" x14ac:dyDescent="0.25">
      <c r="A7" t="s">
        <v>51</v>
      </c>
      <c r="B7">
        <v>6.3</v>
      </c>
      <c r="C7">
        <v>3.4</v>
      </c>
      <c r="D7">
        <v>5.6</v>
      </c>
      <c r="E7">
        <v>2.4</v>
      </c>
      <c r="G7" t="s">
        <v>51</v>
      </c>
      <c r="H7" t="s">
        <v>51</v>
      </c>
      <c r="L7">
        <v>6</v>
      </c>
      <c r="M7">
        <v>4.7710524746158806E-2</v>
      </c>
      <c r="N7">
        <v>1.2155062500000004E-4</v>
      </c>
      <c r="O7">
        <v>6</v>
      </c>
      <c r="P7">
        <v>5.3496970397687589E-2</v>
      </c>
      <c r="Q7">
        <v>1.2762815625000006E-3</v>
      </c>
      <c r="R7">
        <v>6</v>
      </c>
      <c r="S7">
        <v>5.3130082405517455E-2</v>
      </c>
      <c r="T7">
        <v>1.2762815625000006E-3</v>
      </c>
      <c r="AE7">
        <v>0.04</v>
      </c>
      <c r="AF7">
        <v>1.8186485634698273</v>
      </c>
      <c r="AG7">
        <v>1.6146694557157559</v>
      </c>
      <c r="AI7">
        <v>6</v>
      </c>
      <c r="AJ7">
        <v>0.4528444597754897</v>
      </c>
      <c r="AK7">
        <v>1</v>
      </c>
      <c r="AT7">
        <v>0.04</v>
      </c>
      <c r="AU7">
        <v>1.8186485634698273</v>
      </c>
    </row>
    <row r="8" spans="1:47" x14ac:dyDescent="0.25">
      <c r="A8" t="s">
        <v>51</v>
      </c>
      <c r="B8">
        <v>6.7</v>
      </c>
      <c r="C8">
        <v>3.3</v>
      </c>
      <c r="D8">
        <v>5.7</v>
      </c>
      <c r="E8">
        <v>2.5</v>
      </c>
      <c r="G8" t="s">
        <v>51</v>
      </c>
      <c r="H8" t="s">
        <v>51</v>
      </c>
      <c r="L8">
        <v>7</v>
      </c>
      <c r="M8">
        <v>4.7299603138393466E-2</v>
      </c>
      <c r="N8">
        <v>1.2762815625000004E-4</v>
      </c>
      <c r="O8">
        <v>7</v>
      </c>
      <c r="P8">
        <v>5.2244688789977817E-2</v>
      </c>
      <c r="Q8">
        <v>1.3400956406250007E-3</v>
      </c>
      <c r="R8">
        <v>7</v>
      </c>
      <c r="S8">
        <v>5.1832780955024478E-2</v>
      </c>
      <c r="T8">
        <v>1.3400956406250007E-3</v>
      </c>
      <c r="AE8">
        <v>0.80000000000000049</v>
      </c>
      <c r="AF8">
        <v>-0.52533593784832744</v>
      </c>
      <c r="AG8">
        <v>-0.73668454097527203</v>
      </c>
      <c r="AI8">
        <v>7</v>
      </c>
      <c r="AJ8">
        <v>0.45032720577100349</v>
      </c>
      <c r="AK8">
        <v>1</v>
      </c>
      <c r="AT8">
        <v>0.80000000000000049</v>
      </c>
      <c r="AU8">
        <v>-0.52533593784832744</v>
      </c>
    </row>
    <row r="9" spans="1:47" x14ac:dyDescent="0.25">
      <c r="A9" t="s">
        <v>51</v>
      </c>
      <c r="B9">
        <v>7.7</v>
      </c>
      <c r="C9">
        <v>3</v>
      </c>
      <c r="D9">
        <v>6.1</v>
      </c>
      <c r="E9">
        <v>2.2999999999999998</v>
      </c>
      <c r="G9" t="s">
        <v>51</v>
      </c>
      <c r="H9" t="s">
        <v>51</v>
      </c>
      <c r="L9">
        <v>8</v>
      </c>
      <c r="M9">
        <v>4.6879614088685885E-2</v>
      </c>
      <c r="N9">
        <v>1.3400956406250006E-4</v>
      </c>
      <c r="O9">
        <v>8</v>
      </c>
      <c r="P9">
        <v>5.1033317904452036E-2</v>
      </c>
      <c r="Q9">
        <v>1.4071004226562508E-3</v>
      </c>
      <c r="R9">
        <v>8</v>
      </c>
      <c r="S9">
        <v>5.0548103283841191E-2</v>
      </c>
      <c r="T9">
        <v>1.4071004226562508E-3</v>
      </c>
      <c r="AE9">
        <v>0.75000000000000044</v>
      </c>
      <c r="AF9">
        <v>-0.6037830797493724</v>
      </c>
      <c r="AG9">
        <v>-0.31692757704641394</v>
      </c>
      <c r="AI9">
        <v>8</v>
      </c>
      <c r="AJ9">
        <v>0.44666979675525459</v>
      </c>
      <c r="AK9">
        <v>1</v>
      </c>
      <c r="AT9">
        <v>0.75000000000000044</v>
      </c>
      <c r="AU9">
        <v>-0.6037830797493724</v>
      </c>
    </row>
    <row r="10" spans="1:47" x14ac:dyDescent="0.25">
      <c r="A10" t="s">
        <v>50</v>
      </c>
      <c r="B10">
        <v>4.9000000000000004</v>
      </c>
      <c r="C10">
        <v>2.4</v>
      </c>
      <c r="D10">
        <v>3.3</v>
      </c>
      <c r="E10">
        <v>1</v>
      </c>
      <c r="G10" t="s">
        <v>50</v>
      </c>
      <c r="H10" t="s">
        <v>50</v>
      </c>
      <c r="L10">
        <v>9</v>
      </c>
      <c r="M10">
        <v>4.6466797922517705E-2</v>
      </c>
      <c r="N10">
        <v>1.4071004226562508E-4</v>
      </c>
      <c r="O10">
        <v>9</v>
      </c>
      <c r="P10">
        <v>4.9827816459066539E-2</v>
      </c>
      <c r="Q10">
        <v>1.4774554437890634E-3</v>
      </c>
      <c r="R10">
        <v>9</v>
      </c>
      <c r="S10">
        <v>4.926446215473522E-2</v>
      </c>
      <c r="T10">
        <v>1.4774554437890634E-3</v>
      </c>
      <c r="AE10">
        <v>7.0000000000000007E-2</v>
      </c>
      <c r="AF10">
        <v>1.3769698209020529</v>
      </c>
      <c r="AG10">
        <v>1.4903621555633357</v>
      </c>
      <c r="AI10">
        <v>9</v>
      </c>
      <c r="AJ10">
        <v>0.44466521714021395</v>
      </c>
      <c r="AK10">
        <v>0.25</v>
      </c>
      <c r="AT10">
        <v>7.0000000000000007E-2</v>
      </c>
      <c r="AU10">
        <v>1.3769698209020529</v>
      </c>
    </row>
    <row r="11" spans="1:47" x14ac:dyDescent="0.25">
      <c r="A11" t="s">
        <v>51</v>
      </c>
      <c r="B11">
        <v>6.3</v>
      </c>
      <c r="C11">
        <v>2.7</v>
      </c>
      <c r="D11">
        <v>4.9000000000000004</v>
      </c>
      <c r="E11">
        <v>1.8</v>
      </c>
      <c r="G11" t="s">
        <v>51</v>
      </c>
      <c r="H11" t="s">
        <v>51</v>
      </c>
      <c r="L11">
        <v>10</v>
      </c>
      <c r="M11">
        <v>4.6048214292863598E-2</v>
      </c>
      <c r="N11">
        <v>1.4774554437890634E-4</v>
      </c>
      <c r="O11">
        <v>10</v>
      </c>
      <c r="P11">
        <v>4.8635384400163913E-2</v>
      </c>
      <c r="Q11">
        <v>1.5513282159785166E-3</v>
      </c>
      <c r="R11">
        <v>10</v>
      </c>
      <c r="S11">
        <v>4.8055424168937919E-2</v>
      </c>
      <c r="T11">
        <v>1.5513282159785166E-3</v>
      </c>
      <c r="AE11">
        <v>0.73000000000000043</v>
      </c>
      <c r="AF11">
        <v>0.14729107929989191</v>
      </c>
      <c r="AG11">
        <v>-0.12304626329003199</v>
      </c>
      <c r="AI11">
        <v>10</v>
      </c>
      <c r="AJ11">
        <v>0.44320206787690336</v>
      </c>
      <c r="AK11">
        <v>0.5</v>
      </c>
      <c r="AT11">
        <v>0.73000000000000043</v>
      </c>
      <c r="AU11">
        <v>0.14729107929989191</v>
      </c>
    </row>
    <row r="12" spans="1:47" x14ac:dyDescent="0.25">
      <c r="A12" t="s">
        <v>49</v>
      </c>
      <c r="B12">
        <v>5</v>
      </c>
      <c r="C12">
        <v>3.4</v>
      </c>
      <c r="D12">
        <v>1.5</v>
      </c>
      <c r="E12">
        <v>0.2</v>
      </c>
      <c r="G12" t="s">
        <v>49</v>
      </c>
      <c r="H12" t="s">
        <v>49</v>
      </c>
      <c r="L12">
        <v>11</v>
      </c>
      <c r="M12">
        <v>4.5638972340333976E-2</v>
      </c>
      <c r="N12">
        <v>1.5513282159785165E-4</v>
      </c>
      <c r="O12">
        <v>11</v>
      </c>
      <c r="P12">
        <v>4.74845684505966E-2</v>
      </c>
      <c r="Q12">
        <v>1.6288946267774425E-3</v>
      </c>
      <c r="R12">
        <v>11</v>
      </c>
      <c r="S12">
        <v>4.6827419266183834E-2</v>
      </c>
      <c r="T12">
        <v>1.6288946267774425E-3</v>
      </c>
      <c r="AE12">
        <v>0.82000000000000051</v>
      </c>
      <c r="AF12">
        <v>-0.76994757281236981</v>
      </c>
      <c r="AG12">
        <v>-0.83930723382306027</v>
      </c>
      <c r="AI12">
        <v>11</v>
      </c>
      <c r="AJ12">
        <v>0.441239079741439</v>
      </c>
      <c r="AK12">
        <v>1</v>
      </c>
      <c r="AT12">
        <v>0.82000000000000051</v>
      </c>
      <c r="AU12">
        <v>-0.76994757281236981</v>
      </c>
    </row>
    <row r="13" spans="1:47" x14ac:dyDescent="0.25">
      <c r="A13" t="s">
        <v>50</v>
      </c>
      <c r="B13">
        <v>6.3</v>
      </c>
      <c r="C13">
        <v>2.5</v>
      </c>
      <c r="D13">
        <v>4.9000000000000004</v>
      </c>
      <c r="E13">
        <v>1.5</v>
      </c>
      <c r="G13" t="s">
        <v>50</v>
      </c>
      <c r="H13" t="s">
        <v>50</v>
      </c>
      <c r="L13">
        <v>12</v>
      </c>
      <c r="M13">
        <v>4.5244234194443567E-2</v>
      </c>
      <c r="N13">
        <v>1.6288946267774423E-4</v>
      </c>
      <c r="O13">
        <v>12</v>
      </c>
      <c r="P13">
        <v>4.6327873525974964E-2</v>
      </c>
      <c r="Q13">
        <v>1.7103393581163148E-3</v>
      </c>
      <c r="R13">
        <v>12</v>
      </c>
      <c r="S13">
        <v>4.5636914605018189E-2</v>
      </c>
      <c r="T13">
        <v>1.7103393581163148E-3</v>
      </c>
      <c r="AE13">
        <v>0.96000000000000063</v>
      </c>
      <c r="AF13">
        <v>0.72027335086141797</v>
      </c>
      <c r="AG13">
        <v>0.6345916056496641</v>
      </c>
      <c r="AI13">
        <v>12</v>
      </c>
      <c r="AJ13">
        <v>0.42397199828439219</v>
      </c>
      <c r="AK13">
        <v>5.5</v>
      </c>
      <c r="AT13">
        <v>0.96000000000000063</v>
      </c>
      <c r="AU13">
        <v>0.72027335086141797</v>
      </c>
    </row>
    <row r="14" spans="1:47" x14ac:dyDescent="0.25">
      <c r="A14" t="s">
        <v>50</v>
      </c>
      <c r="B14">
        <v>5.7</v>
      </c>
      <c r="C14">
        <v>2.9</v>
      </c>
      <c r="D14">
        <v>4.2</v>
      </c>
      <c r="E14">
        <v>1.3</v>
      </c>
      <c r="G14" t="s">
        <v>50</v>
      </c>
      <c r="H14" t="s">
        <v>50</v>
      </c>
      <c r="L14">
        <v>13</v>
      </c>
      <c r="M14">
        <v>4.4890787269066749E-2</v>
      </c>
      <c r="N14">
        <v>1.7103393581163143E-4</v>
      </c>
      <c r="O14">
        <v>13</v>
      </c>
      <c r="P14">
        <v>4.5215225149977736E-2</v>
      </c>
      <c r="Q14">
        <v>1.7958563260221305E-3</v>
      </c>
      <c r="R14">
        <v>13</v>
      </c>
      <c r="S14">
        <v>4.4440715466327808E-2</v>
      </c>
      <c r="T14">
        <v>1.7958563260221305E-3</v>
      </c>
      <c r="AE14">
        <v>0.19000000000000003</v>
      </c>
      <c r="AF14">
        <v>0.96598388666438073</v>
      </c>
      <c r="AG14">
        <v>0.74542674930938801</v>
      </c>
      <c r="AI14">
        <v>13</v>
      </c>
      <c r="AJ14">
        <v>0.39698530621093631</v>
      </c>
      <c r="AK14">
        <v>0.25</v>
      </c>
      <c r="AT14">
        <v>0.19000000000000003</v>
      </c>
      <c r="AU14">
        <v>0.96598388666438073</v>
      </c>
    </row>
    <row r="15" spans="1:47" x14ac:dyDescent="0.25">
      <c r="A15" t="s">
        <v>50</v>
      </c>
      <c r="B15">
        <v>5</v>
      </c>
      <c r="C15">
        <v>2.2999999999999998</v>
      </c>
      <c r="D15">
        <v>3.3</v>
      </c>
      <c r="E15">
        <v>1</v>
      </c>
      <c r="G15" t="s">
        <v>50</v>
      </c>
      <c r="H15" t="s">
        <v>50</v>
      </c>
      <c r="L15">
        <v>14</v>
      </c>
      <c r="M15">
        <v>4.4442291063254931E-2</v>
      </c>
      <c r="N15">
        <v>1.79585632602213E-4</v>
      </c>
      <c r="O15">
        <v>14</v>
      </c>
      <c r="P15">
        <v>4.4101836510014751E-2</v>
      </c>
      <c r="Q15">
        <v>1.8856491423232371E-3</v>
      </c>
      <c r="R15">
        <v>14</v>
      </c>
      <c r="S15">
        <v>4.3260350475404684E-2</v>
      </c>
      <c r="T15">
        <v>1.8856491423232371E-3</v>
      </c>
      <c r="AE15">
        <v>0.42000000000000021</v>
      </c>
      <c r="AF15">
        <v>-1.7852379687657634</v>
      </c>
      <c r="AG15">
        <v>-1.4096494139797109</v>
      </c>
      <c r="AI15">
        <v>14</v>
      </c>
      <c r="AJ15">
        <v>0.37347417351463791</v>
      </c>
      <c r="AK15">
        <v>6.25E-2</v>
      </c>
      <c r="AT15">
        <v>0.42000000000000021</v>
      </c>
      <c r="AU15">
        <v>-1.7852379687657634</v>
      </c>
    </row>
    <row r="16" spans="1:47" x14ac:dyDescent="0.25">
      <c r="A16" t="s">
        <v>49</v>
      </c>
      <c r="B16">
        <v>5.0999999999999996</v>
      </c>
      <c r="C16">
        <v>3.8</v>
      </c>
      <c r="D16">
        <v>1.6</v>
      </c>
      <c r="E16">
        <v>0.2</v>
      </c>
      <c r="G16" t="s">
        <v>49</v>
      </c>
      <c r="H16" t="s">
        <v>49</v>
      </c>
      <c r="L16">
        <v>15</v>
      </c>
      <c r="M16">
        <v>4.4055715660461785E-2</v>
      </c>
      <c r="N16">
        <v>1.8856491423232367E-4</v>
      </c>
      <c r="O16">
        <v>15</v>
      </c>
      <c r="P16">
        <v>4.3014552617058888E-2</v>
      </c>
      <c r="Q16">
        <v>1.979931599439399E-3</v>
      </c>
      <c r="R16">
        <v>15</v>
      </c>
      <c r="S16">
        <v>4.2101458703079686E-2</v>
      </c>
      <c r="T16">
        <v>1.979931599439399E-3</v>
      </c>
      <c r="AE16">
        <v>0.33000000000000013</v>
      </c>
      <c r="AF16">
        <v>-0.93376245019082815</v>
      </c>
      <c r="AG16">
        <v>-1.2933375547109911</v>
      </c>
      <c r="AI16">
        <v>15</v>
      </c>
      <c r="AJ16">
        <v>0.31790555700633544</v>
      </c>
      <c r="AK16">
        <v>0.5</v>
      </c>
      <c r="AT16">
        <v>0.33000000000000013</v>
      </c>
      <c r="AU16">
        <v>-0.93376245019082815</v>
      </c>
    </row>
    <row r="17" spans="1:47" x14ac:dyDescent="0.25">
      <c r="A17" t="s">
        <v>51</v>
      </c>
      <c r="B17">
        <v>4.9000000000000004</v>
      </c>
      <c r="C17">
        <v>2.5</v>
      </c>
      <c r="D17">
        <v>4.5</v>
      </c>
      <c r="E17">
        <v>1.7</v>
      </c>
      <c r="G17" t="s">
        <v>51</v>
      </c>
      <c r="H17" t="s">
        <v>51</v>
      </c>
      <c r="L17">
        <v>16</v>
      </c>
      <c r="M17">
        <v>4.3670950730847043E-2</v>
      </c>
      <c r="N17">
        <v>1.9799315994393986E-4</v>
      </c>
      <c r="O17">
        <v>16</v>
      </c>
      <c r="P17">
        <v>4.1967330514505838E-2</v>
      </c>
      <c r="Q17">
        <v>2.0789281794113693E-3</v>
      </c>
      <c r="R17">
        <v>16</v>
      </c>
      <c r="S17">
        <v>4.099002960221361E-2</v>
      </c>
      <c r="T17">
        <v>2.0789281794113693E-3</v>
      </c>
      <c r="AE17">
        <v>0.20000000000000004</v>
      </c>
      <c r="AF17">
        <v>8.0485212916618656E-2</v>
      </c>
      <c r="AG17">
        <v>0.62669323299762425</v>
      </c>
      <c r="AI17">
        <v>16</v>
      </c>
      <c r="AJ17">
        <v>0.26822174977598889</v>
      </c>
      <c r="AK17">
        <v>0.5</v>
      </c>
      <c r="AT17">
        <v>0.20000000000000004</v>
      </c>
      <c r="AU17">
        <v>8.0485212916618656E-2</v>
      </c>
    </row>
    <row r="18" spans="1:47" x14ac:dyDescent="0.25">
      <c r="A18" t="s">
        <v>49</v>
      </c>
      <c r="B18">
        <v>4.7</v>
      </c>
      <c r="C18">
        <v>3.2</v>
      </c>
      <c r="D18">
        <v>1.3</v>
      </c>
      <c r="E18">
        <v>0.2</v>
      </c>
      <c r="G18" t="s">
        <v>49</v>
      </c>
      <c r="H18" t="s">
        <v>49</v>
      </c>
      <c r="L18">
        <v>17</v>
      </c>
      <c r="M18">
        <v>4.3298192997661335E-2</v>
      </c>
      <c r="N18">
        <v>2.0789281794113685E-4</v>
      </c>
      <c r="O18">
        <v>17</v>
      </c>
      <c r="P18">
        <v>4.0973824782961313E-2</v>
      </c>
      <c r="Q18">
        <v>2.1828745883819378E-3</v>
      </c>
      <c r="R18">
        <v>17</v>
      </c>
      <c r="S18">
        <v>3.9944405161762946E-2</v>
      </c>
      <c r="T18">
        <v>2.1828745883819378E-3</v>
      </c>
      <c r="AE18">
        <v>0.89000000000000057</v>
      </c>
      <c r="AF18">
        <v>-0.67682087855348982</v>
      </c>
      <c r="AG18">
        <v>-0.65280704166029579</v>
      </c>
      <c r="AI18">
        <v>17</v>
      </c>
      <c r="AJ18">
        <v>0.24791043328618023</v>
      </c>
      <c r="AK18">
        <v>1</v>
      </c>
      <c r="AT18">
        <v>0.89000000000000057</v>
      </c>
      <c r="AU18">
        <v>-0.67682087855348982</v>
      </c>
    </row>
    <row r="19" spans="1:47" x14ac:dyDescent="0.25">
      <c r="A19" t="s">
        <v>51</v>
      </c>
      <c r="B19">
        <v>6.8</v>
      </c>
      <c r="C19">
        <v>3.2</v>
      </c>
      <c r="D19">
        <v>5.9</v>
      </c>
      <c r="E19">
        <v>2.2999999999999998</v>
      </c>
      <c r="G19" t="s">
        <v>51</v>
      </c>
      <c r="H19" t="s">
        <v>51</v>
      </c>
      <c r="L19">
        <v>18</v>
      </c>
      <c r="M19">
        <v>4.2933040077057234E-2</v>
      </c>
      <c r="N19">
        <v>2.1828745883819371E-4</v>
      </c>
      <c r="O19">
        <v>18</v>
      </c>
      <c r="P19">
        <v>4.0034302981249735E-2</v>
      </c>
      <c r="Q19">
        <v>2.2920183178010349E-3</v>
      </c>
      <c r="R19">
        <v>18</v>
      </c>
      <c r="S19">
        <v>3.8930237303851492E-2</v>
      </c>
      <c r="T19">
        <v>2.2920183178010349E-3</v>
      </c>
      <c r="AE19">
        <v>0.50000000000000022</v>
      </c>
      <c r="AF19">
        <v>-0.39290869424875774</v>
      </c>
      <c r="AG19">
        <v>-0.54750378797343657</v>
      </c>
      <c r="AI19">
        <v>18</v>
      </c>
      <c r="AJ19">
        <v>0.23750069416832345</v>
      </c>
      <c r="AK19">
        <v>1</v>
      </c>
      <c r="AT19">
        <v>0.50000000000000022</v>
      </c>
      <c r="AU19">
        <v>-0.39290869424875774</v>
      </c>
    </row>
    <row r="20" spans="1:47" x14ac:dyDescent="0.25">
      <c r="A20" t="s">
        <v>51</v>
      </c>
      <c r="B20">
        <v>6.5</v>
      </c>
      <c r="C20">
        <v>3</v>
      </c>
      <c r="D20">
        <v>5.2</v>
      </c>
      <c r="E20">
        <v>2</v>
      </c>
      <c r="G20" t="s">
        <v>51</v>
      </c>
      <c r="H20" t="s">
        <v>51</v>
      </c>
      <c r="L20">
        <v>19</v>
      </c>
      <c r="M20">
        <v>4.2594364589743534E-2</v>
      </c>
      <c r="N20">
        <v>2.292018317801034E-4</v>
      </c>
      <c r="O20">
        <v>19</v>
      </c>
      <c r="P20">
        <v>3.9143114994734461E-2</v>
      </c>
      <c r="Q20">
        <v>2.4066192336910869E-3</v>
      </c>
      <c r="R20">
        <v>19</v>
      </c>
      <c r="S20">
        <v>3.8015482214353948E-2</v>
      </c>
      <c r="T20">
        <v>2.4066192336910869E-3</v>
      </c>
      <c r="AE20">
        <v>0.78000000000000047</v>
      </c>
      <c r="AF20">
        <v>-0.98681875190269575</v>
      </c>
      <c r="AG20">
        <v>-0.58925669340023035</v>
      </c>
      <c r="AI20">
        <v>19</v>
      </c>
      <c r="AJ20">
        <v>0.23150947968285129</v>
      </c>
      <c r="AK20">
        <v>1</v>
      </c>
      <c r="AT20">
        <v>0.78000000000000047</v>
      </c>
      <c r="AU20">
        <v>-0.98681875190269575</v>
      </c>
    </row>
    <row r="21" spans="1:47" x14ac:dyDescent="0.25">
      <c r="A21" t="s">
        <v>49</v>
      </c>
      <c r="B21">
        <v>5.2</v>
      </c>
      <c r="C21">
        <v>3.4</v>
      </c>
      <c r="D21">
        <v>1.4</v>
      </c>
      <c r="E21">
        <v>0.2</v>
      </c>
      <c r="G21" t="s">
        <v>49</v>
      </c>
      <c r="H21" t="s">
        <v>49</v>
      </c>
      <c r="L21">
        <v>20</v>
      </c>
      <c r="M21">
        <v>4.2281551289951723E-2</v>
      </c>
      <c r="N21">
        <v>2.4066192336910858E-4</v>
      </c>
      <c r="O21">
        <v>20</v>
      </c>
      <c r="P21">
        <v>3.8365904578243105E-2</v>
      </c>
      <c r="Q21">
        <v>2.5269501953756415E-3</v>
      </c>
      <c r="R21">
        <v>20</v>
      </c>
      <c r="S21">
        <v>3.7194491345404757E-2</v>
      </c>
      <c r="T21">
        <v>2.5269501953756415E-3</v>
      </c>
      <c r="AE21">
        <v>0.52000000000000024</v>
      </c>
      <c r="AF21">
        <v>6.4308257905106248E-2</v>
      </c>
      <c r="AG21">
        <v>-0.2968723536840443</v>
      </c>
      <c r="AI21">
        <v>20</v>
      </c>
      <c r="AJ21">
        <v>0.23026536766018652</v>
      </c>
      <c r="AK21">
        <v>1</v>
      </c>
      <c r="AT21">
        <v>0.52000000000000024</v>
      </c>
      <c r="AU21">
        <v>6.4308257905106248E-2</v>
      </c>
    </row>
    <row r="22" spans="1:47" x14ac:dyDescent="0.25">
      <c r="A22" t="s">
        <v>51</v>
      </c>
      <c r="B22">
        <v>6.1</v>
      </c>
      <c r="C22">
        <v>3</v>
      </c>
      <c r="D22">
        <v>4.9000000000000004</v>
      </c>
      <c r="E22">
        <v>1.8</v>
      </c>
      <c r="G22" t="s">
        <v>51</v>
      </c>
      <c r="H22" t="s">
        <v>51</v>
      </c>
      <c r="L22">
        <v>21</v>
      </c>
      <c r="M22">
        <v>4.1891953473588393E-2</v>
      </c>
      <c r="N22">
        <v>2.52695019537564E-4</v>
      </c>
      <c r="O22">
        <v>21</v>
      </c>
      <c r="P22">
        <v>3.7559219781571861E-2</v>
      </c>
      <c r="Q22">
        <v>2.6532977051444235E-3</v>
      </c>
      <c r="R22">
        <v>21</v>
      </c>
      <c r="S22">
        <v>3.6468754868120859E-2</v>
      </c>
      <c r="T22">
        <v>2.6532977051444235E-3</v>
      </c>
      <c r="AE22">
        <v>0.36000000000000015</v>
      </c>
      <c r="AF22">
        <v>-1.3902450054933866</v>
      </c>
      <c r="AG22">
        <v>-1.5075568008959799</v>
      </c>
      <c r="AI22">
        <v>21</v>
      </c>
      <c r="AJ22">
        <v>0.23021098736535256</v>
      </c>
      <c r="AK22">
        <v>1</v>
      </c>
      <c r="AT22">
        <v>0.36000000000000015</v>
      </c>
      <c r="AU22">
        <v>-1.3902450054933866</v>
      </c>
    </row>
    <row r="23" spans="1:47" x14ac:dyDescent="0.25">
      <c r="A23" t="s">
        <v>49</v>
      </c>
      <c r="B23">
        <v>4.3</v>
      </c>
      <c r="C23">
        <v>3</v>
      </c>
      <c r="D23">
        <v>1.1000000000000001</v>
      </c>
      <c r="E23">
        <v>0.1</v>
      </c>
      <c r="G23" t="s">
        <v>49</v>
      </c>
      <c r="H23" t="s">
        <v>49</v>
      </c>
      <c r="L23">
        <v>22</v>
      </c>
      <c r="M23">
        <v>4.1595555951877396E-2</v>
      </c>
      <c r="N23">
        <v>2.653297705144422E-4</v>
      </c>
      <c r="O23">
        <v>22</v>
      </c>
      <c r="P23">
        <v>3.6958467338392816E-2</v>
      </c>
      <c r="Q23">
        <v>2.785962590401645E-3</v>
      </c>
      <c r="R23">
        <v>22</v>
      </c>
      <c r="S23">
        <v>3.5825746483676639E-2</v>
      </c>
      <c r="T23">
        <v>2.785962590401645E-3</v>
      </c>
      <c r="AE23">
        <v>0.9300000000000006</v>
      </c>
      <c r="AF23">
        <v>-3.0530543833434357E-2</v>
      </c>
      <c r="AG23">
        <v>-5.878010891873231E-2</v>
      </c>
      <c r="AI23">
        <v>22</v>
      </c>
      <c r="AJ23">
        <v>0.23001668880509227</v>
      </c>
      <c r="AK23">
        <v>1</v>
      </c>
      <c r="AT23">
        <v>0.9300000000000006</v>
      </c>
      <c r="AU23">
        <v>-3.0530543833434357E-2</v>
      </c>
    </row>
    <row r="24" spans="1:47" x14ac:dyDescent="0.25">
      <c r="A24" t="s">
        <v>49</v>
      </c>
      <c r="B24">
        <v>4.5</v>
      </c>
      <c r="C24">
        <v>2.2999999999999998</v>
      </c>
      <c r="D24">
        <v>1.3</v>
      </c>
      <c r="E24">
        <v>0.3</v>
      </c>
      <c r="G24" t="s">
        <v>49</v>
      </c>
      <c r="H24" t="s">
        <v>49</v>
      </c>
      <c r="L24">
        <v>23</v>
      </c>
      <c r="M24">
        <v>4.1220015147786282E-2</v>
      </c>
      <c r="N24">
        <v>2.7859625904016431E-4</v>
      </c>
      <c r="O24">
        <v>23</v>
      </c>
      <c r="P24">
        <v>3.6265092929373174E-2</v>
      </c>
      <c r="Q24">
        <v>2.9252607199217275E-3</v>
      </c>
      <c r="R24">
        <v>23</v>
      </c>
      <c r="S24">
        <v>3.5292620181036925E-2</v>
      </c>
      <c r="T24">
        <v>2.9252607199217275E-3</v>
      </c>
      <c r="AE24">
        <v>0.58000000000000029</v>
      </c>
      <c r="AF24">
        <v>-7.1093975163189244E-2</v>
      </c>
      <c r="AG24">
        <v>0.30623826188883285</v>
      </c>
      <c r="AI24">
        <v>23</v>
      </c>
      <c r="AJ24">
        <v>0.22960797013299863</v>
      </c>
      <c r="AK24">
        <v>1</v>
      </c>
      <c r="AT24">
        <v>0.58000000000000029</v>
      </c>
      <c r="AU24">
        <v>-7.1093975163189244E-2</v>
      </c>
    </row>
    <row r="25" spans="1:47" x14ac:dyDescent="0.25">
      <c r="A25" t="s">
        <v>51</v>
      </c>
      <c r="B25">
        <v>7.9</v>
      </c>
      <c r="C25">
        <v>3.8</v>
      </c>
      <c r="D25">
        <v>6.4</v>
      </c>
      <c r="E25">
        <v>2</v>
      </c>
      <c r="G25" t="s">
        <v>51</v>
      </c>
      <c r="H25" t="s">
        <v>51</v>
      </c>
      <c r="L25">
        <v>24</v>
      </c>
      <c r="M25">
        <v>4.1009538852104135E-2</v>
      </c>
      <c r="N25">
        <v>2.9252607199217252E-4</v>
      </c>
      <c r="O25">
        <v>24</v>
      </c>
      <c r="P25">
        <v>3.5687601841029419E-2</v>
      </c>
      <c r="Q25">
        <v>3.0715237559178141E-3</v>
      </c>
      <c r="R25">
        <v>24</v>
      </c>
      <c r="S25">
        <v>3.4934115201877773E-2</v>
      </c>
      <c r="T25">
        <v>3.0715237559178141E-3</v>
      </c>
      <c r="AE25">
        <v>9.9999999999999992E-2</v>
      </c>
      <c r="AF25">
        <v>1.3791795964365074</v>
      </c>
      <c r="AG25">
        <v>1.3732875869127419</v>
      </c>
      <c r="AI25">
        <v>24</v>
      </c>
      <c r="AJ25">
        <v>0.22874463179348739</v>
      </c>
      <c r="AK25">
        <v>1</v>
      </c>
      <c r="AT25">
        <v>9.9999999999999992E-2</v>
      </c>
      <c r="AU25">
        <v>1.3791795964365074</v>
      </c>
    </row>
    <row r="26" spans="1:47" x14ac:dyDescent="0.25">
      <c r="A26" t="s">
        <v>49</v>
      </c>
      <c r="B26">
        <v>4.8</v>
      </c>
      <c r="C26">
        <v>3</v>
      </c>
      <c r="D26">
        <v>1.4</v>
      </c>
      <c r="E26">
        <v>0.1</v>
      </c>
      <c r="G26" t="s">
        <v>49</v>
      </c>
      <c r="H26" t="s">
        <v>49</v>
      </c>
      <c r="L26">
        <v>25</v>
      </c>
      <c r="M26">
        <v>4.0665916416722188E-2</v>
      </c>
      <c r="N26">
        <v>3.0715237559178114E-4</v>
      </c>
      <c r="O26">
        <v>25</v>
      </c>
      <c r="P26">
        <v>3.5245096571517712E-2</v>
      </c>
      <c r="Q26">
        <v>3.2250999437137048E-3</v>
      </c>
      <c r="R26">
        <v>25</v>
      </c>
      <c r="S26">
        <v>3.4587233342224737E-2</v>
      </c>
      <c r="T26">
        <v>3.2250999437137048E-3</v>
      </c>
      <c r="AE26">
        <v>0.71000000000000041</v>
      </c>
      <c r="AF26">
        <v>-0.3905952026984042</v>
      </c>
      <c r="AG26">
        <v>6.3695420236584255E-2</v>
      </c>
      <c r="AI26">
        <v>25</v>
      </c>
      <c r="AJ26">
        <v>0.22764753768641202</v>
      </c>
      <c r="AK26">
        <v>1</v>
      </c>
      <c r="AT26">
        <v>0.71000000000000041</v>
      </c>
      <c r="AU26">
        <v>-0.3905952026984042</v>
      </c>
    </row>
    <row r="27" spans="1:47" x14ac:dyDescent="0.25">
      <c r="A27" t="s">
        <v>49</v>
      </c>
      <c r="B27">
        <v>5.0999999999999996</v>
      </c>
      <c r="C27">
        <v>3.5</v>
      </c>
      <c r="D27">
        <v>1.4</v>
      </c>
      <c r="E27">
        <v>0.3</v>
      </c>
      <c r="G27" t="s">
        <v>49</v>
      </c>
      <c r="H27" t="s">
        <v>49</v>
      </c>
      <c r="L27">
        <v>26</v>
      </c>
      <c r="M27">
        <v>4.0353262504910933E-2</v>
      </c>
      <c r="N27">
        <v>3.225099943713702E-4</v>
      </c>
      <c r="O27">
        <v>26</v>
      </c>
      <c r="P27">
        <v>3.5181820649213866E-2</v>
      </c>
      <c r="Q27">
        <v>3.3863549408993904E-3</v>
      </c>
      <c r="R27">
        <v>26</v>
      </c>
      <c r="S27">
        <v>3.4345121989823028E-2</v>
      </c>
      <c r="T27">
        <v>3.3863549408993904E-3</v>
      </c>
      <c r="AE27">
        <v>0.16</v>
      </c>
      <c r="AF27">
        <v>1.3144000807026794</v>
      </c>
      <c r="AG27">
        <v>1.0336453999822481</v>
      </c>
      <c r="AI27">
        <v>26</v>
      </c>
      <c r="AJ27">
        <v>0.22745451150413595</v>
      </c>
      <c r="AK27">
        <v>1</v>
      </c>
      <c r="AT27">
        <v>0.16</v>
      </c>
      <c r="AU27">
        <v>1.3144000807026794</v>
      </c>
    </row>
    <row r="28" spans="1:47" x14ac:dyDescent="0.25">
      <c r="A28" t="s">
        <v>49</v>
      </c>
      <c r="B28">
        <v>5.4</v>
      </c>
      <c r="C28">
        <v>3.9</v>
      </c>
      <c r="D28">
        <v>1.7</v>
      </c>
      <c r="E28">
        <v>0.4</v>
      </c>
      <c r="G28" t="s">
        <v>49</v>
      </c>
      <c r="H28" t="s">
        <v>49</v>
      </c>
      <c r="L28">
        <v>27</v>
      </c>
      <c r="M28">
        <v>4.0005616214445081E-2</v>
      </c>
      <c r="N28">
        <v>3.3863549408993872E-4</v>
      </c>
      <c r="O28">
        <v>27</v>
      </c>
      <c r="P28">
        <v>3.4573294266839069E-2</v>
      </c>
      <c r="Q28">
        <v>3.5556726879443601E-3</v>
      </c>
      <c r="R28">
        <v>27</v>
      </c>
      <c r="S28">
        <v>3.4121221568223857E-2</v>
      </c>
      <c r="T28">
        <v>3.5556726879443601E-3</v>
      </c>
      <c r="AE28">
        <v>0.40000000000000019</v>
      </c>
      <c r="AF28">
        <v>-1.7027509056411636</v>
      </c>
      <c r="AG28">
        <v>-1.5151017341552659</v>
      </c>
      <c r="AI28">
        <v>27</v>
      </c>
      <c r="AJ28">
        <v>0.22741745419094875</v>
      </c>
      <c r="AK28">
        <v>1</v>
      </c>
      <c r="AT28">
        <v>0.40000000000000019</v>
      </c>
      <c r="AU28">
        <v>-1.7027509056411636</v>
      </c>
    </row>
    <row r="29" spans="1:47" x14ac:dyDescent="0.25">
      <c r="A29" t="s">
        <v>51</v>
      </c>
      <c r="B29">
        <v>7.2</v>
      </c>
      <c r="C29">
        <v>3.2</v>
      </c>
      <c r="D29">
        <v>6</v>
      </c>
      <c r="E29">
        <v>1.8</v>
      </c>
      <c r="G29" t="s">
        <v>51</v>
      </c>
      <c r="H29" t="s">
        <v>51</v>
      </c>
      <c r="L29">
        <v>28</v>
      </c>
      <c r="M29">
        <v>3.9690839200600604E-2</v>
      </c>
      <c r="N29">
        <v>3.5556726879443565E-4</v>
      </c>
      <c r="O29">
        <v>28</v>
      </c>
      <c r="P29">
        <v>3.4258564106605036E-2</v>
      </c>
      <c r="Q29">
        <v>3.7334563223415784E-3</v>
      </c>
      <c r="R29">
        <v>28</v>
      </c>
      <c r="S29">
        <v>3.3914786259269893E-2</v>
      </c>
      <c r="T29">
        <v>3.7334563223415784E-3</v>
      </c>
      <c r="AE29">
        <v>0.44000000000000022</v>
      </c>
      <c r="AF29">
        <v>-1.3668948913591217</v>
      </c>
      <c r="AG29">
        <v>-1.2457277337753609</v>
      </c>
      <c r="AI29">
        <v>28</v>
      </c>
      <c r="AJ29">
        <v>0.22739346037645922</v>
      </c>
      <c r="AK29">
        <v>1</v>
      </c>
      <c r="AT29">
        <v>0.44000000000000022</v>
      </c>
      <c r="AU29">
        <v>-1.3668948913591217</v>
      </c>
    </row>
    <row r="30" spans="1:47" x14ac:dyDescent="0.25">
      <c r="A30" t="s">
        <v>49</v>
      </c>
      <c r="B30">
        <v>5.5</v>
      </c>
      <c r="C30">
        <v>4.2</v>
      </c>
      <c r="D30">
        <v>1.4</v>
      </c>
      <c r="E30">
        <v>0.2</v>
      </c>
      <c r="G30" t="s">
        <v>49</v>
      </c>
      <c r="H30" t="s">
        <v>49</v>
      </c>
      <c r="L30">
        <v>29</v>
      </c>
      <c r="M30">
        <v>3.9517019127605406E-2</v>
      </c>
      <c r="N30">
        <v>3.7334563223415747E-4</v>
      </c>
      <c r="O30">
        <v>29</v>
      </c>
      <c r="P30">
        <v>3.4015844260995597E-2</v>
      </c>
      <c r="Q30">
        <v>3.9201291384586574E-3</v>
      </c>
      <c r="R30">
        <v>29</v>
      </c>
      <c r="S30">
        <v>3.36995863451394E-2</v>
      </c>
      <c r="T30">
        <v>3.9201291384586574E-3</v>
      </c>
      <c r="AE30">
        <v>0.43000000000000022</v>
      </c>
      <c r="AF30">
        <v>-1.2056769958121596</v>
      </c>
      <c r="AG30">
        <v>-1.3341627386884198</v>
      </c>
      <c r="AI30">
        <v>29</v>
      </c>
      <c r="AJ30">
        <v>0.22734686646065252</v>
      </c>
      <c r="AK30">
        <v>1</v>
      </c>
      <c r="AT30">
        <v>0.43000000000000022</v>
      </c>
      <c r="AU30">
        <v>-1.2056769958121596</v>
      </c>
    </row>
    <row r="31" spans="1:47" x14ac:dyDescent="0.25">
      <c r="A31" t="s">
        <v>50</v>
      </c>
      <c r="B31">
        <v>5.6</v>
      </c>
      <c r="C31">
        <v>2.9</v>
      </c>
      <c r="D31">
        <v>3.6</v>
      </c>
      <c r="E31">
        <v>1.3</v>
      </c>
      <c r="G31" t="s">
        <v>50</v>
      </c>
      <c r="H31" t="s">
        <v>50</v>
      </c>
      <c r="L31">
        <v>30</v>
      </c>
      <c r="M31">
        <v>3.9099983717381499E-2</v>
      </c>
      <c r="N31">
        <v>3.9201291384586537E-4</v>
      </c>
      <c r="O31">
        <v>30</v>
      </c>
      <c r="P31">
        <v>3.4076215193872675E-2</v>
      </c>
      <c r="Q31">
        <v>4.1161355953815903E-3</v>
      </c>
      <c r="R31">
        <v>30</v>
      </c>
      <c r="S31">
        <v>3.3476983345977311E-2</v>
      </c>
      <c r="T31">
        <v>4.1161355953815903E-3</v>
      </c>
      <c r="AE31">
        <v>0.49000000000000027</v>
      </c>
      <c r="AF31">
        <v>-1.1538808626920265</v>
      </c>
      <c r="AG31">
        <v>-0.67424174603760179</v>
      </c>
      <c r="AI31">
        <v>30</v>
      </c>
      <c r="AJ31">
        <v>0.2272954593714458</v>
      </c>
      <c r="AK31">
        <v>1</v>
      </c>
      <c r="AT31">
        <v>0.49000000000000027</v>
      </c>
      <c r="AU31">
        <v>-1.1538808626920265</v>
      </c>
    </row>
    <row r="32" spans="1:47" x14ac:dyDescent="0.25">
      <c r="A32" t="s">
        <v>49</v>
      </c>
      <c r="B32">
        <v>5.4</v>
      </c>
      <c r="C32">
        <v>3.4</v>
      </c>
      <c r="D32">
        <v>1.5</v>
      </c>
      <c r="E32">
        <v>0.4</v>
      </c>
      <c r="G32" t="s">
        <v>49</v>
      </c>
      <c r="H32" t="s">
        <v>49</v>
      </c>
      <c r="L32">
        <v>31</v>
      </c>
      <c r="M32">
        <v>3.8828818849939335E-2</v>
      </c>
      <c r="N32">
        <v>4.1161355953815866E-4</v>
      </c>
      <c r="O32">
        <v>31</v>
      </c>
      <c r="P32">
        <v>3.39883195107408E-2</v>
      </c>
      <c r="Q32">
        <v>4.1161355953815904E-4</v>
      </c>
      <c r="R32">
        <v>31</v>
      </c>
      <c r="S32">
        <v>3.3258630460020505E-2</v>
      </c>
      <c r="T32">
        <v>4.3219423751506697E-3</v>
      </c>
      <c r="AE32">
        <v>0.28000000000000008</v>
      </c>
      <c r="AF32">
        <v>-0.66020255830828056</v>
      </c>
      <c r="AG32">
        <v>-0.61212527801764338</v>
      </c>
      <c r="AI32">
        <v>31</v>
      </c>
      <c r="AJ32">
        <v>0.22714837284492487</v>
      </c>
      <c r="AK32">
        <v>1</v>
      </c>
      <c r="AT32">
        <v>0.28000000000000008</v>
      </c>
      <c r="AU32">
        <v>-0.66020255830828056</v>
      </c>
    </row>
    <row r="33" spans="1:47" x14ac:dyDescent="0.25">
      <c r="A33" t="s">
        <v>50</v>
      </c>
      <c r="B33">
        <v>5.2</v>
      </c>
      <c r="C33">
        <v>2.7</v>
      </c>
      <c r="D33">
        <v>3.9</v>
      </c>
      <c r="E33">
        <v>1.4</v>
      </c>
      <c r="G33" t="s">
        <v>50</v>
      </c>
      <c r="H33" t="s">
        <v>50</v>
      </c>
      <c r="L33">
        <v>32</v>
      </c>
      <c r="M33">
        <v>3.8896400896868091E-2</v>
      </c>
      <c r="N33">
        <v>4.3219423751506659E-4</v>
      </c>
      <c r="O33">
        <v>32</v>
      </c>
      <c r="P33">
        <v>3.3963597628708465E-2</v>
      </c>
      <c r="Q33">
        <v>4.3219423751506702E-4</v>
      </c>
      <c r="R33">
        <v>32</v>
      </c>
      <c r="S33">
        <v>3.2999338334463287E-2</v>
      </c>
      <c r="T33">
        <v>4.5380394939082032E-3</v>
      </c>
      <c r="AE33">
        <v>0.23000000000000007</v>
      </c>
      <c r="AF33">
        <v>-4.1548989416199569E-2</v>
      </c>
      <c r="AG33">
        <v>0.20635700496333698</v>
      </c>
      <c r="AI33">
        <v>32</v>
      </c>
      <c r="AJ33">
        <v>0.22684115719107475</v>
      </c>
      <c r="AK33">
        <v>1</v>
      </c>
      <c r="AT33">
        <v>0.23000000000000007</v>
      </c>
      <c r="AU33">
        <v>-4.1548989416199569E-2</v>
      </c>
    </row>
    <row r="34" spans="1:47" x14ac:dyDescent="0.25">
      <c r="A34" t="s">
        <v>49</v>
      </c>
      <c r="B34">
        <v>5.8</v>
      </c>
      <c r="C34">
        <v>4</v>
      </c>
      <c r="D34">
        <v>1.2</v>
      </c>
      <c r="E34">
        <v>0.2</v>
      </c>
      <c r="G34" t="s">
        <v>49</v>
      </c>
      <c r="H34" t="s">
        <v>49</v>
      </c>
      <c r="L34">
        <v>33</v>
      </c>
      <c r="M34">
        <v>3.8792276161557039E-2</v>
      </c>
      <c r="N34">
        <v>4.3219423751506663E-5</v>
      </c>
      <c r="O34">
        <v>33</v>
      </c>
      <c r="P34">
        <v>3.3937601276472697E-2</v>
      </c>
      <c r="Q34">
        <v>4.5380394939082037E-4</v>
      </c>
      <c r="R34">
        <v>33</v>
      </c>
      <c r="S34">
        <v>3.2738869204211277E-2</v>
      </c>
      <c r="T34">
        <v>4.7649414686036133E-3</v>
      </c>
      <c r="AE34">
        <v>0.18000000000000002</v>
      </c>
      <c r="AF34">
        <v>0.89150683846706236</v>
      </c>
      <c r="AG34">
        <v>0.8526713086266291</v>
      </c>
      <c r="AI34">
        <v>33</v>
      </c>
      <c r="AJ34">
        <v>0.22626943804909797</v>
      </c>
      <c r="AK34">
        <v>1</v>
      </c>
      <c r="AT34">
        <v>0.18000000000000002</v>
      </c>
      <c r="AU34">
        <v>0.89150683846706236</v>
      </c>
    </row>
    <row r="35" spans="1:47" x14ac:dyDescent="0.25">
      <c r="A35" t="s">
        <v>50</v>
      </c>
      <c r="B35">
        <v>5.7</v>
      </c>
      <c r="C35">
        <v>2.8</v>
      </c>
      <c r="D35">
        <v>4.0999999999999996</v>
      </c>
      <c r="E35">
        <v>1.3</v>
      </c>
      <c r="G35" t="s">
        <v>50</v>
      </c>
      <c r="H35" t="s">
        <v>50</v>
      </c>
      <c r="L35">
        <v>34</v>
      </c>
      <c r="M35">
        <v>3.8759426043961667E-2</v>
      </c>
      <c r="N35">
        <v>4.5380394939081997E-5</v>
      </c>
      <c r="O35">
        <v>34</v>
      </c>
      <c r="P35">
        <v>3.3910444177923577E-2</v>
      </c>
      <c r="Q35">
        <v>4.7649414686036143E-4</v>
      </c>
      <c r="R35">
        <v>34</v>
      </c>
      <c r="S35">
        <v>3.2451240009438637E-2</v>
      </c>
      <c r="T35">
        <v>5.0031885420337941E-3</v>
      </c>
      <c r="AE35">
        <v>0.76000000000000045</v>
      </c>
      <c r="AF35">
        <v>-0.39809084462793204</v>
      </c>
      <c r="AG35">
        <v>-0.41202218653224065</v>
      </c>
      <c r="AI35">
        <v>34</v>
      </c>
      <c r="AJ35">
        <v>0.2254510164578678</v>
      </c>
      <c r="AK35">
        <v>1</v>
      </c>
      <c r="AT35">
        <v>0.76000000000000045</v>
      </c>
      <c r="AU35">
        <v>-0.39809084462793204</v>
      </c>
    </row>
    <row r="36" spans="1:47" x14ac:dyDescent="0.25">
      <c r="A36" t="s">
        <v>51</v>
      </c>
      <c r="B36">
        <v>7.1</v>
      </c>
      <c r="C36">
        <v>3</v>
      </c>
      <c r="D36">
        <v>5.9</v>
      </c>
      <c r="E36">
        <v>2.1</v>
      </c>
      <c r="G36" t="s">
        <v>51</v>
      </c>
      <c r="H36" t="s">
        <v>51</v>
      </c>
      <c r="L36">
        <v>35</v>
      </c>
      <c r="M36">
        <v>3.8728106671259727E-2</v>
      </c>
      <c r="N36">
        <v>4.7649414686036097E-5</v>
      </c>
      <c r="O36">
        <v>35</v>
      </c>
      <c r="P36">
        <v>3.3880687250119911E-2</v>
      </c>
      <c r="Q36">
        <v>5.003188542033795E-4</v>
      </c>
      <c r="R36">
        <v>35</v>
      </c>
      <c r="S36">
        <v>3.2273742415615626E-2</v>
      </c>
      <c r="T36">
        <v>5.2533479691354839E-3</v>
      </c>
      <c r="AE36">
        <v>0.13999999999999999</v>
      </c>
      <c r="AF36">
        <v>0.89803675613146738</v>
      </c>
      <c r="AG36">
        <v>1.174663245628274</v>
      </c>
      <c r="AI36">
        <v>35</v>
      </c>
      <c r="AJ36">
        <v>0.22357970356064322</v>
      </c>
      <c r="AK36">
        <v>1</v>
      </c>
      <c r="AT36">
        <v>0.13999999999999999</v>
      </c>
      <c r="AU36">
        <v>0.89803675613146738</v>
      </c>
    </row>
    <row r="37" spans="1:47" x14ac:dyDescent="0.25">
      <c r="A37" t="s">
        <v>49</v>
      </c>
      <c r="B37">
        <v>5.0999999999999996</v>
      </c>
      <c r="C37">
        <v>3.8</v>
      </c>
      <c r="D37">
        <v>1.5</v>
      </c>
      <c r="E37">
        <v>0.3</v>
      </c>
      <c r="G37" t="s">
        <v>49</v>
      </c>
      <c r="H37" t="s">
        <v>49</v>
      </c>
      <c r="L37">
        <v>36</v>
      </c>
      <c r="M37">
        <v>3.8696948617192951E-2</v>
      </c>
      <c r="N37">
        <v>5.0031885420337901E-5</v>
      </c>
      <c r="O37">
        <v>36</v>
      </c>
      <c r="P37">
        <v>3.3852762435543332E-2</v>
      </c>
      <c r="Q37">
        <v>5.2533479691354852E-4</v>
      </c>
      <c r="R37">
        <v>36</v>
      </c>
      <c r="S37">
        <v>3.1977449207580937E-2</v>
      </c>
      <c r="T37">
        <v>5.5160153675922587E-3</v>
      </c>
      <c r="AE37">
        <v>0.38000000000000017</v>
      </c>
      <c r="AF37">
        <v>-1.7917624268449821</v>
      </c>
      <c r="AG37">
        <v>-1.5503834709794688</v>
      </c>
      <c r="AI37">
        <v>36</v>
      </c>
      <c r="AJ37">
        <v>0.22099501855123721</v>
      </c>
      <c r="AK37">
        <v>1</v>
      </c>
      <c r="AT37">
        <v>0.38000000000000017</v>
      </c>
      <c r="AU37">
        <v>-1.7917624268449821</v>
      </c>
    </row>
    <row r="38" spans="1:47" x14ac:dyDescent="0.25">
      <c r="A38" t="s">
        <v>51</v>
      </c>
      <c r="B38">
        <v>6.4</v>
      </c>
      <c r="C38">
        <v>2.7</v>
      </c>
      <c r="D38">
        <v>5.3</v>
      </c>
      <c r="E38">
        <v>1.9</v>
      </c>
      <c r="G38" t="s">
        <v>51</v>
      </c>
      <c r="H38" t="s">
        <v>51</v>
      </c>
      <c r="L38">
        <v>37</v>
      </c>
      <c r="M38">
        <v>3.8662043404172279E-2</v>
      </c>
      <c r="N38">
        <v>5.25334796913548E-5</v>
      </c>
      <c r="O38">
        <v>37</v>
      </c>
      <c r="P38">
        <v>3.3820397588098336E-2</v>
      </c>
      <c r="Q38">
        <v>5.5160153675922602E-4</v>
      </c>
      <c r="R38">
        <v>37</v>
      </c>
      <c r="S38">
        <v>3.1499262540926165E-2</v>
      </c>
      <c r="T38">
        <v>5.7918161359718718E-3</v>
      </c>
      <c r="AE38">
        <v>0.87000000000000055</v>
      </c>
      <c r="AF38">
        <v>-0.87528665264445038</v>
      </c>
      <c r="AG38">
        <v>-0.80900467468094917</v>
      </c>
      <c r="AI38">
        <v>37</v>
      </c>
      <c r="AJ38">
        <v>0.21995573438929295</v>
      </c>
      <c r="AK38">
        <v>0.5</v>
      </c>
      <c r="AT38">
        <v>0.87000000000000055</v>
      </c>
      <c r="AU38">
        <v>-0.87528665264445038</v>
      </c>
    </row>
    <row r="39" spans="1:47" x14ac:dyDescent="0.25">
      <c r="A39" t="s">
        <v>49</v>
      </c>
      <c r="B39">
        <v>4.5999999999999996</v>
      </c>
      <c r="C39">
        <v>3.2</v>
      </c>
      <c r="D39">
        <v>1.4</v>
      </c>
      <c r="E39">
        <v>0.2</v>
      </c>
      <c r="G39" t="s">
        <v>49</v>
      </c>
      <c r="H39" t="s">
        <v>49</v>
      </c>
      <c r="L39">
        <v>38</v>
      </c>
      <c r="M39">
        <v>3.8627099698389046E-2</v>
      </c>
      <c r="N39">
        <v>5.516015367592254E-5</v>
      </c>
      <c r="O39">
        <v>38</v>
      </c>
      <c r="P39">
        <v>3.3791923186680166E-2</v>
      </c>
      <c r="Q39">
        <v>5.7918161359718739E-4</v>
      </c>
      <c r="R39">
        <v>38</v>
      </c>
      <c r="S39">
        <v>3.1071803138048207E-2</v>
      </c>
      <c r="T39">
        <v>6.081406942770466E-3</v>
      </c>
      <c r="AE39">
        <v>0.90000000000000058</v>
      </c>
      <c r="AF39">
        <v>-0.42527060030863312</v>
      </c>
      <c r="AG39">
        <v>-0.54004227814044725</v>
      </c>
      <c r="AI39">
        <v>38</v>
      </c>
      <c r="AJ39">
        <v>0.21774467283193538</v>
      </c>
      <c r="AK39">
        <v>1</v>
      </c>
      <c r="AT39">
        <v>0.90000000000000058</v>
      </c>
      <c r="AU39">
        <v>-0.42527060030863312</v>
      </c>
    </row>
    <row r="40" spans="1:47" x14ac:dyDescent="0.25">
      <c r="A40" t="s">
        <v>50</v>
      </c>
      <c r="B40">
        <v>6.9</v>
      </c>
      <c r="C40">
        <v>3.1</v>
      </c>
      <c r="D40">
        <v>4.9000000000000004</v>
      </c>
      <c r="E40">
        <v>1.5</v>
      </c>
      <c r="G40" t="s">
        <v>50</v>
      </c>
      <c r="H40" t="s">
        <v>50</v>
      </c>
      <c r="L40">
        <v>39</v>
      </c>
      <c r="M40">
        <v>3.859053035023461E-2</v>
      </c>
      <c r="N40">
        <v>5.7918161359718667E-5</v>
      </c>
      <c r="O40">
        <v>39</v>
      </c>
      <c r="P40">
        <v>3.3754402829333049E-2</v>
      </c>
      <c r="Q40">
        <v>6.0814069427704684E-4</v>
      </c>
      <c r="R40">
        <v>39</v>
      </c>
      <c r="S40">
        <v>3.0723104329848417E-2</v>
      </c>
      <c r="T40">
        <v>6.3854772899089897E-3</v>
      </c>
      <c r="AE40">
        <v>0.86000000000000054</v>
      </c>
      <c r="AF40">
        <v>-0.85076431090730442</v>
      </c>
      <c r="AG40">
        <v>-0.85392702637914297</v>
      </c>
      <c r="AI40">
        <v>39</v>
      </c>
      <c r="AJ40">
        <v>0.21632783884134885</v>
      </c>
      <c r="AK40">
        <v>1</v>
      </c>
      <c r="AT40">
        <v>0.86000000000000054</v>
      </c>
      <c r="AU40">
        <v>-0.85076431090730442</v>
      </c>
    </row>
    <row r="41" spans="1:47" x14ac:dyDescent="0.25">
      <c r="A41" t="s">
        <v>50</v>
      </c>
      <c r="B41">
        <v>5.5</v>
      </c>
      <c r="C41">
        <v>2.2999999999999998</v>
      </c>
      <c r="D41">
        <v>4</v>
      </c>
      <c r="E41">
        <v>1.3</v>
      </c>
      <c r="G41" t="s">
        <v>50</v>
      </c>
      <c r="H41" t="s">
        <v>50</v>
      </c>
      <c r="L41">
        <v>40</v>
      </c>
      <c r="M41">
        <v>3.8552991413905897E-2</v>
      </c>
      <c r="N41">
        <v>6.0814069427704604E-5</v>
      </c>
      <c r="O41">
        <v>40</v>
      </c>
      <c r="P41">
        <v>3.3722414417505453E-2</v>
      </c>
      <c r="Q41">
        <v>6.3854772899089916E-4</v>
      </c>
      <c r="R41">
        <v>40</v>
      </c>
      <c r="S41">
        <v>3.0277395787222824E-2</v>
      </c>
      <c r="T41">
        <v>6.7047511544044399E-3</v>
      </c>
      <c r="AE41">
        <v>0.46000000000000024</v>
      </c>
      <c r="AF41">
        <v>-0.9709511362109251</v>
      </c>
      <c r="AG41">
        <v>-1.037288590701138</v>
      </c>
      <c r="AI41">
        <v>40</v>
      </c>
      <c r="AJ41">
        <v>0.21553635846066455</v>
      </c>
      <c r="AK41">
        <v>0.25</v>
      </c>
      <c r="AT41">
        <v>0.46000000000000024</v>
      </c>
      <c r="AU41">
        <v>-0.9709511362109251</v>
      </c>
    </row>
    <row r="42" spans="1:47" x14ac:dyDescent="0.25">
      <c r="A42" t="s">
        <v>50</v>
      </c>
      <c r="B42">
        <v>6.1</v>
      </c>
      <c r="C42">
        <v>2.8</v>
      </c>
      <c r="D42">
        <v>4.7</v>
      </c>
      <c r="E42">
        <v>1.2</v>
      </c>
      <c r="G42" t="s">
        <v>50</v>
      </c>
      <c r="H42" t="s">
        <v>50</v>
      </c>
      <c r="L42">
        <v>41</v>
      </c>
      <c r="M42">
        <v>3.8513085739688001E-2</v>
      </c>
      <c r="N42">
        <v>6.3854772899089838E-5</v>
      </c>
      <c r="O42">
        <v>41</v>
      </c>
      <c r="P42">
        <v>3.3683975125107998E-2</v>
      </c>
      <c r="Q42">
        <v>6.7047511544044412E-4</v>
      </c>
      <c r="R42">
        <v>41</v>
      </c>
      <c r="S42">
        <v>2.9893966581165367E-2</v>
      </c>
      <c r="T42">
        <v>7.0399887121246618E-3</v>
      </c>
      <c r="AE42">
        <v>0.62000000000000033</v>
      </c>
      <c r="AF42">
        <v>0.26751905927586772</v>
      </c>
      <c r="AG42">
        <v>0.47402422285413337</v>
      </c>
      <c r="AI42">
        <v>41</v>
      </c>
      <c r="AJ42">
        <v>0.21443085724161118</v>
      </c>
      <c r="AK42">
        <v>0.5</v>
      </c>
      <c r="AT42">
        <v>0.62000000000000033</v>
      </c>
      <c r="AU42">
        <v>0.26751905927586772</v>
      </c>
    </row>
    <row r="43" spans="1:47" x14ac:dyDescent="0.25">
      <c r="A43" t="s">
        <v>51</v>
      </c>
      <c r="B43">
        <v>7.7</v>
      </c>
      <c r="C43">
        <v>2.6</v>
      </c>
      <c r="D43">
        <v>6.9</v>
      </c>
      <c r="E43">
        <v>2.2999999999999998</v>
      </c>
      <c r="G43" t="s">
        <v>51</v>
      </c>
      <c r="H43" t="s">
        <v>51</v>
      </c>
      <c r="L43">
        <v>42</v>
      </c>
      <c r="M43">
        <v>3.8471510051139184E-2</v>
      </c>
      <c r="N43">
        <v>6.704751154404433E-5</v>
      </c>
      <c r="O43">
        <v>42</v>
      </c>
      <c r="P43">
        <v>3.3654635991685729E-2</v>
      </c>
      <c r="Q43">
        <v>7.0399887121246638E-4</v>
      </c>
      <c r="R43">
        <v>42</v>
      </c>
      <c r="S43">
        <v>2.972614435117334E-2</v>
      </c>
      <c r="T43">
        <v>7.3919881477308956E-3</v>
      </c>
      <c r="AE43">
        <v>0.27000000000000007</v>
      </c>
      <c r="AF43">
        <v>-0.96662666902966632</v>
      </c>
      <c r="AG43">
        <v>-0.4477947771033115</v>
      </c>
      <c r="AI43">
        <v>42</v>
      </c>
      <c r="AJ43">
        <v>0.21281393351839906</v>
      </c>
      <c r="AK43">
        <v>1</v>
      </c>
      <c r="AT43">
        <v>0.27000000000000007</v>
      </c>
      <c r="AU43">
        <v>-0.96662666902966632</v>
      </c>
    </row>
    <row r="44" spans="1:47" x14ac:dyDescent="0.25">
      <c r="A44" t="s">
        <v>51</v>
      </c>
      <c r="B44">
        <v>6</v>
      </c>
      <c r="C44">
        <v>2.2000000000000002</v>
      </c>
      <c r="D44">
        <v>5</v>
      </c>
      <c r="E44">
        <v>1.5</v>
      </c>
      <c r="G44" t="s">
        <v>51</v>
      </c>
      <c r="H44" t="s">
        <v>51</v>
      </c>
      <c r="L44">
        <v>43</v>
      </c>
      <c r="M44">
        <v>3.842876787211412E-2</v>
      </c>
      <c r="N44">
        <v>7.0399887121246554E-5</v>
      </c>
      <c r="O44">
        <v>43</v>
      </c>
      <c r="P44">
        <v>3.3609249249394041E-2</v>
      </c>
      <c r="Q44">
        <v>7.3919881477308976E-4</v>
      </c>
      <c r="R44">
        <v>43</v>
      </c>
      <c r="S44">
        <v>2.9709174249804068E-2</v>
      </c>
      <c r="T44">
        <v>7.7615875551174411E-3</v>
      </c>
      <c r="AE44">
        <v>0.31000000000000011</v>
      </c>
      <c r="AF44">
        <v>-1.5462311780104703</v>
      </c>
      <c r="AG44">
        <v>-1.059824705666184</v>
      </c>
      <c r="AI44">
        <v>43</v>
      </c>
      <c r="AJ44">
        <v>0.21186252807809697</v>
      </c>
      <c r="AK44">
        <v>0.25</v>
      </c>
      <c r="AT44">
        <v>0.31000000000000011</v>
      </c>
      <c r="AU44">
        <v>-1.5462311780104703</v>
      </c>
    </row>
    <row r="45" spans="1:47" x14ac:dyDescent="0.25">
      <c r="A45" t="s">
        <v>50</v>
      </c>
      <c r="B45">
        <v>6.2</v>
      </c>
      <c r="C45">
        <v>2.9</v>
      </c>
      <c r="D45">
        <v>4.3</v>
      </c>
      <c r="E45">
        <v>1.3</v>
      </c>
      <c r="G45" t="s">
        <v>50</v>
      </c>
      <c r="H45" t="s">
        <v>50</v>
      </c>
      <c r="L45">
        <v>44</v>
      </c>
      <c r="M45">
        <v>3.8386647617658622E-2</v>
      </c>
      <c r="N45">
        <v>7.3919881477308878E-5</v>
      </c>
      <c r="O45">
        <v>44</v>
      </c>
      <c r="P45">
        <v>3.3573216197450524E-2</v>
      </c>
      <c r="Q45">
        <v>7.761587555117443E-4</v>
      </c>
      <c r="R45">
        <v>44</v>
      </c>
      <c r="S45">
        <v>2.9573078922848658E-2</v>
      </c>
      <c r="T45">
        <v>8.1496669328733132E-3</v>
      </c>
      <c r="AE45">
        <v>0.32000000000000012</v>
      </c>
      <c r="AF45">
        <v>-1.329852558034371</v>
      </c>
      <c r="AG45">
        <v>-1.1846461669063331</v>
      </c>
      <c r="AI45">
        <v>44</v>
      </c>
      <c r="AJ45">
        <v>0.21041350552332991</v>
      </c>
      <c r="AK45">
        <v>1</v>
      </c>
      <c r="AT45">
        <v>0.32000000000000012</v>
      </c>
      <c r="AU45">
        <v>-1.329852558034371</v>
      </c>
    </row>
    <row r="46" spans="1:47" x14ac:dyDescent="0.25">
      <c r="A46" t="s">
        <v>51</v>
      </c>
      <c r="B46">
        <v>6.1</v>
      </c>
      <c r="C46">
        <v>2.6</v>
      </c>
      <c r="D46">
        <v>5.6</v>
      </c>
      <c r="E46">
        <v>1.4</v>
      </c>
      <c r="G46" t="s">
        <v>51</v>
      </c>
      <c r="H46" t="s">
        <v>51</v>
      </c>
      <c r="L46">
        <v>45</v>
      </c>
      <c r="M46">
        <v>3.8343978477678495E-2</v>
      </c>
      <c r="N46">
        <v>7.7615875551174322E-5</v>
      </c>
      <c r="O46">
        <v>45</v>
      </c>
      <c r="P46">
        <v>3.3536009715770795E-2</v>
      </c>
      <c r="Q46">
        <v>8.149666932873316E-4</v>
      </c>
      <c r="R46">
        <v>45</v>
      </c>
      <c r="S46">
        <v>2.8661889000837545E-2</v>
      </c>
      <c r="T46">
        <v>8.5571502795169785E-3</v>
      </c>
      <c r="AE46">
        <v>0.21000000000000005</v>
      </c>
      <c r="AF46">
        <v>0.48957904940925523</v>
      </c>
      <c r="AG46">
        <v>0.49672548093245794</v>
      </c>
      <c r="AI46">
        <v>45</v>
      </c>
      <c r="AJ46">
        <v>0.20805389361656165</v>
      </c>
      <c r="AK46">
        <v>1</v>
      </c>
      <c r="AT46">
        <v>0.21000000000000005</v>
      </c>
      <c r="AU46">
        <v>0.48957904940925523</v>
      </c>
    </row>
    <row r="47" spans="1:47" x14ac:dyDescent="0.25">
      <c r="A47" t="s">
        <v>50</v>
      </c>
      <c r="B47">
        <v>6.1</v>
      </c>
      <c r="C47">
        <v>3</v>
      </c>
      <c r="D47">
        <v>4.5999999999999996</v>
      </c>
      <c r="E47">
        <v>1.4</v>
      </c>
      <c r="G47" t="s">
        <v>50</v>
      </c>
      <c r="H47" t="s">
        <v>50</v>
      </c>
      <c r="L47">
        <v>46</v>
      </c>
      <c r="M47">
        <v>3.8294540419685157E-2</v>
      </c>
      <c r="N47">
        <v>8.1496669328733043E-5</v>
      </c>
      <c r="O47">
        <v>46</v>
      </c>
      <c r="P47">
        <v>3.3498760583328138E-2</v>
      </c>
      <c r="Q47">
        <v>8.557150279516982E-4</v>
      </c>
      <c r="R47">
        <v>46</v>
      </c>
      <c r="S47">
        <v>2.8116134610534724E-2</v>
      </c>
      <c r="T47">
        <v>8.9850077934928285E-3</v>
      </c>
      <c r="AE47">
        <v>0.10999999999999999</v>
      </c>
      <c r="AF47">
        <v>0.98760010564206324</v>
      </c>
      <c r="AG47">
        <v>1.3307820660457992</v>
      </c>
      <c r="AI47">
        <v>46</v>
      </c>
      <c r="AJ47">
        <v>0.2063942671437268</v>
      </c>
      <c r="AK47">
        <v>1</v>
      </c>
      <c r="AT47">
        <v>0.10999999999999999</v>
      </c>
      <c r="AU47">
        <v>0.98760010564206324</v>
      </c>
    </row>
    <row r="48" spans="1:47" x14ac:dyDescent="0.25">
      <c r="A48" t="s">
        <v>51</v>
      </c>
      <c r="B48">
        <v>6.5</v>
      </c>
      <c r="C48">
        <v>3.2</v>
      </c>
      <c r="D48">
        <v>5.0999999999999996</v>
      </c>
      <c r="E48">
        <v>2</v>
      </c>
      <c r="G48" t="s">
        <v>51</v>
      </c>
      <c r="H48" t="s">
        <v>51</v>
      </c>
      <c r="L48">
        <v>47</v>
      </c>
      <c r="M48">
        <v>3.8240922579840152E-2</v>
      </c>
      <c r="N48">
        <v>8.55715027951697E-5</v>
      </c>
      <c r="O48">
        <v>47</v>
      </c>
      <c r="P48">
        <v>3.3441683633810768E-2</v>
      </c>
      <c r="Q48">
        <v>8.9850077934928313E-4</v>
      </c>
      <c r="R48">
        <v>47</v>
      </c>
      <c r="S48">
        <v>2.6982854244422955E-2</v>
      </c>
      <c r="T48">
        <v>9.43425818316747E-3</v>
      </c>
      <c r="AE48">
        <v>0.55000000000000027</v>
      </c>
      <c r="AF48">
        <v>-0.43597909668473295</v>
      </c>
      <c r="AG48">
        <v>4.4789926877705E-2</v>
      </c>
      <c r="AI48">
        <v>47</v>
      </c>
      <c r="AJ48">
        <v>0.20416050125209159</v>
      </c>
      <c r="AK48">
        <v>1</v>
      </c>
      <c r="AT48">
        <v>0.55000000000000027</v>
      </c>
      <c r="AU48">
        <v>-0.43597909668473295</v>
      </c>
    </row>
    <row r="49" spans="1:47" x14ac:dyDescent="0.25">
      <c r="A49" t="s">
        <v>49</v>
      </c>
      <c r="B49">
        <v>5.0999999999999996</v>
      </c>
      <c r="C49">
        <v>3.3</v>
      </c>
      <c r="D49">
        <v>1.7</v>
      </c>
      <c r="E49">
        <v>0.5</v>
      </c>
      <c r="G49" t="s">
        <v>49</v>
      </c>
      <c r="H49" t="s">
        <v>49</v>
      </c>
      <c r="L49">
        <v>48</v>
      </c>
      <c r="M49">
        <v>3.8189717070608933E-2</v>
      </c>
      <c r="N49">
        <v>8.9850077934928193E-5</v>
      </c>
      <c r="O49">
        <v>48</v>
      </c>
      <c r="P49">
        <v>3.339599902863287E-2</v>
      </c>
      <c r="Q49">
        <v>9.4342581831674728E-4</v>
      </c>
      <c r="R49">
        <v>48</v>
      </c>
      <c r="S49">
        <v>2.6349790072302065E-2</v>
      </c>
      <c r="T49">
        <v>9.9059710923258444E-3</v>
      </c>
      <c r="AE49">
        <v>0.47000000000000025</v>
      </c>
      <c r="AF49">
        <v>-0.5545597777602792</v>
      </c>
      <c r="AG49">
        <v>-0.92106389852841986</v>
      </c>
      <c r="AI49">
        <v>48</v>
      </c>
      <c r="AJ49">
        <v>0.20037781284269898</v>
      </c>
      <c r="AK49">
        <v>1</v>
      </c>
      <c r="AT49">
        <v>0.47000000000000025</v>
      </c>
      <c r="AU49">
        <v>-0.5545597777602792</v>
      </c>
    </row>
    <row r="50" spans="1:47" x14ac:dyDescent="0.25">
      <c r="A50" t="s">
        <v>51</v>
      </c>
      <c r="B50">
        <v>7.2</v>
      </c>
      <c r="C50">
        <v>3</v>
      </c>
      <c r="D50">
        <v>5.8</v>
      </c>
      <c r="E50">
        <v>1.6</v>
      </c>
      <c r="G50" t="s">
        <v>51</v>
      </c>
      <c r="H50" t="s">
        <v>51</v>
      </c>
      <c r="L50">
        <v>49</v>
      </c>
      <c r="M50">
        <v>3.8135975546430174E-2</v>
      </c>
      <c r="N50">
        <v>9.4342581831674609E-5</v>
      </c>
      <c r="O50">
        <v>49</v>
      </c>
      <c r="P50">
        <v>3.3357524564307198E-2</v>
      </c>
      <c r="Q50">
        <v>9.9059710923258474E-4</v>
      </c>
      <c r="R50">
        <v>49</v>
      </c>
      <c r="S50">
        <v>2.5994671988731673E-2</v>
      </c>
      <c r="T50">
        <v>1.0401269646942136E-2</v>
      </c>
      <c r="AE50">
        <v>0.39000000000000018</v>
      </c>
      <c r="AF50">
        <v>-1.3188145780024696</v>
      </c>
      <c r="AG50">
        <v>-1.5421180907214627</v>
      </c>
      <c r="AI50">
        <v>49</v>
      </c>
      <c r="AJ50">
        <v>0.19775967895403607</v>
      </c>
      <c r="AK50">
        <v>1</v>
      </c>
      <c r="AT50">
        <v>0.39000000000000018</v>
      </c>
      <c r="AU50">
        <v>-1.3188145780024696</v>
      </c>
    </row>
    <row r="51" spans="1:47" x14ac:dyDescent="0.25">
      <c r="A51" t="s">
        <v>50</v>
      </c>
      <c r="B51">
        <v>5.8</v>
      </c>
      <c r="C51">
        <v>2.6</v>
      </c>
      <c r="D51">
        <v>4</v>
      </c>
      <c r="E51">
        <v>1.2</v>
      </c>
      <c r="G51" t="s">
        <v>50</v>
      </c>
      <c r="H51" t="s">
        <v>50</v>
      </c>
      <c r="L51">
        <v>50</v>
      </c>
      <c r="M51">
        <v>3.8104229489416552E-2</v>
      </c>
      <c r="N51">
        <v>9.9059710923258347E-5</v>
      </c>
      <c r="O51">
        <v>50</v>
      </c>
      <c r="P51">
        <v>3.3300561720757654E-2</v>
      </c>
      <c r="Q51">
        <v>1.040126964694214E-3</v>
      </c>
      <c r="R51">
        <v>50</v>
      </c>
      <c r="S51">
        <v>2.5249697691427254E-2</v>
      </c>
      <c r="T51">
        <v>1.0921333129289244E-2</v>
      </c>
      <c r="AE51">
        <v>0.26000000000000006</v>
      </c>
      <c r="AF51">
        <v>-1.0060189757556215E-2</v>
      </c>
      <c r="AG51">
        <v>-0.28092780651916271</v>
      </c>
      <c r="AI51">
        <v>50</v>
      </c>
      <c r="AJ51">
        <v>0.19199203245516691</v>
      </c>
      <c r="AK51">
        <v>1</v>
      </c>
      <c r="AT51">
        <v>0.26000000000000006</v>
      </c>
      <c r="AU51">
        <v>-1.0060189757556215E-2</v>
      </c>
    </row>
    <row r="52" spans="1:47" x14ac:dyDescent="0.25">
      <c r="A52" t="s">
        <v>50</v>
      </c>
      <c r="B52">
        <v>5.4</v>
      </c>
      <c r="C52">
        <v>3</v>
      </c>
      <c r="D52">
        <v>4.5</v>
      </c>
      <c r="E52">
        <v>1.5</v>
      </c>
      <c r="G52" t="s">
        <v>50</v>
      </c>
      <c r="H52" t="s">
        <v>50</v>
      </c>
      <c r="L52">
        <v>51</v>
      </c>
      <c r="M52">
        <v>3.8025808223416488E-2</v>
      </c>
      <c r="N52">
        <v>1.0401269646942127E-4</v>
      </c>
      <c r="O52">
        <v>51</v>
      </c>
      <c r="P52">
        <v>3.3259594367132023E-2</v>
      </c>
      <c r="Q52">
        <v>1.0921333129289246E-3</v>
      </c>
      <c r="R52">
        <v>51</v>
      </c>
      <c r="S52">
        <v>2.4382188142113823E-2</v>
      </c>
      <c r="T52">
        <v>1.1467399785753707E-2</v>
      </c>
      <c r="AE52">
        <v>0.51000000000000023</v>
      </c>
      <c r="AF52">
        <v>-0.91869269247967678</v>
      </c>
      <c r="AG52">
        <v>-0.42109165989409902</v>
      </c>
      <c r="AI52">
        <v>51</v>
      </c>
      <c r="AJ52">
        <v>0.18832503875589862</v>
      </c>
      <c r="AK52">
        <v>1</v>
      </c>
      <c r="AT52">
        <v>0.51000000000000023</v>
      </c>
      <c r="AU52">
        <v>-0.91869269247967678</v>
      </c>
    </row>
    <row r="53" spans="1:47" x14ac:dyDescent="0.25">
      <c r="A53" t="s">
        <v>50</v>
      </c>
      <c r="B53">
        <v>5.7</v>
      </c>
      <c r="C53">
        <v>3</v>
      </c>
      <c r="D53">
        <v>4.2</v>
      </c>
      <c r="E53">
        <v>1.2</v>
      </c>
      <c r="G53" t="s">
        <v>50</v>
      </c>
      <c r="H53" t="s">
        <v>50</v>
      </c>
      <c r="L53">
        <v>52</v>
      </c>
      <c r="M53">
        <v>3.7965898869728405E-2</v>
      </c>
      <c r="N53">
        <v>1.0921333129289234E-4</v>
      </c>
      <c r="O53">
        <v>52</v>
      </c>
      <c r="P53">
        <v>3.319756821198034E-2</v>
      </c>
      <c r="Q53">
        <v>1.1467399785753708E-3</v>
      </c>
      <c r="R53">
        <v>52</v>
      </c>
      <c r="S53">
        <v>2.3805513393747899E-2</v>
      </c>
      <c r="T53">
        <v>1.2040769775041392E-2</v>
      </c>
      <c r="AE53">
        <v>0.11999999999999998</v>
      </c>
      <c r="AF53">
        <v>1.1976128997196374</v>
      </c>
      <c r="AG53">
        <v>1.2844061969143254</v>
      </c>
      <c r="AI53">
        <v>52</v>
      </c>
      <c r="AJ53">
        <v>0.18494703624380263</v>
      </c>
      <c r="AK53">
        <v>1</v>
      </c>
      <c r="AT53">
        <v>0.11999999999999998</v>
      </c>
      <c r="AU53">
        <v>1.1976128997196374</v>
      </c>
    </row>
    <row r="54" spans="1:47" x14ac:dyDescent="0.25">
      <c r="A54" t="s">
        <v>51</v>
      </c>
      <c r="B54">
        <v>5.7</v>
      </c>
      <c r="C54">
        <v>2.5</v>
      </c>
      <c r="D54">
        <v>5</v>
      </c>
      <c r="E54">
        <v>2</v>
      </c>
      <c r="G54" t="s">
        <v>51</v>
      </c>
      <c r="H54" t="s">
        <v>51</v>
      </c>
      <c r="L54">
        <v>53</v>
      </c>
      <c r="M54">
        <v>3.7917709642013672E-2</v>
      </c>
      <c r="N54">
        <v>1.1467399785753696E-4</v>
      </c>
      <c r="O54">
        <v>53</v>
      </c>
      <c r="P54">
        <v>3.3147550126158776E-2</v>
      </c>
      <c r="Q54">
        <v>1.2040769775041394E-3</v>
      </c>
      <c r="R54">
        <v>53</v>
      </c>
      <c r="S54">
        <v>2.3112600360158071E-2</v>
      </c>
      <c r="T54">
        <v>1.2642808263793463E-2</v>
      </c>
      <c r="AE54">
        <v>0.53000000000000025</v>
      </c>
      <c r="AF54">
        <v>-3.0053910885582177E-2</v>
      </c>
      <c r="AG54">
        <v>-0.17666396172072751</v>
      </c>
      <c r="AI54">
        <v>53</v>
      </c>
      <c r="AJ54">
        <v>0.18220186949885564</v>
      </c>
      <c r="AK54">
        <v>1</v>
      </c>
      <c r="AT54">
        <v>0.53000000000000025</v>
      </c>
      <c r="AU54">
        <v>-3.0053910885582177E-2</v>
      </c>
    </row>
    <row r="55" spans="1:47" x14ac:dyDescent="0.25">
      <c r="A55" t="s">
        <v>49</v>
      </c>
      <c r="B55">
        <v>4.5999999999999996</v>
      </c>
      <c r="C55">
        <v>3.4</v>
      </c>
      <c r="D55">
        <v>1.4</v>
      </c>
      <c r="E55">
        <v>0.3</v>
      </c>
      <c r="G55" t="s">
        <v>49</v>
      </c>
      <c r="H55" t="s">
        <v>49</v>
      </c>
      <c r="L55">
        <v>54</v>
      </c>
      <c r="M55">
        <v>3.7848320356920852E-2</v>
      </c>
      <c r="N55">
        <v>1.2040769775041382E-4</v>
      </c>
      <c r="O55">
        <v>54</v>
      </c>
      <c r="P55">
        <v>3.3086290258904694E-2</v>
      </c>
      <c r="Q55">
        <v>1.2642808263793465E-3</v>
      </c>
      <c r="R55">
        <v>54</v>
      </c>
      <c r="S55">
        <v>2.228187095912364E-2</v>
      </c>
      <c r="T55">
        <v>1.3274948676983136E-2</v>
      </c>
      <c r="AE55">
        <v>0.83000000000000052</v>
      </c>
      <c r="AF55">
        <v>-0.84917424085816084</v>
      </c>
      <c r="AG55">
        <v>-0.86926994711357608</v>
      </c>
      <c r="AI55">
        <v>54</v>
      </c>
      <c r="AJ55">
        <v>0.18014771577760283</v>
      </c>
      <c r="AK55">
        <v>1</v>
      </c>
      <c r="AT55">
        <v>0.83000000000000052</v>
      </c>
      <c r="AU55">
        <v>-0.84917424085816084</v>
      </c>
    </row>
    <row r="56" spans="1:47" x14ac:dyDescent="0.25">
      <c r="A56" t="s">
        <v>49</v>
      </c>
      <c r="B56">
        <v>5.7</v>
      </c>
      <c r="C56">
        <v>4.4000000000000004</v>
      </c>
      <c r="D56">
        <v>1.5</v>
      </c>
      <c r="E56">
        <v>0.4</v>
      </c>
      <c r="G56" t="s">
        <v>49</v>
      </c>
      <c r="H56" t="s">
        <v>49</v>
      </c>
      <c r="L56">
        <v>55</v>
      </c>
      <c r="M56">
        <v>3.7780765241069304E-2</v>
      </c>
      <c r="N56">
        <v>1.2642808263793452E-4</v>
      </c>
      <c r="O56">
        <v>55</v>
      </c>
      <c r="P56">
        <v>3.3136091794957724E-2</v>
      </c>
      <c r="Q56">
        <v>1.3274948676983138E-3</v>
      </c>
      <c r="R56">
        <v>55</v>
      </c>
      <c r="S56">
        <v>2.1511212801122951E-2</v>
      </c>
      <c r="T56">
        <v>1.3938696110832293E-2</v>
      </c>
      <c r="AE56">
        <v>0.7000000000000004</v>
      </c>
      <c r="AF56">
        <v>-0.2156831358240911</v>
      </c>
      <c r="AG56">
        <v>0.14999123435722339</v>
      </c>
      <c r="AI56">
        <v>55</v>
      </c>
      <c r="AJ56">
        <v>0.17886675801879579</v>
      </c>
      <c r="AK56">
        <v>1</v>
      </c>
      <c r="AT56">
        <v>0.7000000000000004</v>
      </c>
      <c r="AU56">
        <v>-0.2156831358240911</v>
      </c>
    </row>
    <row r="57" spans="1:47" x14ac:dyDescent="0.25">
      <c r="A57" t="s">
        <v>49</v>
      </c>
      <c r="B57">
        <v>5</v>
      </c>
      <c r="C57">
        <v>3.4</v>
      </c>
      <c r="D57">
        <v>1.6</v>
      </c>
      <c r="E57">
        <v>0.4</v>
      </c>
      <c r="G57" t="s">
        <v>49</v>
      </c>
      <c r="H57" t="s">
        <v>49</v>
      </c>
      <c r="L57">
        <v>56</v>
      </c>
      <c r="M57">
        <v>3.7710711018688302E-2</v>
      </c>
      <c r="N57">
        <v>1.3274948676983124E-4</v>
      </c>
      <c r="O57">
        <v>56</v>
      </c>
      <c r="P57">
        <v>3.3077919657659209E-2</v>
      </c>
      <c r="Q57">
        <v>1.3274948676983138E-4</v>
      </c>
      <c r="R57">
        <v>56</v>
      </c>
      <c r="S57">
        <v>2.0709422560048457E-2</v>
      </c>
      <c r="T57">
        <v>1.4635630916373909E-2</v>
      </c>
      <c r="AE57">
        <v>0.56000000000000028</v>
      </c>
      <c r="AF57">
        <v>0.41370488461690746</v>
      </c>
      <c r="AG57">
        <v>0.14280033552667959</v>
      </c>
      <c r="AI57">
        <v>56</v>
      </c>
      <c r="AJ57">
        <v>0.17835151872971561</v>
      </c>
      <c r="AK57">
        <v>1</v>
      </c>
      <c r="AT57">
        <v>0.56000000000000028</v>
      </c>
      <c r="AU57">
        <v>0.41370488461690746</v>
      </c>
    </row>
    <row r="58" spans="1:47" x14ac:dyDescent="0.25">
      <c r="A58" t="s">
        <v>50</v>
      </c>
      <c r="B58">
        <v>6.4</v>
      </c>
      <c r="C58">
        <v>2.9</v>
      </c>
      <c r="D58">
        <v>4.3</v>
      </c>
      <c r="E58">
        <v>1.3</v>
      </c>
      <c r="G58" t="s">
        <v>50</v>
      </c>
      <c r="H58" t="s">
        <v>50</v>
      </c>
      <c r="L58">
        <v>57</v>
      </c>
      <c r="M58">
        <v>3.7641747200090135E-2</v>
      </c>
      <c r="N58">
        <v>1.3938696110832281E-4</v>
      </c>
      <c r="O58">
        <v>57</v>
      </c>
      <c r="P58">
        <v>3.3070566524837711E-2</v>
      </c>
      <c r="Q58">
        <v>1.3938696110832294E-4</v>
      </c>
      <c r="R58">
        <v>57</v>
      </c>
      <c r="S58">
        <v>1.9999137839751709E-2</v>
      </c>
      <c r="T58">
        <v>1.5367412462192606E-2</v>
      </c>
      <c r="AE58">
        <v>0.69000000000000039</v>
      </c>
      <c r="AF58">
        <v>0.42984606124468022</v>
      </c>
      <c r="AG58">
        <v>0.22932336556499777</v>
      </c>
      <c r="AI58">
        <v>57</v>
      </c>
      <c r="AJ58">
        <v>0.17803211488576773</v>
      </c>
      <c r="AK58">
        <v>1</v>
      </c>
      <c r="AT58">
        <v>0.69000000000000039</v>
      </c>
      <c r="AU58">
        <v>0.42984606124468022</v>
      </c>
    </row>
    <row r="59" spans="1:47" x14ac:dyDescent="0.25">
      <c r="A59" t="s">
        <v>51</v>
      </c>
      <c r="B59">
        <v>5.9</v>
      </c>
      <c r="C59">
        <v>3</v>
      </c>
      <c r="D59">
        <v>5.0999999999999996</v>
      </c>
      <c r="E59">
        <v>1.8</v>
      </c>
      <c r="G59" t="s">
        <v>51</v>
      </c>
      <c r="H59" t="s">
        <v>51</v>
      </c>
      <c r="L59">
        <v>58</v>
      </c>
      <c r="M59">
        <v>3.7571192771472257E-2</v>
      </c>
      <c r="N59">
        <v>1.4635630916373895E-4</v>
      </c>
      <c r="O59">
        <v>58</v>
      </c>
      <c r="P59">
        <v>3.306391029381861E-2</v>
      </c>
      <c r="Q59">
        <v>1.4635630916373909E-4</v>
      </c>
      <c r="R59">
        <v>58</v>
      </c>
      <c r="S59">
        <v>1.9113066754344293E-2</v>
      </c>
      <c r="T59">
        <v>1.6135783085302238E-2</v>
      </c>
      <c r="AE59">
        <v>0.91000000000000059</v>
      </c>
      <c r="AF59">
        <v>-0.44143875995841897</v>
      </c>
      <c r="AG59">
        <v>-0.40354250228389077</v>
      </c>
      <c r="AI59">
        <v>58</v>
      </c>
      <c r="AJ59">
        <v>0.17772296948830865</v>
      </c>
      <c r="AK59">
        <v>1</v>
      </c>
      <c r="AT59">
        <v>0.91000000000000059</v>
      </c>
      <c r="AU59">
        <v>-0.44143875995841897</v>
      </c>
    </row>
    <row r="60" spans="1:47" x14ac:dyDescent="0.25">
      <c r="A60" t="s">
        <v>49</v>
      </c>
      <c r="B60">
        <v>5.7</v>
      </c>
      <c r="C60">
        <v>3.8</v>
      </c>
      <c r="D60">
        <v>1.7</v>
      </c>
      <c r="E60">
        <v>0.3</v>
      </c>
      <c r="G60" t="s">
        <v>49</v>
      </c>
      <c r="H60" t="s">
        <v>49</v>
      </c>
      <c r="L60">
        <v>59</v>
      </c>
      <c r="M60">
        <v>3.7502053191134747E-2</v>
      </c>
      <c r="N60">
        <v>1.5367412462192592E-4</v>
      </c>
      <c r="O60">
        <v>59</v>
      </c>
      <c r="P60">
        <v>3.3056906954246006E-2</v>
      </c>
      <c r="Q60">
        <v>1.5367412462192605E-4</v>
      </c>
      <c r="R60">
        <v>59</v>
      </c>
      <c r="S60">
        <v>1.8179364435695584E-2</v>
      </c>
      <c r="T60">
        <v>1.6942572239567352E-2</v>
      </c>
      <c r="AE60">
        <v>0.17</v>
      </c>
      <c r="AF60">
        <v>1.2355467670262945</v>
      </c>
      <c r="AG60">
        <v>0.94857705310488072</v>
      </c>
      <c r="AI60">
        <v>59</v>
      </c>
      <c r="AJ60">
        <v>0.17741185012675714</v>
      </c>
      <c r="AK60">
        <v>1</v>
      </c>
      <c r="AT60">
        <v>0.17</v>
      </c>
      <c r="AU60">
        <v>1.2355467670262945</v>
      </c>
    </row>
    <row r="61" spans="1:47" x14ac:dyDescent="0.25">
      <c r="A61" t="s">
        <v>50</v>
      </c>
      <c r="B61">
        <v>5.9</v>
      </c>
      <c r="C61">
        <v>3.2</v>
      </c>
      <c r="D61">
        <v>4.8</v>
      </c>
      <c r="E61">
        <v>1.8</v>
      </c>
      <c r="G61" t="s">
        <v>50</v>
      </c>
      <c r="H61" t="s">
        <v>51</v>
      </c>
      <c r="L61">
        <v>60</v>
      </c>
      <c r="M61">
        <v>3.7452882464647771E-2</v>
      </c>
      <c r="N61">
        <v>1.6135783085302223E-4</v>
      </c>
      <c r="O61">
        <v>60</v>
      </c>
      <c r="P61">
        <v>3.3050008306805531E-2</v>
      </c>
      <c r="Q61">
        <v>1.6135783085302236E-4</v>
      </c>
      <c r="R61">
        <v>60</v>
      </c>
      <c r="S61">
        <v>1.7344239895865341E-2</v>
      </c>
      <c r="T61">
        <v>1.7789700851545721E-2</v>
      </c>
      <c r="AE61">
        <v>0.12999999999999998</v>
      </c>
      <c r="AF61">
        <v>1.5375939510159269</v>
      </c>
      <c r="AG61">
        <v>1.2328133684566005</v>
      </c>
      <c r="AI61">
        <v>60</v>
      </c>
      <c r="AJ61">
        <v>0.17732185956116758</v>
      </c>
      <c r="AK61">
        <v>1</v>
      </c>
      <c r="AT61">
        <v>0.12999999999999998</v>
      </c>
      <c r="AU61">
        <v>1.5375939510159269</v>
      </c>
    </row>
    <row r="62" spans="1:47" x14ac:dyDescent="0.25">
      <c r="A62" t="s">
        <v>50</v>
      </c>
      <c r="B62">
        <v>6.3</v>
      </c>
      <c r="C62">
        <v>3.3</v>
      </c>
      <c r="D62">
        <v>4.7</v>
      </c>
      <c r="E62">
        <v>1.6</v>
      </c>
      <c r="G62" t="s">
        <v>50</v>
      </c>
      <c r="H62" t="s">
        <v>50</v>
      </c>
      <c r="L62">
        <v>61</v>
      </c>
      <c r="M62">
        <v>3.7349413323540477E-2</v>
      </c>
      <c r="N62">
        <v>1.6942572239567335E-4</v>
      </c>
      <c r="O62">
        <v>61</v>
      </c>
      <c r="P62">
        <v>3.3042872428015714E-2</v>
      </c>
      <c r="Q62">
        <v>1.6942572239567348E-4</v>
      </c>
      <c r="R62">
        <v>61</v>
      </c>
      <c r="S62">
        <v>1.641043495837291E-2</v>
      </c>
      <c r="T62">
        <v>1.8679185894123009E-2</v>
      </c>
      <c r="AE62">
        <v>0.72000000000000042</v>
      </c>
      <c r="AF62">
        <v>0.12162433168497017</v>
      </c>
      <c r="AG62">
        <v>-2.7893352522582404E-2</v>
      </c>
      <c r="AI62">
        <v>61</v>
      </c>
      <c r="AJ62">
        <v>0.17731594126072239</v>
      </c>
      <c r="AK62">
        <v>1</v>
      </c>
      <c r="AT62">
        <v>0.72000000000000042</v>
      </c>
      <c r="AU62">
        <v>0.12162433168497017</v>
      </c>
    </row>
    <row r="63" spans="1:47" x14ac:dyDescent="0.25">
      <c r="A63" t="s">
        <v>50</v>
      </c>
      <c r="B63">
        <v>5.8</v>
      </c>
      <c r="C63">
        <v>2.7</v>
      </c>
      <c r="D63">
        <v>4.0999999999999996</v>
      </c>
      <c r="E63">
        <v>1</v>
      </c>
      <c r="G63" t="s">
        <v>50</v>
      </c>
      <c r="H63" t="s">
        <v>50</v>
      </c>
      <c r="L63">
        <v>62</v>
      </c>
      <c r="M63">
        <v>3.7271800250175638E-2</v>
      </c>
      <c r="N63">
        <v>1.7789700851545702E-4</v>
      </c>
      <c r="O63">
        <v>62</v>
      </c>
      <c r="P63">
        <v>3.3034809742930472E-2</v>
      </c>
      <c r="Q63">
        <v>1.7789700851545716E-4</v>
      </c>
      <c r="R63">
        <v>62</v>
      </c>
      <c r="S63">
        <v>1.5494343320561304E-2</v>
      </c>
      <c r="T63">
        <v>1.9613145188829159E-2</v>
      </c>
      <c r="AE63">
        <v>0.08</v>
      </c>
      <c r="AF63">
        <v>1.157200219025156</v>
      </c>
      <c r="AG63">
        <v>1.4518759406947801</v>
      </c>
      <c r="AI63">
        <v>62</v>
      </c>
      <c r="AJ63">
        <v>0.17731337348131856</v>
      </c>
      <c r="AK63">
        <v>1</v>
      </c>
      <c r="AT63">
        <v>0.08</v>
      </c>
      <c r="AU63">
        <v>1.157200219025156</v>
      </c>
    </row>
    <row r="64" spans="1:47" x14ac:dyDescent="0.25">
      <c r="A64" t="s">
        <v>49</v>
      </c>
      <c r="B64">
        <v>5.3</v>
      </c>
      <c r="C64">
        <v>3.7</v>
      </c>
      <c r="D64">
        <v>1.5</v>
      </c>
      <c r="E64">
        <v>0.2</v>
      </c>
      <c r="G64" t="s">
        <v>49</v>
      </c>
      <c r="H64" t="s">
        <v>49</v>
      </c>
      <c r="L64">
        <v>63</v>
      </c>
      <c r="M64">
        <v>3.7195442934550939E-2</v>
      </c>
      <c r="N64">
        <v>1.8679185894122989E-4</v>
      </c>
      <c r="O64">
        <v>63</v>
      </c>
      <c r="P64">
        <v>3.3026393853780263E-2</v>
      </c>
      <c r="Q64">
        <v>1.8679185894123003E-4</v>
      </c>
      <c r="R64">
        <v>63</v>
      </c>
      <c r="S64">
        <v>1.4736520195116858E-2</v>
      </c>
      <c r="T64">
        <v>2.0593802448270616E-2</v>
      </c>
      <c r="AE64">
        <v>0.74000000000000044</v>
      </c>
      <c r="AF64">
        <v>-0.57596623077615894</v>
      </c>
      <c r="AG64">
        <v>-0.21999218187472991</v>
      </c>
      <c r="AI64">
        <v>63</v>
      </c>
      <c r="AJ64">
        <v>0.17730507941633758</v>
      </c>
      <c r="AK64">
        <v>1</v>
      </c>
      <c r="AT64">
        <v>0.74000000000000044</v>
      </c>
      <c r="AU64">
        <v>-0.57596623077615894</v>
      </c>
    </row>
    <row r="65" spans="1:47" x14ac:dyDescent="0.25">
      <c r="A65" t="s">
        <v>50</v>
      </c>
      <c r="B65">
        <v>6</v>
      </c>
      <c r="C65">
        <v>3.4</v>
      </c>
      <c r="D65">
        <v>4.5</v>
      </c>
      <c r="E65">
        <v>1.6</v>
      </c>
      <c r="G65" t="s">
        <v>50</v>
      </c>
      <c r="H65" t="s">
        <v>50</v>
      </c>
      <c r="L65">
        <v>64</v>
      </c>
      <c r="M65">
        <v>3.7184299297799761E-2</v>
      </c>
      <c r="N65">
        <v>1.961314518882914E-4</v>
      </c>
      <c r="O65">
        <v>64</v>
      </c>
      <c r="P65">
        <v>3.3017602475296746E-2</v>
      </c>
      <c r="Q65">
        <v>1.9613145188829154E-4</v>
      </c>
      <c r="R65">
        <v>64</v>
      </c>
      <c r="S65">
        <v>1.3615231341960649E-2</v>
      </c>
      <c r="T65">
        <v>2.1623492570684147E-2</v>
      </c>
      <c r="AE65">
        <v>0.98000000000000065</v>
      </c>
      <c r="AF65">
        <v>1.1377651354458445</v>
      </c>
      <c r="AG65">
        <v>1.2078868430287031</v>
      </c>
      <c r="AI65">
        <v>64</v>
      </c>
      <c r="AJ65">
        <v>0.17727919589138749</v>
      </c>
      <c r="AK65">
        <v>1</v>
      </c>
      <c r="AT65">
        <v>0.98000000000000065</v>
      </c>
      <c r="AU65">
        <v>1.1377651354458445</v>
      </c>
    </row>
    <row r="66" spans="1:47" x14ac:dyDescent="0.25">
      <c r="A66" t="s">
        <v>49</v>
      </c>
      <c r="B66">
        <v>4.7</v>
      </c>
      <c r="C66">
        <v>3.2</v>
      </c>
      <c r="D66">
        <v>1.6</v>
      </c>
      <c r="E66">
        <v>0.2</v>
      </c>
      <c r="G66" t="s">
        <v>49</v>
      </c>
      <c r="H66" t="s">
        <v>49</v>
      </c>
      <c r="L66">
        <v>65</v>
      </c>
      <c r="M66">
        <v>3.7047236586604873E-2</v>
      </c>
      <c r="N66">
        <v>2.0593802448270598E-4</v>
      </c>
      <c r="O66">
        <v>65</v>
      </c>
      <c r="P66">
        <v>3.3008283096487283E-2</v>
      </c>
      <c r="Q66">
        <v>2.0593802448270614E-4</v>
      </c>
      <c r="R66">
        <v>65</v>
      </c>
      <c r="S66">
        <v>1.2913969101744999E-2</v>
      </c>
      <c r="T66">
        <v>2.2704667199218355E-2</v>
      </c>
      <c r="AE66">
        <v>0.03</v>
      </c>
      <c r="AF66">
        <v>2.1165246071389476</v>
      </c>
      <c r="AG66">
        <v>1.6616238062629627</v>
      </c>
      <c r="AI66">
        <v>65</v>
      </c>
      <c r="AJ66">
        <v>0.17721315361239828</v>
      </c>
      <c r="AK66">
        <v>1</v>
      </c>
      <c r="AT66">
        <v>0.03</v>
      </c>
      <c r="AU66">
        <v>2.1165246071389476</v>
      </c>
    </row>
    <row r="67" spans="1:47" x14ac:dyDescent="0.25">
      <c r="A67" t="s">
        <v>49</v>
      </c>
      <c r="B67">
        <v>4.8</v>
      </c>
      <c r="C67">
        <v>3.4</v>
      </c>
      <c r="D67">
        <v>1.6</v>
      </c>
      <c r="E67">
        <v>0.2</v>
      </c>
      <c r="G67" t="s">
        <v>49</v>
      </c>
      <c r="H67" t="s">
        <v>49</v>
      </c>
      <c r="L67">
        <v>66</v>
      </c>
      <c r="M67">
        <v>3.6962471538855401E-2</v>
      </c>
      <c r="N67">
        <v>2.1623492570684128E-4</v>
      </c>
      <c r="O67">
        <v>66</v>
      </c>
      <c r="P67">
        <v>3.2998836981106561E-2</v>
      </c>
      <c r="Q67">
        <v>2.1623492570684147E-4</v>
      </c>
      <c r="R67">
        <v>66</v>
      </c>
      <c r="S67">
        <v>1.2315935150215996E-2</v>
      </c>
      <c r="T67">
        <v>2.3839900559179273E-2</v>
      </c>
      <c r="AE67">
        <v>0.5900000000000003</v>
      </c>
      <c r="AF67">
        <v>0.59559107452490845</v>
      </c>
      <c r="AG67">
        <v>0.36929346226081705</v>
      </c>
      <c r="AI67">
        <v>66</v>
      </c>
      <c r="AJ67">
        <v>0.1770487355476727</v>
      </c>
      <c r="AK67">
        <v>1</v>
      </c>
      <c r="AT67">
        <v>0.5900000000000003</v>
      </c>
      <c r="AU67">
        <v>0.59559107452490845</v>
      </c>
    </row>
    <row r="68" spans="1:47" x14ac:dyDescent="0.25">
      <c r="A68" t="s">
        <v>51</v>
      </c>
      <c r="B68">
        <v>6.4</v>
      </c>
      <c r="C68">
        <v>3.1</v>
      </c>
      <c r="D68">
        <v>5.5</v>
      </c>
      <c r="E68">
        <v>1.8</v>
      </c>
      <c r="G68" t="s">
        <v>51</v>
      </c>
      <c r="H68" t="s">
        <v>51</v>
      </c>
      <c r="L68">
        <v>67</v>
      </c>
      <c r="M68">
        <v>3.689082744974042E-2</v>
      </c>
      <c r="N68">
        <v>2.2704667199218334E-4</v>
      </c>
      <c r="O68">
        <v>67</v>
      </c>
      <c r="P68">
        <v>3.2987831041319936E-2</v>
      </c>
      <c r="Q68">
        <v>2.2704667199218356E-4</v>
      </c>
      <c r="R68">
        <v>67</v>
      </c>
      <c r="S68">
        <v>1.155328026422469E-2</v>
      </c>
      <c r="T68">
        <v>2.5031895587138239E-2</v>
      </c>
      <c r="AE68">
        <v>0.45000000000000023</v>
      </c>
      <c r="AF68">
        <v>-0.78690256730685904</v>
      </c>
      <c r="AG68">
        <v>-1.1461466312808462</v>
      </c>
      <c r="AI68">
        <v>67</v>
      </c>
      <c r="AJ68">
        <v>0.17668530469369317</v>
      </c>
      <c r="AK68">
        <v>1</v>
      </c>
      <c r="AT68">
        <v>0.45000000000000023</v>
      </c>
      <c r="AU68">
        <v>-0.78690256730685904</v>
      </c>
    </row>
    <row r="69" spans="1:47" x14ac:dyDescent="0.25">
      <c r="A69" t="s">
        <v>51</v>
      </c>
      <c r="B69">
        <v>5.8</v>
      </c>
      <c r="C69">
        <v>2.7</v>
      </c>
      <c r="D69">
        <v>5.0999999999999996</v>
      </c>
      <c r="E69">
        <v>1.9</v>
      </c>
      <c r="G69" t="s">
        <v>51</v>
      </c>
      <c r="H69" t="s">
        <v>51</v>
      </c>
      <c r="L69">
        <v>68</v>
      </c>
      <c r="M69">
        <v>3.6804086631157341E-2</v>
      </c>
      <c r="N69">
        <v>2.3839900559179252E-4</v>
      </c>
      <c r="O69">
        <v>68</v>
      </c>
      <c r="P69">
        <v>3.297678951128824E-2</v>
      </c>
      <c r="Q69">
        <v>2.3839900559179274E-4</v>
      </c>
      <c r="R69">
        <v>68</v>
      </c>
      <c r="S69">
        <v>1.0773746055419677E-2</v>
      </c>
      <c r="T69">
        <v>2.6283490366495153E-2</v>
      </c>
      <c r="AE69">
        <v>0.48000000000000026</v>
      </c>
      <c r="AF69">
        <v>-0.66792027056516245</v>
      </c>
      <c r="AG69">
        <v>-0.79940336848082083</v>
      </c>
      <c r="AI69">
        <v>68</v>
      </c>
      <c r="AJ69">
        <v>0.17599951659431534</v>
      </c>
      <c r="AK69">
        <v>1</v>
      </c>
      <c r="AT69">
        <v>0.48000000000000026</v>
      </c>
      <c r="AU69">
        <v>-0.66792027056516245</v>
      </c>
    </row>
    <row r="70" spans="1:47" x14ac:dyDescent="0.25">
      <c r="A70" t="s">
        <v>50</v>
      </c>
      <c r="B70">
        <v>6</v>
      </c>
      <c r="C70">
        <v>2.2000000000000002</v>
      </c>
      <c r="D70">
        <v>4</v>
      </c>
      <c r="E70">
        <v>1</v>
      </c>
      <c r="G70" t="s">
        <v>50</v>
      </c>
      <c r="H70" t="s">
        <v>50</v>
      </c>
      <c r="L70">
        <v>69</v>
      </c>
      <c r="M70">
        <v>3.6696263225071593E-2</v>
      </c>
      <c r="N70">
        <v>2.5031895587138218E-4</v>
      </c>
      <c r="O70">
        <v>69</v>
      </c>
      <c r="P70">
        <v>3.2965144310192394E-2</v>
      </c>
      <c r="Q70">
        <v>2.503189558713824E-4</v>
      </c>
      <c r="R70">
        <v>69</v>
      </c>
      <c r="S70">
        <v>9.8929514339219839E-3</v>
      </c>
      <c r="T70">
        <v>2.7597664884819913E-2</v>
      </c>
      <c r="AE70">
        <v>0.67000000000000037</v>
      </c>
      <c r="AF70">
        <v>0.3376514676773516</v>
      </c>
      <c r="AG70">
        <v>0.36084447245290008</v>
      </c>
      <c r="AI70">
        <v>69</v>
      </c>
      <c r="AJ70">
        <v>0.17480796745392779</v>
      </c>
      <c r="AK70">
        <v>1</v>
      </c>
      <c r="AT70">
        <v>0.67000000000000037</v>
      </c>
      <c r="AU70">
        <v>0.3376514676773516</v>
      </c>
    </row>
    <row r="71" spans="1:47" x14ac:dyDescent="0.25">
      <c r="A71" t="s">
        <v>49</v>
      </c>
      <c r="B71">
        <v>5.4</v>
      </c>
      <c r="C71">
        <v>3.9</v>
      </c>
      <c r="D71">
        <v>1.3</v>
      </c>
      <c r="E71">
        <v>0.4</v>
      </c>
      <c r="G71" t="s">
        <v>49</v>
      </c>
      <c r="H71" t="s">
        <v>49</v>
      </c>
      <c r="L71">
        <v>70</v>
      </c>
      <c r="M71">
        <v>3.660463468063304E-2</v>
      </c>
      <c r="N71">
        <v>2.6283490366495128E-4</v>
      </c>
      <c r="O71">
        <v>70</v>
      </c>
      <c r="P71">
        <v>3.2951698600035439E-2</v>
      </c>
      <c r="Q71">
        <v>2.6283490366495155E-4</v>
      </c>
      <c r="R71">
        <v>70</v>
      </c>
      <c r="S71">
        <v>1.0457995790059182E-2</v>
      </c>
      <c r="T71">
        <v>2.897754812906091E-2</v>
      </c>
      <c r="AE71">
        <v>0.94000000000000061</v>
      </c>
      <c r="AF71">
        <v>-0.17463688069501462</v>
      </c>
      <c r="AG71">
        <v>0.14924412772165141</v>
      </c>
      <c r="AI71">
        <v>70</v>
      </c>
      <c r="AJ71">
        <v>0.17317227901966478</v>
      </c>
      <c r="AK71">
        <v>1</v>
      </c>
      <c r="AT71">
        <v>0.94000000000000061</v>
      </c>
      <c r="AU71">
        <v>-0.17463688069501462</v>
      </c>
    </row>
    <row r="72" spans="1:47" x14ac:dyDescent="0.25">
      <c r="A72" t="s">
        <v>49</v>
      </c>
      <c r="B72">
        <v>4.9000000000000004</v>
      </c>
      <c r="C72">
        <v>3.1</v>
      </c>
      <c r="D72">
        <v>1.5</v>
      </c>
      <c r="E72">
        <v>0.1</v>
      </c>
      <c r="G72" t="s">
        <v>49</v>
      </c>
      <c r="H72" t="s">
        <v>49</v>
      </c>
      <c r="L72">
        <v>71</v>
      </c>
      <c r="M72">
        <v>3.6511832832145229E-2</v>
      </c>
      <c r="N72">
        <v>2.7597664884819885E-4</v>
      </c>
      <c r="O72">
        <v>71</v>
      </c>
      <c r="P72">
        <v>3.2938364544503523E-2</v>
      </c>
      <c r="Q72">
        <v>2.7597664884819917E-4</v>
      </c>
      <c r="R72">
        <v>71</v>
      </c>
      <c r="S72">
        <v>1.0002520580717813E-2</v>
      </c>
      <c r="T72">
        <v>2.8977548129060912E-3</v>
      </c>
      <c r="AE72">
        <v>0.02</v>
      </c>
      <c r="AF72">
        <v>1.3158098266487348</v>
      </c>
      <c r="AG72">
        <v>1.7122504615719158</v>
      </c>
      <c r="AI72">
        <v>71</v>
      </c>
      <c r="AJ72">
        <v>0.17222625667290573</v>
      </c>
      <c r="AK72">
        <v>0.25</v>
      </c>
      <c r="AT72">
        <v>0.02</v>
      </c>
      <c r="AU72">
        <v>1.3158098266487348</v>
      </c>
    </row>
    <row r="73" spans="1:47" x14ac:dyDescent="0.25">
      <c r="A73" t="s">
        <v>51</v>
      </c>
      <c r="B73">
        <v>6.4</v>
      </c>
      <c r="C73">
        <v>3.2</v>
      </c>
      <c r="D73">
        <v>5.3</v>
      </c>
      <c r="E73">
        <v>2.2999999999999998</v>
      </c>
      <c r="G73" t="s">
        <v>51</v>
      </c>
      <c r="H73" t="s">
        <v>51</v>
      </c>
      <c r="L73">
        <v>72</v>
      </c>
      <c r="M73">
        <v>3.6424609175781449E-2</v>
      </c>
      <c r="N73">
        <v>2.897754812906088E-4</v>
      </c>
      <c r="O73">
        <v>72</v>
      </c>
      <c r="P73">
        <v>3.2924944785654123E-2</v>
      </c>
      <c r="Q73">
        <v>2.8977548129060913E-4</v>
      </c>
      <c r="R73">
        <v>72</v>
      </c>
      <c r="S73">
        <v>9.8622958932944853E-3</v>
      </c>
      <c r="T73">
        <v>2.8977548129060913E-4</v>
      </c>
      <c r="AE73">
        <v>6.0000000000000005E-2</v>
      </c>
      <c r="AF73">
        <v>1.1995894221033272</v>
      </c>
      <c r="AG73">
        <v>1.5297374964370611</v>
      </c>
      <c r="AI73">
        <v>72</v>
      </c>
      <c r="AJ73">
        <v>0.17151833156096039</v>
      </c>
      <c r="AK73">
        <v>0.5</v>
      </c>
      <c r="AT73">
        <v>6.0000000000000005E-2</v>
      </c>
      <c r="AU73">
        <v>1.1995894221033272</v>
      </c>
    </row>
    <row r="74" spans="1:47" x14ac:dyDescent="0.25">
      <c r="A74" t="s">
        <v>49</v>
      </c>
      <c r="B74">
        <v>5</v>
      </c>
      <c r="C74">
        <v>3.5</v>
      </c>
      <c r="D74">
        <v>1.3</v>
      </c>
      <c r="E74">
        <v>0.3</v>
      </c>
      <c r="G74" t="s">
        <v>49</v>
      </c>
      <c r="H74" t="s">
        <v>49</v>
      </c>
      <c r="L74">
        <v>73</v>
      </c>
      <c r="M74">
        <v>3.6462755641846228E-2</v>
      </c>
      <c r="N74">
        <v>3.0426425535513927E-4</v>
      </c>
      <c r="O74">
        <v>73</v>
      </c>
      <c r="P74">
        <v>3.2910722774058786E-2</v>
      </c>
      <c r="Q74">
        <v>3.0426425535513959E-4</v>
      </c>
      <c r="R74">
        <v>73</v>
      </c>
      <c r="S74">
        <v>9.8479178685167562E-3</v>
      </c>
      <c r="T74">
        <v>3.0426425535513959E-4</v>
      </c>
      <c r="AE74">
        <v>0.57000000000000028</v>
      </c>
      <c r="AF74">
        <v>-0.13060897886401746</v>
      </c>
      <c r="AG74">
        <v>0.23037600190196983</v>
      </c>
      <c r="AI74">
        <v>73</v>
      </c>
      <c r="AJ74">
        <v>0.17125830480123128</v>
      </c>
      <c r="AK74">
        <v>1</v>
      </c>
      <c r="AT74">
        <v>0.57000000000000028</v>
      </c>
      <c r="AU74">
        <v>-0.13060897886401746</v>
      </c>
    </row>
    <row r="75" spans="1:47" x14ac:dyDescent="0.25">
      <c r="A75" t="s">
        <v>49</v>
      </c>
      <c r="B75">
        <v>5</v>
      </c>
      <c r="C75">
        <v>3.2</v>
      </c>
      <c r="D75">
        <v>1.2</v>
      </c>
      <c r="E75">
        <v>0.2</v>
      </c>
      <c r="G75" t="s">
        <v>49</v>
      </c>
      <c r="H75" t="s">
        <v>49</v>
      </c>
      <c r="L75">
        <v>74</v>
      </c>
      <c r="M75">
        <v>3.641292708839907E-2</v>
      </c>
      <c r="N75">
        <v>3.0426425535513927E-5</v>
      </c>
      <c r="O75">
        <v>74</v>
      </c>
      <c r="P75">
        <v>3.2895796126727779E-2</v>
      </c>
      <c r="Q75">
        <v>3.194774681228966E-4</v>
      </c>
      <c r="R75">
        <v>74</v>
      </c>
      <c r="S75">
        <v>9.8267034644251468E-3</v>
      </c>
      <c r="T75">
        <v>3.194774681228966E-4</v>
      </c>
      <c r="AE75">
        <v>0.63000000000000034</v>
      </c>
      <c r="AF75">
        <v>0.80788342254245038</v>
      </c>
      <c r="AG75">
        <v>0.47952961626129564</v>
      </c>
      <c r="AI75">
        <v>74</v>
      </c>
      <c r="AJ75">
        <v>0.17095967672307225</v>
      </c>
      <c r="AK75">
        <v>1</v>
      </c>
      <c r="AT75">
        <v>0.63000000000000034</v>
      </c>
      <c r="AU75">
        <v>0.80788342254245038</v>
      </c>
    </row>
    <row r="76" spans="1:47" x14ac:dyDescent="0.25">
      <c r="A76" t="s">
        <v>51</v>
      </c>
      <c r="B76">
        <v>5.8</v>
      </c>
      <c r="C76">
        <v>2.8</v>
      </c>
      <c r="D76">
        <v>5.0999999999999996</v>
      </c>
      <c r="E76">
        <v>2.4</v>
      </c>
      <c r="G76" t="s">
        <v>51</v>
      </c>
      <c r="H76" t="s">
        <v>51</v>
      </c>
      <c r="L76">
        <v>75</v>
      </c>
      <c r="M76">
        <v>3.6402482776423044E-2</v>
      </c>
      <c r="N76">
        <v>3.1947746812289626E-5</v>
      </c>
      <c r="O76">
        <v>75</v>
      </c>
      <c r="P76">
        <v>3.2882238450779942E-2</v>
      </c>
      <c r="Q76">
        <v>3.3545134152904144E-4</v>
      </c>
      <c r="R76">
        <v>75</v>
      </c>
      <c r="S76">
        <v>9.8112765423209319E-3</v>
      </c>
      <c r="T76">
        <v>3.3545134152904144E-4</v>
      </c>
      <c r="AE76">
        <v>0.61000000000000032</v>
      </c>
      <c r="AF76">
        <v>0.75806957588300194</v>
      </c>
      <c r="AG76">
        <v>0.45369861786738852</v>
      </c>
      <c r="AI76">
        <v>75</v>
      </c>
      <c r="AJ76">
        <v>0.17074209514675068</v>
      </c>
      <c r="AK76">
        <v>1</v>
      </c>
      <c r="AT76">
        <v>0.61000000000000032</v>
      </c>
      <c r="AU76">
        <v>0.75806957588300194</v>
      </c>
    </row>
    <row r="77" spans="1:47" x14ac:dyDescent="0.25">
      <c r="A77" t="s">
        <v>51</v>
      </c>
      <c r="B77">
        <v>6.9</v>
      </c>
      <c r="C77">
        <v>3.1</v>
      </c>
      <c r="D77">
        <v>5.4</v>
      </c>
      <c r="E77">
        <v>2.1</v>
      </c>
      <c r="G77" t="s">
        <v>51</v>
      </c>
      <c r="H77" t="s">
        <v>51</v>
      </c>
      <c r="L77">
        <v>76</v>
      </c>
      <c r="M77">
        <v>3.6391330869019627E-2</v>
      </c>
      <c r="N77">
        <v>3.3545134152904109E-5</v>
      </c>
      <c r="O77">
        <v>76</v>
      </c>
      <c r="P77">
        <v>3.286897872739749E-2</v>
      </c>
      <c r="Q77">
        <v>3.522239086054935E-4</v>
      </c>
      <c r="R77">
        <v>76</v>
      </c>
      <c r="S77">
        <v>9.7990374166266533E-3</v>
      </c>
      <c r="T77">
        <v>3.522239086054935E-4</v>
      </c>
      <c r="AE77">
        <v>0</v>
      </c>
      <c r="AF77">
        <v>2.0639404483020409</v>
      </c>
      <c r="AG77">
        <v>1.8256379499434985</v>
      </c>
      <c r="AI77">
        <v>76</v>
      </c>
      <c r="AJ77">
        <v>0.1706816014733295</v>
      </c>
      <c r="AK77">
        <v>1</v>
      </c>
      <c r="AT77">
        <v>0</v>
      </c>
      <c r="AU77">
        <v>2.0639404483020409</v>
      </c>
    </row>
    <row r="78" spans="1:47" x14ac:dyDescent="0.25">
      <c r="A78" t="s">
        <v>49</v>
      </c>
      <c r="B78">
        <v>4.9000000000000004</v>
      </c>
      <c r="C78">
        <v>3</v>
      </c>
      <c r="D78">
        <v>1.4</v>
      </c>
      <c r="E78">
        <v>0.2</v>
      </c>
      <c r="G78" t="s">
        <v>49</v>
      </c>
      <c r="H78" t="s">
        <v>49</v>
      </c>
      <c r="L78">
        <v>77</v>
      </c>
      <c r="M78">
        <v>3.6380501998057965E-2</v>
      </c>
      <c r="N78">
        <v>3.5222390860549319E-5</v>
      </c>
      <c r="O78">
        <v>77</v>
      </c>
      <c r="P78">
        <v>3.2852083029724831E-2</v>
      </c>
      <c r="Q78">
        <v>3.6983510403576817E-4</v>
      </c>
      <c r="R78">
        <v>77</v>
      </c>
      <c r="S78">
        <v>9.778650729325036E-3</v>
      </c>
      <c r="T78">
        <v>3.6983510403576817E-4</v>
      </c>
      <c r="AE78">
        <v>0.15</v>
      </c>
      <c r="AF78">
        <v>1.2542920509944651</v>
      </c>
      <c r="AG78">
        <v>1.1086680369408199</v>
      </c>
      <c r="AI78">
        <v>77</v>
      </c>
      <c r="AJ78">
        <v>0.16805251490817766</v>
      </c>
      <c r="AK78">
        <v>3.0078125</v>
      </c>
      <c r="AT78">
        <v>0.15</v>
      </c>
      <c r="AU78">
        <v>1.2542920509944651</v>
      </c>
    </row>
    <row r="79" spans="1:47" x14ac:dyDescent="0.25">
      <c r="A79" t="s">
        <v>50</v>
      </c>
      <c r="B79">
        <v>5.5</v>
      </c>
      <c r="C79">
        <v>2.4</v>
      </c>
      <c r="D79">
        <v>3.8</v>
      </c>
      <c r="E79">
        <v>1.1000000000000001</v>
      </c>
      <c r="G79" t="s">
        <v>50</v>
      </c>
      <c r="H79" t="s">
        <v>50</v>
      </c>
      <c r="L79">
        <v>78</v>
      </c>
      <c r="M79">
        <v>3.6369351542561927E-2</v>
      </c>
      <c r="N79">
        <v>3.6983510403576786E-5</v>
      </c>
      <c r="O79">
        <v>78</v>
      </c>
      <c r="P79">
        <v>3.2833048142576933E-2</v>
      </c>
      <c r="Q79">
        <v>3.8832685923755658E-4</v>
      </c>
      <c r="R79">
        <v>78</v>
      </c>
      <c r="S79">
        <v>9.7644683227983628E-3</v>
      </c>
      <c r="T79">
        <v>3.8832685923755658E-4</v>
      </c>
      <c r="AE79">
        <v>1.0000000000000007</v>
      </c>
      <c r="AF79">
        <v>1.4584598186017315</v>
      </c>
      <c r="AG79">
        <v>1.8621658200121374</v>
      </c>
      <c r="AI79">
        <v>78</v>
      </c>
      <c r="AJ79">
        <v>0.16804827879738185</v>
      </c>
      <c r="AK79">
        <v>4.8828125E-4</v>
      </c>
      <c r="AT79">
        <v>1.0000000000000007</v>
      </c>
      <c r="AU79">
        <v>1.4584598186017315</v>
      </c>
    </row>
    <row r="80" spans="1:47" x14ac:dyDescent="0.25">
      <c r="A80" t="s">
        <v>50</v>
      </c>
      <c r="B80">
        <v>6.2</v>
      </c>
      <c r="C80">
        <v>2.2000000000000002</v>
      </c>
      <c r="D80">
        <v>4.5</v>
      </c>
      <c r="E80">
        <v>1.5</v>
      </c>
      <c r="G80" t="s">
        <v>50</v>
      </c>
      <c r="H80" t="s">
        <v>50</v>
      </c>
      <c r="L80">
        <v>79</v>
      </c>
      <c r="M80">
        <v>3.6357692116129298E-2</v>
      </c>
      <c r="N80">
        <v>3.8832685923755624E-5</v>
      </c>
      <c r="O80">
        <v>79</v>
      </c>
      <c r="P80">
        <v>3.2814452867654921E-2</v>
      </c>
      <c r="Q80">
        <v>4.077432021994344E-4</v>
      </c>
      <c r="R80">
        <v>79</v>
      </c>
      <c r="S80">
        <v>9.74811419743629E-3</v>
      </c>
      <c r="T80">
        <v>4.077432021994344E-4</v>
      </c>
      <c r="AE80">
        <v>0.37000000000000016</v>
      </c>
      <c r="AF80">
        <v>-1.5553137207229291</v>
      </c>
      <c r="AG80">
        <v>-1.5390358743323773</v>
      </c>
      <c r="AI80">
        <v>79</v>
      </c>
      <c r="AJ80">
        <v>0.16766640993804294</v>
      </c>
      <c r="AK80">
        <v>1</v>
      </c>
      <c r="AT80">
        <v>0.37000000000000016</v>
      </c>
      <c r="AU80">
        <v>-1.5553137207229291</v>
      </c>
    </row>
    <row r="81" spans="1:47" x14ac:dyDescent="0.25">
      <c r="A81" t="s">
        <v>49</v>
      </c>
      <c r="B81">
        <v>5</v>
      </c>
      <c r="C81">
        <v>3.6</v>
      </c>
      <c r="D81">
        <v>1.4</v>
      </c>
      <c r="E81">
        <v>0.2</v>
      </c>
      <c r="G81" t="s">
        <v>49</v>
      </c>
      <c r="H81" t="s">
        <v>49</v>
      </c>
      <c r="L81">
        <v>80</v>
      </c>
      <c r="M81">
        <v>3.6345511226827075E-2</v>
      </c>
      <c r="N81">
        <v>4.0774320219943409E-5</v>
      </c>
      <c r="O81">
        <v>80</v>
      </c>
      <c r="P81">
        <v>3.2796793638851213E-2</v>
      </c>
      <c r="Q81">
        <v>4.2813036230940615E-4</v>
      </c>
      <c r="R81">
        <v>80</v>
      </c>
      <c r="S81">
        <v>9.7278749257080147E-3</v>
      </c>
      <c r="T81">
        <v>4.2813036230940615E-4</v>
      </c>
      <c r="AE81">
        <v>0.4100000000000002</v>
      </c>
      <c r="AF81">
        <v>-1.212424388548184</v>
      </c>
      <c r="AG81">
        <v>-1.4704843891590968</v>
      </c>
      <c r="AI81">
        <v>80</v>
      </c>
      <c r="AJ81">
        <v>0.16595009787219153</v>
      </c>
      <c r="AK81">
        <v>1</v>
      </c>
      <c r="AT81">
        <v>0.4100000000000002</v>
      </c>
      <c r="AU81">
        <v>-1.212424388548184</v>
      </c>
    </row>
    <row r="82" spans="1:47" x14ac:dyDescent="0.25">
      <c r="A82" t="s">
        <v>50</v>
      </c>
      <c r="B82">
        <v>6.1</v>
      </c>
      <c r="C82">
        <v>2.9</v>
      </c>
      <c r="D82">
        <v>4.7</v>
      </c>
      <c r="E82">
        <v>1.4</v>
      </c>
      <c r="G82" t="s">
        <v>50</v>
      </c>
      <c r="H82" t="s">
        <v>50</v>
      </c>
      <c r="L82">
        <v>81</v>
      </c>
      <c r="M82">
        <v>3.6332908286748046E-2</v>
      </c>
      <c r="N82">
        <v>4.2813036230940582E-5</v>
      </c>
      <c r="O82">
        <v>81</v>
      </c>
      <c r="P82">
        <v>3.2777252965331023E-2</v>
      </c>
      <c r="Q82">
        <v>4.4953688042487645E-4</v>
      </c>
      <c r="R82">
        <v>81</v>
      </c>
      <c r="S82">
        <v>9.710577684363994E-3</v>
      </c>
      <c r="T82">
        <v>4.4953688042487645E-4</v>
      </c>
      <c r="AE82">
        <v>0.22000000000000006</v>
      </c>
      <c r="AF82">
        <v>0.56207505153349846</v>
      </c>
      <c r="AG82">
        <v>0.35622387841764791</v>
      </c>
      <c r="AI82">
        <v>81</v>
      </c>
      <c r="AJ82">
        <v>0.16430827500930548</v>
      </c>
      <c r="AK82">
        <v>1</v>
      </c>
      <c r="AT82">
        <v>0.22000000000000006</v>
      </c>
      <c r="AU82">
        <v>0.56207505153349846</v>
      </c>
    </row>
    <row r="83" spans="1:47" x14ac:dyDescent="0.25">
      <c r="A83" t="s">
        <v>49</v>
      </c>
      <c r="B83">
        <v>5.4</v>
      </c>
      <c r="C83">
        <v>3.7</v>
      </c>
      <c r="D83">
        <v>1.5</v>
      </c>
      <c r="E83">
        <v>0.2</v>
      </c>
      <c r="G83" t="s">
        <v>49</v>
      </c>
      <c r="H83" t="s">
        <v>49</v>
      </c>
      <c r="L83">
        <v>82</v>
      </c>
      <c r="M83">
        <v>3.6319493068085219E-2</v>
      </c>
      <c r="N83">
        <v>4.495368804248761E-5</v>
      </c>
      <c r="O83">
        <v>82</v>
      </c>
      <c r="P83">
        <v>3.2757006807155348E-2</v>
      </c>
      <c r="Q83">
        <v>4.720137244461203E-4</v>
      </c>
      <c r="R83">
        <v>82</v>
      </c>
      <c r="S83">
        <v>9.6923022247083854E-3</v>
      </c>
      <c r="T83">
        <v>4.720137244461203E-4</v>
      </c>
      <c r="AE83">
        <v>0.84000000000000052</v>
      </c>
      <c r="AF83">
        <v>-1.2042841006390772</v>
      </c>
      <c r="AG83">
        <v>-0.88271822016332635</v>
      </c>
      <c r="AI83">
        <v>82</v>
      </c>
      <c r="AJ83">
        <v>0.16340645475603854</v>
      </c>
      <c r="AK83">
        <v>1</v>
      </c>
      <c r="AT83">
        <v>0.84000000000000052</v>
      </c>
      <c r="AU83">
        <v>-1.2042841006390772</v>
      </c>
    </row>
    <row r="84" spans="1:47" x14ac:dyDescent="0.25">
      <c r="A84" t="s">
        <v>49</v>
      </c>
      <c r="B84">
        <v>4.9000000000000004</v>
      </c>
      <c r="C84">
        <v>3.1</v>
      </c>
      <c r="D84">
        <v>1.5</v>
      </c>
      <c r="E84">
        <v>0.1</v>
      </c>
      <c r="G84" t="s">
        <v>49</v>
      </c>
      <c r="H84" t="s">
        <v>49</v>
      </c>
      <c r="L84">
        <v>83</v>
      </c>
      <c r="M84">
        <v>3.6306193172593211E-2</v>
      </c>
      <c r="N84">
        <v>4.7201372444611994E-5</v>
      </c>
      <c r="O84">
        <v>83</v>
      </c>
      <c r="P84">
        <v>3.2736376028035266E-2</v>
      </c>
      <c r="Q84">
        <v>4.9561441066842636E-4</v>
      </c>
      <c r="R84">
        <v>83</v>
      </c>
      <c r="S84">
        <v>9.6701502799930571E-3</v>
      </c>
      <c r="T84">
        <v>4.9561441066842636E-4</v>
      </c>
      <c r="AE84">
        <v>0.66000000000000036</v>
      </c>
      <c r="AF84">
        <v>0.51571860204728837</v>
      </c>
      <c r="AG84">
        <v>0.41021278423991347</v>
      </c>
      <c r="AI84">
        <v>83</v>
      </c>
      <c r="AJ84">
        <v>0.16211355135200842</v>
      </c>
      <c r="AK84">
        <v>1</v>
      </c>
      <c r="AT84">
        <v>0.66000000000000036</v>
      </c>
      <c r="AU84">
        <v>0.51571860204728837</v>
      </c>
    </row>
    <row r="85" spans="1:47" x14ac:dyDescent="0.25">
      <c r="A85" t="s">
        <v>51</v>
      </c>
      <c r="B85">
        <v>6.7</v>
      </c>
      <c r="C85">
        <v>3</v>
      </c>
      <c r="D85">
        <v>5.2</v>
      </c>
      <c r="E85">
        <v>2.2999999999999998</v>
      </c>
      <c r="G85" t="s">
        <v>51</v>
      </c>
      <c r="H85" t="s">
        <v>51</v>
      </c>
      <c r="L85">
        <v>84</v>
      </c>
      <c r="M85">
        <v>3.6291777975097181E-2</v>
      </c>
      <c r="N85">
        <v>4.9561441066842597E-5</v>
      </c>
      <c r="O85">
        <v>84</v>
      </c>
      <c r="P85">
        <v>3.2712124560844269E-2</v>
      </c>
      <c r="Q85">
        <v>5.2039513120184767E-4</v>
      </c>
      <c r="R85">
        <v>84</v>
      </c>
      <c r="S85">
        <v>9.6494138495005211E-3</v>
      </c>
      <c r="T85">
        <v>5.2039513120184767E-4</v>
      </c>
      <c r="AE85">
        <v>0.29000000000000009</v>
      </c>
      <c r="AF85">
        <v>-0.46602817895844928</v>
      </c>
      <c r="AG85">
        <v>-0.77087650640291727</v>
      </c>
      <c r="AI85">
        <v>84</v>
      </c>
      <c r="AJ85">
        <v>0.16066082937244147</v>
      </c>
      <c r="AK85">
        <v>1</v>
      </c>
      <c r="AT85">
        <v>0.29000000000000009</v>
      </c>
      <c r="AU85">
        <v>-0.46602817895844928</v>
      </c>
    </row>
    <row r="86" spans="1:47" x14ac:dyDescent="0.25">
      <c r="A86" t="s">
        <v>51</v>
      </c>
      <c r="B86">
        <v>6.5</v>
      </c>
      <c r="C86">
        <v>3</v>
      </c>
      <c r="D86">
        <v>5.5</v>
      </c>
      <c r="E86">
        <v>1.8</v>
      </c>
      <c r="G86" t="s">
        <v>51</v>
      </c>
      <c r="H86" t="s">
        <v>51</v>
      </c>
      <c r="L86">
        <v>85</v>
      </c>
      <c r="M86">
        <v>3.6275992529567855E-2</v>
      </c>
      <c r="N86">
        <v>5.203951312018473E-5</v>
      </c>
      <c r="O86">
        <v>85</v>
      </c>
      <c r="P86">
        <v>3.269469784923211E-2</v>
      </c>
      <c r="Q86">
        <v>5.4641488776194008E-4</v>
      </c>
      <c r="R86">
        <v>85</v>
      </c>
      <c r="S86">
        <v>9.6276278258755014E-3</v>
      </c>
      <c r="T86">
        <v>5.4641488776194008E-4</v>
      </c>
      <c r="AE86">
        <v>0.77000000000000046</v>
      </c>
      <c r="AF86">
        <v>-0.52895814143836328</v>
      </c>
      <c r="AG86">
        <v>-0.50342267710723121</v>
      </c>
      <c r="AI86">
        <v>85</v>
      </c>
      <c r="AJ86">
        <v>0.15959197619206639</v>
      </c>
      <c r="AK86">
        <v>1</v>
      </c>
      <c r="AT86">
        <v>0.77000000000000046</v>
      </c>
      <c r="AU86">
        <v>-0.52895814143836328</v>
      </c>
    </row>
    <row r="87" spans="1:47" x14ac:dyDescent="0.25">
      <c r="A87" t="s">
        <v>50</v>
      </c>
      <c r="B87">
        <v>6.7</v>
      </c>
      <c r="C87">
        <v>3.1</v>
      </c>
      <c r="D87">
        <v>4.7</v>
      </c>
      <c r="E87">
        <v>1.5</v>
      </c>
      <c r="G87" t="s">
        <v>50</v>
      </c>
      <c r="H87" t="s">
        <v>50</v>
      </c>
      <c r="L87">
        <v>86</v>
      </c>
      <c r="M87">
        <v>3.6260827311448626E-2</v>
      </c>
      <c r="N87">
        <v>5.4641488776193972E-5</v>
      </c>
      <c r="O87">
        <v>86</v>
      </c>
      <c r="P87">
        <v>3.2669427726662682E-2</v>
      </c>
      <c r="Q87">
        <v>5.7373563215003709E-4</v>
      </c>
      <c r="R87">
        <v>86</v>
      </c>
      <c r="S87">
        <v>9.6054786856249515E-3</v>
      </c>
      <c r="T87">
        <v>5.7373563215003709E-4</v>
      </c>
      <c r="AE87">
        <v>0.54000000000000026</v>
      </c>
      <c r="AF87">
        <v>-0.26263623426867927</v>
      </c>
      <c r="AG87">
        <v>-6.221985238968486E-2</v>
      </c>
      <c r="AI87">
        <v>86</v>
      </c>
      <c r="AJ87">
        <v>0.15920627169853221</v>
      </c>
      <c r="AK87">
        <v>1</v>
      </c>
      <c r="AT87">
        <v>0.54000000000000026</v>
      </c>
      <c r="AU87">
        <v>-0.26263623426867927</v>
      </c>
    </row>
    <row r="88" spans="1:47" x14ac:dyDescent="0.25">
      <c r="A88" t="s">
        <v>50</v>
      </c>
      <c r="B88">
        <v>5.8</v>
      </c>
      <c r="C88">
        <v>2.7</v>
      </c>
      <c r="D88">
        <v>3.9</v>
      </c>
      <c r="E88">
        <v>1.2</v>
      </c>
      <c r="G88" t="s">
        <v>50</v>
      </c>
      <c r="H88" t="s">
        <v>50</v>
      </c>
      <c r="L88">
        <v>87</v>
      </c>
      <c r="M88">
        <v>3.6244253237947825E-2</v>
      </c>
      <c r="N88">
        <v>5.7373563215003675E-5</v>
      </c>
      <c r="O88">
        <v>87</v>
      </c>
      <c r="P88">
        <v>3.2636844035004109E-2</v>
      </c>
      <c r="Q88">
        <v>6.02422413757539E-4</v>
      </c>
      <c r="R88">
        <v>87</v>
      </c>
      <c r="S88">
        <v>9.5847031831887714E-3</v>
      </c>
      <c r="T88">
        <v>6.02422413757539E-4</v>
      </c>
      <c r="AE88">
        <v>0.95000000000000062</v>
      </c>
      <c r="AF88">
        <v>0.57703042287198059</v>
      </c>
      <c r="AG88">
        <v>0.38055616690814631</v>
      </c>
      <c r="AI88">
        <v>87</v>
      </c>
      <c r="AJ88">
        <v>0.15904874615448089</v>
      </c>
      <c r="AK88">
        <v>1</v>
      </c>
      <c r="AT88">
        <v>0.95000000000000062</v>
      </c>
      <c r="AU88">
        <v>0.57703042287198059</v>
      </c>
    </row>
    <row r="89" spans="1:47" x14ac:dyDescent="0.25">
      <c r="A89" t="s">
        <v>50</v>
      </c>
      <c r="B89">
        <v>6.5</v>
      </c>
      <c r="C89">
        <v>2.8</v>
      </c>
      <c r="D89">
        <v>4.5999999999999996</v>
      </c>
      <c r="E89">
        <v>1.5</v>
      </c>
      <c r="G89" t="s">
        <v>50</v>
      </c>
      <c r="H89" t="s">
        <v>50</v>
      </c>
      <c r="L89">
        <v>88</v>
      </c>
      <c r="M89">
        <v>3.6228485856544278E-2</v>
      </c>
      <c r="N89">
        <v>6.0242241375753861E-5</v>
      </c>
      <c r="O89">
        <v>88</v>
      </c>
      <c r="P89">
        <v>3.2606560070483931E-2</v>
      </c>
      <c r="Q89">
        <v>6.3254353444541593E-4</v>
      </c>
      <c r="R89">
        <v>88</v>
      </c>
      <c r="S89">
        <v>9.5619912901563492E-3</v>
      </c>
      <c r="T89">
        <v>6.3254353444541593E-4</v>
      </c>
      <c r="AE89">
        <v>0.68000000000000038</v>
      </c>
      <c r="AF89">
        <v>0.495428709292761</v>
      </c>
      <c r="AG89">
        <v>0.30010154953209067</v>
      </c>
      <c r="AI89">
        <v>88</v>
      </c>
      <c r="AJ89">
        <v>0.15839632758982314</v>
      </c>
      <c r="AK89">
        <v>1</v>
      </c>
      <c r="AT89">
        <v>0.68000000000000038</v>
      </c>
      <c r="AU89">
        <v>0.495428709292761</v>
      </c>
    </row>
    <row r="90" spans="1:47" x14ac:dyDescent="0.25">
      <c r="A90" t="s">
        <v>49</v>
      </c>
      <c r="B90">
        <v>4.4000000000000004</v>
      </c>
      <c r="C90">
        <v>2.9</v>
      </c>
      <c r="D90">
        <v>1.4</v>
      </c>
      <c r="E90">
        <v>0.2</v>
      </c>
      <c r="G90" t="s">
        <v>49</v>
      </c>
      <c r="H90" t="s">
        <v>49</v>
      </c>
      <c r="L90">
        <v>89</v>
      </c>
      <c r="M90">
        <v>3.6208569838142871E-2</v>
      </c>
      <c r="N90">
        <v>6.3254353444541553E-5</v>
      </c>
      <c r="O90">
        <v>89</v>
      </c>
      <c r="P90">
        <v>3.2580221890510352E-2</v>
      </c>
      <c r="Q90">
        <v>6.6417071116768676E-4</v>
      </c>
      <c r="R90">
        <v>89</v>
      </c>
      <c r="S90">
        <v>9.5313520056141219E-3</v>
      </c>
      <c r="T90">
        <v>6.6417071116768676E-4</v>
      </c>
      <c r="AE90">
        <v>0.79000000000000048</v>
      </c>
      <c r="AF90">
        <v>-0.12711987240511324</v>
      </c>
      <c r="AG90">
        <v>-0.6676394596998243</v>
      </c>
      <c r="AI90">
        <v>89</v>
      </c>
      <c r="AJ90">
        <v>0.15748273647751404</v>
      </c>
      <c r="AK90">
        <v>1</v>
      </c>
      <c r="AT90">
        <v>0.79000000000000048</v>
      </c>
      <c r="AU90">
        <v>-0.12711987240511324</v>
      </c>
    </row>
    <row r="91" spans="1:47" x14ac:dyDescent="0.25">
      <c r="A91" t="s">
        <v>49</v>
      </c>
      <c r="B91">
        <v>5.4</v>
      </c>
      <c r="C91">
        <v>3.4</v>
      </c>
      <c r="D91">
        <v>1.7</v>
      </c>
      <c r="E91">
        <v>0.2</v>
      </c>
      <c r="G91" t="s">
        <v>49</v>
      </c>
      <c r="H91" t="s">
        <v>49</v>
      </c>
      <c r="L91">
        <v>90</v>
      </c>
      <c r="M91">
        <v>3.6193458887475626E-2</v>
      </c>
      <c r="N91">
        <v>6.6417071116768627E-5</v>
      </c>
      <c r="O91">
        <v>90</v>
      </c>
      <c r="P91">
        <v>3.255480121140214E-2</v>
      </c>
      <c r="Q91">
        <v>6.9737924672607114E-4</v>
      </c>
      <c r="R91">
        <v>90</v>
      </c>
      <c r="S91">
        <v>9.5051903076589922E-3</v>
      </c>
      <c r="T91">
        <v>6.9737924672607114E-4</v>
      </c>
      <c r="AE91">
        <v>0.65000000000000036</v>
      </c>
      <c r="AF91">
        <v>0.51834428671943988</v>
      </c>
      <c r="AG91">
        <v>0.44704408457233313</v>
      </c>
      <c r="AI91">
        <v>90</v>
      </c>
      <c r="AJ91">
        <v>0.15603949645088425</v>
      </c>
      <c r="AK91">
        <v>1</v>
      </c>
      <c r="AT91">
        <v>0.65000000000000036</v>
      </c>
      <c r="AU91">
        <v>0.51834428671943988</v>
      </c>
    </row>
    <row r="92" spans="1:47" x14ac:dyDescent="0.25">
      <c r="A92" t="s">
        <v>49</v>
      </c>
      <c r="B92">
        <v>5</v>
      </c>
      <c r="C92">
        <v>3.5</v>
      </c>
      <c r="D92">
        <v>1.6</v>
      </c>
      <c r="E92">
        <v>0.6</v>
      </c>
      <c r="G92" t="s">
        <v>49</v>
      </c>
      <c r="H92" t="s">
        <v>49</v>
      </c>
      <c r="L92">
        <v>91</v>
      </c>
      <c r="M92">
        <v>3.6171598657022949E-2</v>
      </c>
      <c r="N92">
        <v>6.9737924672607065E-5</v>
      </c>
      <c r="O92">
        <v>91</v>
      </c>
      <c r="P92">
        <v>3.2516997859907006E-2</v>
      </c>
      <c r="Q92">
        <v>7.3224820906237474E-4</v>
      </c>
      <c r="R92">
        <v>91</v>
      </c>
      <c r="S92">
        <v>9.4772593491754247E-3</v>
      </c>
      <c r="T92">
        <v>7.3224820906237474E-4</v>
      </c>
      <c r="AE92">
        <v>0.09</v>
      </c>
      <c r="AF92">
        <v>1.8008686691338132</v>
      </c>
      <c r="AG92">
        <v>1.4132362844439292</v>
      </c>
      <c r="AI92">
        <v>91</v>
      </c>
      <c r="AJ92">
        <v>0.15341769522946586</v>
      </c>
      <c r="AK92">
        <v>1</v>
      </c>
      <c r="AT92">
        <v>0.09</v>
      </c>
      <c r="AU92">
        <v>1.8008686691338132</v>
      </c>
    </row>
    <row r="93" spans="1:47" x14ac:dyDescent="0.25">
      <c r="A93" t="s">
        <v>49</v>
      </c>
      <c r="B93">
        <v>4.9000000000000004</v>
      </c>
      <c r="C93">
        <v>3.1</v>
      </c>
      <c r="D93">
        <v>1.5</v>
      </c>
      <c r="E93">
        <v>0.1</v>
      </c>
      <c r="G93" t="s">
        <v>49</v>
      </c>
      <c r="H93" t="s">
        <v>49</v>
      </c>
      <c r="L93">
        <v>92</v>
      </c>
      <c r="M93">
        <v>3.615092543830669E-2</v>
      </c>
      <c r="N93">
        <v>7.3224820906237425E-5</v>
      </c>
      <c r="O93">
        <v>92</v>
      </c>
      <c r="P93">
        <v>3.2495219505801559E-2</v>
      </c>
      <c r="Q93">
        <v>7.6886061951549349E-4</v>
      </c>
      <c r="R93">
        <v>92</v>
      </c>
      <c r="S93">
        <v>9.4475355247768955E-3</v>
      </c>
      <c r="T93">
        <v>7.6886061951549349E-4</v>
      </c>
      <c r="AE93">
        <v>0.24000000000000007</v>
      </c>
      <c r="AF93">
        <v>-3.0333782777252235E-2</v>
      </c>
      <c r="AG93">
        <v>4.8761000845551905E-2</v>
      </c>
      <c r="AI93">
        <v>92</v>
      </c>
      <c r="AJ93">
        <v>0.1516059513547437</v>
      </c>
      <c r="AK93">
        <v>1</v>
      </c>
      <c r="AT93">
        <v>0.24000000000000007</v>
      </c>
      <c r="AU93">
        <v>-3.0333782777252235E-2</v>
      </c>
    </row>
    <row r="94" spans="1:47" x14ac:dyDescent="0.25">
      <c r="A94" t="s">
        <v>51</v>
      </c>
      <c r="B94">
        <v>6.5</v>
      </c>
      <c r="C94">
        <v>3</v>
      </c>
      <c r="D94">
        <v>5.8</v>
      </c>
      <c r="E94">
        <v>2.2000000000000002</v>
      </c>
      <c r="G94" t="s">
        <v>51</v>
      </c>
      <c r="H94" t="s">
        <v>51</v>
      </c>
      <c r="L94">
        <v>93</v>
      </c>
      <c r="M94">
        <v>3.6129028506692216E-2</v>
      </c>
      <c r="N94">
        <v>7.68860619515493E-5</v>
      </c>
      <c r="O94">
        <v>93</v>
      </c>
      <c r="P94">
        <v>3.2453230301923222E-2</v>
      </c>
      <c r="Q94">
        <v>8.0730365049126816E-4</v>
      </c>
      <c r="R94">
        <v>93</v>
      </c>
      <c r="S94">
        <v>9.4174828579439377E-3</v>
      </c>
      <c r="T94">
        <v>8.0730365049126816E-4</v>
      </c>
      <c r="AE94">
        <v>0.64000000000000035</v>
      </c>
      <c r="AF94">
        <v>0.37766253965129049</v>
      </c>
      <c r="AG94">
        <v>0.47038677624742675</v>
      </c>
      <c r="AI94">
        <v>93</v>
      </c>
      <c r="AJ94">
        <v>0.15024977228730399</v>
      </c>
      <c r="AK94">
        <v>1</v>
      </c>
      <c r="AT94">
        <v>0.64000000000000035</v>
      </c>
      <c r="AU94">
        <v>0.37766253965129049</v>
      </c>
    </row>
    <row r="95" spans="1:47" x14ac:dyDescent="0.25">
      <c r="A95" t="s">
        <v>49</v>
      </c>
      <c r="B95">
        <v>4.4000000000000004</v>
      </c>
      <c r="C95">
        <v>3.2</v>
      </c>
      <c r="D95">
        <v>1.3</v>
      </c>
      <c r="E95">
        <v>0.2</v>
      </c>
      <c r="G95" t="s">
        <v>49</v>
      </c>
      <c r="H95" t="s">
        <v>49</v>
      </c>
      <c r="L95">
        <v>94</v>
      </c>
      <c r="M95">
        <v>3.6111468299261311E-2</v>
      </c>
      <c r="N95">
        <v>8.0730365049126772E-5</v>
      </c>
      <c r="O95">
        <v>94</v>
      </c>
      <c r="P95">
        <v>3.2415902151932616E-2</v>
      </c>
      <c r="Q95">
        <v>8.4766883301583165E-4</v>
      </c>
      <c r="R95">
        <v>94</v>
      </c>
      <c r="S95">
        <v>9.3844823659819891E-3</v>
      </c>
      <c r="T95">
        <v>8.4766883301583165E-4</v>
      </c>
      <c r="AE95">
        <v>0.97000000000000064</v>
      </c>
      <c r="AF95">
        <v>1.1610505397741118</v>
      </c>
      <c r="AG95">
        <v>0.9106440306741348</v>
      </c>
      <c r="AI95">
        <v>94</v>
      </c>
      <c r="AJ95">
        <v>0.14928234001808161</v>
      </c>
      <c r="AK95">
        <v>1</v>
      </c>
      <c r="AT95">
        <v>0.97000000000000064</v>
      </c>
      <c r="AU95">
        <v>1.1610505397741118</v>
      </c>
    </row>
    <row r="96" spans="1:47" x14ac:dyDescent="0.25">
      <c r="A96" t="s">
        <v>50</v>
      </c>
      <c r="B96">
        <v>6.6</v>
      </c>
      <c r="C96">
        <v>2.9</v>
      </c>
      <c r="D96">
        <v>4.5999999999999996</v>
      </c>
      <c r="E96">
        <v>1.3</v>
      </c>
      <c r="G96" t="s">
        <v>50</v>
      </c>
      <c r="H96" t="s">
        <v>50</v>
      </c>
      <c r="L96">
        <v>95</v>
      </c>
      <c r="M96">
        <v>3.6084188663245066E-2</v>
      </c>
      <c r="N96">
        <v>8.4766883301583116E-5</v>
      </c>
      <c r="O96">
        <v>95</v>
      </c>
      <c r="P96">
        <v>3.2381694936380163E-2</v>
      </c>
      <c r="Q96">
        <v>8.9005227466662322E-4</v>
      </c>
      <c r="R96">
        <v>95</v>
      </c>
      <c r="S96">
        <v>9.3495346442840476E-3</v>
      </c>
      <c r="T96">
        <v>8.9005227466662322E-4</v>
      </c>
      <c r="AE96">
        <v>0.8100000000000005</v>
      </c>
      <c r="AF96">
        <v>-0.38025752111090411</v>
      </c>
      <c r="AG96">
        <v>-0.79451960917065634</v>
      </c>
      <c r="AI96">
        <v>95</v>
      </c>
      <c r="AJ96">
        <v>0.14783118611929569</v>
      </c>
      <c r="AK96">
        <v>1</v>
      </c>
      <c r="AT96">
        <v>0.8100000000000005</v>
      </c>
      <c r="AU96">
        <v>-0.38025752111090411</v>
      </c>
    </row>
    <row r="97" spans="1:47" x14ac:dyDescent="0.25">
      <c r="A97" t="s">
        <v>51</v>
      </c>
      <c r="B97">
        <v>6.7</v>
      </c>
      <c r="C97">
        <v>3.3</v>
      </c>
      <c r="D97">
        <v>5.7</v>
      </c>
      <c r="E97">
        <v>2.1</v>
      </c>
      <c r="G97" t="s">
        <v>51</v>
      </c>
      <c r="H97" t="s">
        <v>51</v>
      </c>
      <c r="L97">
        <v>96</v>
      </c>
      <c r="M97">
        <v>3.6060264827025706E-2</v>
      </c>
      <c r="N97">
        <v>8.9005227466662279E-5</v>
      </c>
      <c r="O97">
        <v>96</v>
      </c>
      <c r="P97">
        <v>3.2340045834148692E-2</v>
      </c>
      <c r="Q97">
        <v>9.3455488839995439E-4</v>
      </c>
      <c r="R97">
        <v>96</v>
      </c>
      <c r="S97">
        <v>9.3135270340162918E-3</v>
      </c>
      <c r="T97">
        <v>9.3455488839995439E-4</v>
      </c>
      <c r="AE97">
        <v>0.60000000000000031</v>
      </c>
      <c r="AF97">
        <v>0.77187959722011201</v>
      </c>
      <c r="AG97">
        <v>0.41866093000124849</v>
      </c>
      <c r="AI97">
        <v>96</v>
      </c>
      <c r="AJ97">
        <v>0.14405304757015547</v>
      </c>
      <c r="AK97">
        <v>1</v>
      </c>
      <c r="AT97">
        <v>0.60000000000000031</v>
      </c>
      <c r="AU97">
        <v>0.77187959722011201</v>
      </c>
    </row>
    <row r="98" spans="1:47" x14ac:dyDescent="0.25">
      <c r="A98" t="s">
        <v>49</v>
      </c>
      <c r="B98">
        <v>5.2</v>
      </c>
      <c r="C98">
        <v>4.0999999999999996</v>
      </c>
      <c r="D98">
        <v>1.5</v>
      </c>
      <c r="E98">
        <v>0.1</v>
      </c>
      <c r="G98" t="s">
        <v>49</v>
      </c>
      <c r="H98" t="s">
        <v>49</v>
      </c>
      <c r="L98">
        <v>97</v>
      </c>
      <c r="M98">
        <v>3.604498312428623E-2</v>
      </c>
      <c r="N98">
        <v>9.3455488839995398E-5</v>
      </c>
      <c r="O98">
        <v>97</v>
      </c>
      <c r="P98">
        <v>3.2293397695614401E-2</v>
      </c>
      <c r="Q98">
        <v>9.8128263281995224E-4</v>
      </c>
      <c r="R98">
        <v>97</v>
      </c>
      <c r="S98">
        <v>9.2811129239815278E-3</v>
      </c>
      <c r="T98">
        <v>9.8128263281995224E-4</v>
      </c>
      <c r="AE98">
        <v>0.88000000000000056</v>
      </c>
      <c r="AF98">
        <v>-0.72111719830586707</v>
      </c>
      <c r="AG98">
        <v>-0.74224941866827976</v>
      </c>
      <c r="AI98">
        <v>97</v>
      </c>
      <c r="AJ98">
        <v>0.13512139503859083</v>
      </c>
      <c r="AK98">
        <v>1</v>
      </c>
      <c r="AT98">
        <v>0.88000000000000056</v>
      </c>
      <c r="AU98">
        <v>-0.72111719830586707</v>
      </c>
    </row>
    <row r="99" spans="1:47" x14ac:dyDescent="0.25">
      <c r="A99" t="s">
        <v>50</v>
      </c>
      <c r="B99">
        <v>5.6</v>
      </c>
      <c r="C99">
        <v>2.7</v>
      </c>
      <c r="D99">
        <v>4.2</v>
      </c>
      <c r="E99">
        <v>1.3</v>
      </c>
      <c r="G99" t="s">
        <v>50</v>
      </c>
      <c r="H99" t="s">
        <v>50</v>
      </c>
      <c r="L99">
        <v>98</v>
      </c>
      <c r="M99">
        <v>3.6017461096516525E-2</v>
      </c>
      <c r="N99">
        <v>9.812826328199517E-5</v>
      </c>
      <c r="O99">
        <v>98</v>
      </c>
      <c r="P99">
        <v>3.2268341696711278E-2</v>
      </c>
      <c r="Q99">
        <v>1.03034676446095E-3</v>
      </c>
      <c r="R99">
        <v>98</v>
      </c>
      <c r="S99">
        <v>9.2449288714948012E-3</v>
      </c>
      <c r="T99">
        <v>1.03034676446095E-3</v>
      </c>
      <c r="AE99">
        <v>0.01</v>
      </c>
      <c r="AF99">
        <v>1.7813480288249628</v>
      </c>
      <c r="AG99">
        <v>1.7668669722729575</v>
      </c>
      <c r="AI99">
        <v>98</v>
      </c>
      <c r="AJ99">
        <v>0.12113595870554666</v>
      </c>
      <c r="AK99">
        <v>1</v>
      </c>
      <c r="AT99">
        <v>0.01</v>
      </c>
      <c r="AU99">
        <v>1.7813480288249628</v>
      </c>
    </row>
    <row r="100" spans="1:47" x14ac:dyDescent="0.25">
      <c r="A100" t="s">
        <v>51</v>
      </c>
      <c r="B100">
        <v>7.6</v>
      </c>
      <c r="C100">
        <v>3</v>
      </c>
      <c r="D100">
        <v>6.6</v>
      </c>
      <c r="E100">
        <v>2.1</v>
      </c>
      <c r="G100" t="s">
        <v>51</v>
      </c>
      <c r="H100" t="s">
        <v>51</v>
      </c>
      <c r="L100">
        <v>99</v>
      </c>
      <c r="M100">
        <v>3.5987820636761828E-2</v>
      </c>
      <c r="N100">
        <v>1.0303467644609493E-4</v>
      </c>
      <c r="O100">
        <v>99</v>
      </c>
      <c r="P100">
        <v>3.2194538631982156E-2</v>
      </c>
      <c r="Q100">
        <v>1.0818641026839975E-3</v>
      </c>
      <c r="R100">
        <v>99</v>
      </c>
      <c r="S100">
        <v>9.1950161772426688E-3</v>
      </c>
      <c r="T100">
        <v>1.0818641026839975E-3</v>
      </c>
      <c r="AE100">
        <v>0.05</v>
      </c>
      <c r="AF100">
        <v>1.3759563371840533</v>
      </c>
      <c r="AG100">
        <v>1.5709155778494512</v>
      </c>
      <c r="AI100">
        <v>99</v>
      </c>
      <c r="AJ100">
        <v>0.11608605251216648</v>
      </c>
      <c r="AK100">
        <v>6.25E-2</v>
      </c>
      <c r="AT100">
        <v>0.05</v>
      </c>
      <c r="AU100">
        <v>1.3759563371840533</v>
      </c>
    </row>
    <row r="101" spans="1:47" x14ac:dyDescent="0.25">
      <c r="A101" t="s">
        <v>51</v>
      </c>
      <c r="B101">
        <v>6.4</v>
      </c>
      <c r="C101">
        <v>2.8</v>
      </c>
      <c r="D101">
        <v>5.6</v>
      </c>
      <c r="E101">
        <v>2.2000000000000002</v>
      </c>
      <c r="G101" t="s">
        <v>51</v>
      </c>
      <c r="H101" t="s">
        <v>51</v>
      </c>
      <c r="L101">
        <v>100</v>
      </c>
      <c r="M101">
        <v>3.5964333339410633E-2</v>
      </c>
      <c r="N101">
        <v>1.0818641026839968E-4</v>
      </c>
      <c r="O101">
        <v>100</v>
      </c>
      <c r="P101">
        <v>3.2153268883746131E-2</v>
      </c>
      <c r="Q101">
        <v>1.1359573078181973E-3</v>
      </c>
      <c r="R101">
        <v>100</v>
      </c>
      <c r="S101">
        <v>9.1674204156841771E-3</v>
      </c>
      <c r="T101">
        <v>1.1359573078181973E-3</v>
      </c>
      <c r="AE101">
        <v>0.25000000000000006</v>
      </c>
      <c r="AF101">
        <v>3.9628386015104572E-2</v>
      </c>
      <c r="AG101">
        <v>-0.11448772875428759</v>
      </c>
      <c r="AI101">
        <v>100</v>
      </c>
      <c r="AJ101">
        <v>0.10693292970301271</v>
      </c>
      <c r="AK101">
        <v>1</v>
      </c>
      <c r="AT101">
        <v>0.25000000000000006</v>
      </c>
      <c r="AU101">
        <v>3.9628386015104572E-2</v>
      </c>
    </row>
    <row r="102" spans="1:47" x14ac:dyDescent="0.25">
      <c r="A102" t="s">
        <v>50</v>
      </c>
      <c r="B102">
        <v>5</v>
      </c>
      <c r="C102">
        <v>2</v>
      </c>
      <c r="D102">
        <v>3.5</v>
      </c>
      <c r="E102">
        <v>1</v>
      </c>
      <c r="G102" t="s">
        <v>50</v>
      </c>
      <c r="H102" t="s">
        <v>50</v>
      </c>
      <c r="L102">
        <v>101</v>
      </c>
      <c r="M102">
        <v>3.5932679058151396E-2</v>
      </c>
      <c r="N102">
        <v>1.1359573078181967E-4</v>
      </c>
      <c r="O102">
        <v>101</v>
      </c>
      <c r="P102">
        <v>3.2091402786425582E-2</v>
      </c>
      <c r="Q102">
        <v>1.1927551732091072E-3</v>
      </c>
      <c r="R102">
        <v>101</v>
      </c>
      <c r="S102">
        <v>9.1103499984500399E-3</v>
      </c>
      <c r="T102">
        <v>1.1927551732091072E-3</v>
      </c>
      <c r="AE102">
        <v>0.85000000000000053</v>
      </c>
      <c r="AF102">
        <v>-1.0097959941424843</v>
      </c>
      <c r="AG102">
        <v>-0.87807959084749143</v>
      </c>
      <c r="AI102">
        <v>101</v>
      </c>
      <c r="AJ102">
        <v>9.7758531368826215E-2</v>
      </c>
      <c r="AK102">
        <v>1</v>
      </c>
      <c r="AT102">
        <v>0.85000000000000053</v>
      </c>
      <c r="AU102">
        <v>-1.0097959941424843</v>
      </c>
    </row>
    <row r="103" spans="1:47" x14ac:dyDescent="0.25">
      <c r="A103" t="s">
        <v>49</v>
      </c>
      <c r="B103">
        <v>4.5999999999999996</v>
      </c>
      <c r="C103">
        <v>3.6</v>
      </c>
      <c r="D103">
        <v>1</v>
      </c>
      <c r="E103">
        <v>0.2</v>
      </c>
      <c r="G103" t="s">
        <v>49</v>
      </c>
      <c r="H103" t="s">
        <v>49</v>
      </c>
      <c r="L103">
        <v>102</v>
      </c>
      <c r="M103">
        <v>3.5900044523298043E-2</v>
      </c>
      <c r="N103">
        <v>1.1927551732091066E-4</v>
      </c>
      <c r="O103">
        <v>102</v>
      </c>
      <c r="P103">
        <v>3.2037206452336764E-2</v>
      </c>
      <c r="Q103">
        <v>1.2523929318695626E-3</v>
      </c>
      <c r="R103">
        <v>102</v>
      </c>
      <c r="S103">
        <v>9.084440175109048E-3</v>
      </c>
      <c r="T103">
        <v>1.2523929318695626E-3</v>
      </c>
      <c r="AI103">
        <v>102</v>
      </c>
      <c r="AJ103">
        <v>8.2980000072456719E-2</v>
      </c>
      <c r="AK103">
        <v>1</v>
      </c>
    </row>
    <row r="104" spans="1:47" x14ac:dyDescent="0.25">
      <c r="A104" t="s">
        <v>50</v>
      </c>
      <c r="B104">
        <v>5.5</v>
      </c>
      <c r="C104">
        <v>2.6</v>
      </c>
      <c r="D104">
        <v>4.4000000000000004</v>
      </c>
      <c r="E104">
        <v>1.2</v>
      </c>
      <c r="G104" t="s">
        <v>50</v>
      </c>
      <c r="H104" t="s">
        <v>50</v>
      </c>
      <c r="L104">
        <v>103</v>
      </c>
      <c r="M104">
        <v>3.5878858540233038E-2</v>
      </c>
      <c r="N104">
        <v>1.2523929318695621E-4</v>
      </c>
      <c r="O104">
        <v>103</v>
      </c>
      <c r="P104">
        <v>3.1998798538134886E-2</v>
      </c>
      <c r="Q104">
        <v>1.3150125784630409E-3</v>
      </c>
      <c r="R104">
        <v>103</v>
      </c>
      <c r="S104">
        <v>9.0172171088269588E-3</v>
      </c>
      <c r="T104">
        <v>1.3150125784630409E-3</v>
      </c>
      <c r="AI104">
        <v>103</v>
      </c>
      <c r="AJ104">
        <v>7.3455895727568887E-2</v>
      </c>
      <c r="AK104">
        <v>1</v>
      </c>
    </row>
    <row r="105" spans="1:47" x14ac:dyDescent="0.25">
      <c r="A105" t="s">
        <v>51</v>
      </c>
      <c r="B105">
        <v>6.3</v>
      </c>
      <c r="C105">
        <v>3.3</v>
      </c>
      <c r="D105">
        <v>6</v>
      </c>
      <c r="E105">
        <v>2.5</v>
      </c>
      <c r="G105" t="s">
        <v>51</v>
      </c>
      <c r="H105" t="s">
        <v>51</v>
      </c>
      <c r="L105">
        <v>104</v>
      </c>
      <c r="M105">
        <v>3.5834782780174081E-2</v>
      </c>
      <c r="N105">
        <v>1.3150125784630403E-4</v>
      </c>
      <c r="O105">
        <v>104</v>
      </c>
      <c r="P105">
        <v>3.192119345099266E-2</v>
      </c>
      <c r="Q105">
        <v>1.380763207386193E-3</v>
      </c>
      <c r="R105">
        <v>104</v>
      </c>
      <c r="S105">
        <v>8.9622849660944554E-3</v>
      </c>
      <c r="T105">
        <v>1.380763207386193E-3</v>
      </c>
      <c r="AI105">
        <v>104</v>
      </c>
      <c r="AJ105">
        <v>7.214791558190442E-2</v>
      </c>
      <c r="AK105">
        <v>1</v>
      </c>
    </row>
    <row r="106" spans="1:47" x14ac:dyDescent="0.25">
      <c r="A106" t="s">
        <v>50</v>
      </c>
      <c r="B106">
        <v>6.3</v>
      </c>
      <c r="C106">
        <v>2.2999999999999998</v>
      </c>
      <c r="D106">
        <v>4.4000000000000004</v>
      </c>
      <c r="E106">
        <v>1.3</v>
      </c>
      <c r="G106" t="s">
        <v>50</v>
      </c>
      <c r="H106" t="s">
        <v>50</v>
      </c>
      <c r="L106">
        <v>105</v>
      </c>
      <c r="M106">
        <v>3.5798669210070348E-2</v>
      </c>
      <c r="N106">
        <v>1.3807632073861923E-4</v>
      </c>
      <c r="O106">
        <v>105</v>
      </c>
      <c r="P106">
        <v>3.1861070722583144E-2</v>
      </c>
      <c r="Q106">
        <v>1.4498013677555026E-3</v>
      </c>
      <c r="R106">
        <v>105</v>
      </c>
      <c r="S106">
        <v>8.9103680755253083E-3</v>
      </c>
      <c r="T106">
        <v>1.4498013677555026E-3</v>
      </c>
      <c r="AI106">
        <v>105</v>
      </c>
      <c r="AJ106">
        <v>6.9019684241379803E-2</v>
      </c>
      <c r="AK106">
        <v>0.5</v>
      </c>
    </row>
    <row r="107" spans="1:47" x14ac:dyDescent="0.25">
      <c r="A107" t="s">
        <v>50</v>
      </c>
      <c r="B107">
        <v>5.7</v>
      </c>
      <c r="C107">
        <v>2.8</v>
      </c>
      <c r="D107">
        <v>4.5</v>
      </c>
      <c r="E107">
        <v>1.3</v>
      </c>
      <c r="G107" t="s">
        <v>50</v>
      </c>
      <c r="H107" t="s">
        <v>50</v>
      </c>
      <c r="L107">
        <v>106</v>
      </c>
      <c r="M107">
        <v>3.5767748179361923E-2</v>
      </c>
      <c r="N107">
        <v>1.4498013677555021E-4</v>
      </c>
      <c r="O107">
        <v>106</v>
      </c>
      <c r="P107">
        <v>3.1839313480125385E-2</v>
      </c>
      <c r="Q107">
        <v>1.5222914361432778E-3</v>
      </c>
      <c r="R107">
        <v>106</v>
      </c>
      <c r="S107">
        <v>8.8626163102378912E-3</v>
      </c>
      <c r="T107">
        <v>1.5222914361432778E-3</v>
      </c>
      <c r="AI107">
        <v>106</v>
      </c>
      <c r="AJ107">
        <v>6.7535074230195169E-2</v>
      </c>
      <c r="AK107">
        <v>1</v>
      </c>
    </row>
    <row r="108" spans="1:47" x14ac:dyDescent="0.25">
      <c r="A108" t="s">
        <v>51</v>
      </c>
      <c r="B108">
        <v>5.6</v>
      </c>
      <c r="C108">
        <v>2.8</v>
      </c>
      <c r="D108">
        <v>4.9000000000000004</v>
      </c>
      <c r="E108">
        <v>2</v>
      </c>
      <c r="G108" t="s">
        <v>51</v>
      </c>
      <c r="H108" t="s">
        <v>51</v>
      </c>
      <c r="L108">
        <v>107</v>
      </c>
      <c r="M108">
        <v>3.572747303573489E-2</v>
      </c>
      <c r="N108">
        <v>1.5222914361432771E-4</v>
      </c>
      <c r="O108">
        <v>107</v>
      </c>
      <c r="P108">
        <v>3.1730852431995436E-2</v>
      </c>
      <c r="Q108">
        <v>1.5984060079504417E-3</v>
      </c>
      <c r="R108">
        <v>107</v>
      </c>
      <c r="S108">
        <v>8.7964142799798594E-3</v>
      </c>
      <c r="T108">
        <v>1.5984060079504417E-3</v>
      </c>
      <c r="AI108">
        <v>107</v>
      </c>
      <c r="AJ108">
        <v>6.7125973232409125E-2</v>
      </c>
      <c r="AK108">
        <v>1</v>
      </c>
    </row>
    <row r="109" spans="1:47" x14ac:dyDescent="0.25">
      <c r="A109" t="s">
        <v>51</v>
      </c>
      <c r="B109">
        <v>7.4</v>
      </c>
      <c r="C109">
        <v>2.8</v>
      </c>
      <c r="D109">
        <v>6.1</v>
      </c>
      <c r="E109">
        <v>1.9</v>
      </c>
      <c r="G109" t="s">
        <v>51</v>
      </c>
      <c r="H109" t="s">
        <v>51</v>
      </c>
      <c r="L109">
        <v>108</v>
      </c>
      <c r="M109">
        <v>3.5690290939427598E-2</v>
      </c>
      <c r="N109">
        <v>1.598406007950441E-4</v>
      </c>
      <c r="O109">
        <v>108</v>
      </c>
      <c r="P109">
        <v>3.1644017016623317E-2</v>
      </c>
      <c r="Q109">
        <v>1.6783263083479639E-3</v>
      </c>
      <c r="R109">
        <v>108</v>
      </c>
      <c r="S109">
        <v>8.7355533609963353E-3</v>
      </c>
      <c r="T109">
        <v>1.6783263083479639E-3</v>
      </c>
      <c r="AI109">
        <v>108</v>
      </c>
      <c r="AJ109">
        <v>6.6921168317684715E-2</v>
      </c>
      <c r="AK109">
        <v>1</v>
      </c>
    </row>
    <row r="110" spans="1:47" x14ac:dyDescent="0.25">
      <c r="A110" t="s">
        <v>50</v>
      </c>
      <c r="B110">
        <v>6</v>
      </c>
      <c r="C110">
        <v>2.9</v>
      </c>
      <c r="D110">
        <v>4.5</v>
      </c>
      <c r="E110">
        <v>1.5</v>
      </c>
      <c r="G110" t="s">
        <v>50</v>
      </c>
      <c r="H110" t="s">
        <v>50</v>
      </c>
      <c r="L110">
        <v>109</v>
      </c>
      <c r="M110">
        <v>3.5672476942088228E-2</v>
      </c>
      <c r="N110">
        <v>1.6783263083479632E-4</v>
      </c>
      <c r="O110">
        <v>109</v>
      </c>
      <c r="P110">
        <v>3.1639028722460293E-2</v>
      </c>
      <c r="Q110">
        <v>1.7622426237653621E-3</v>
      </c>
      <c r="R110">
        <v>109</v>
      </c>
      <c r="S110">
        <v>8.6772178423143356E-3</v>
      </c>
      <c r="T110">
        <v>1.7622426237653621E-3</v>
      </c>
      <c r="AI110">
        <v>109</v>
      </c>
      <c r="AJ110">
        <v>6.6591079081931334E-2</v>
      </c>
      <c r="AK110">
        <v>1</v>
      </c>
    </row>
    <row r="111" spans="1:47" x14ac:dyDescent="0.25">
      <c r="A111" t="s">
        <v>51</v>
      </c>
      <c r="B111">
        <v>7.2</v>
      </c>
      <c r="C111">
        <v>3.6</v>
      </c>
      <c r="D111">
        <v>6.1</v>
      </c>
      <c r="E111">
        <v>2.5</v>
      </c>
      <c r="G111" t="s">
        <v>51</v>
      </c>
      <c r="H111" t="s">
        <v>51</v>
      </c>
      <c r="L111">
        <v>110</v>
      </c>
      <c r="M111">
        <v>3.5612452233698917E-2</v>
      </c>
      <c r="N111">
        <v>1.7622426237653613E-4</v>
      </c>
      <c r="O111">
        <v>110</v>
      </c>
      <c r="P111">
        <v>3.1482512991744191E-2</v>
      </c>
      <c r="Q111">
        <v>1.8503547549536302E-3</v>
      </c>
      <c r="R111">
        <v>110</v>
      </c>
      <c r="S111">
        <v>8.6132486402762005E-3</v>
      </c>
      <c r="T111">
        <v>1.8503547549536302E-3</v>
      </c>
      <c r="AI111">
        <v>110</v>
      </c>
      <c r="AJ111">
        <v>6.5035273161397483E-2</v>
      </c>
      <c r="AK111">
        <v>1</v>
      </c>
    </row>
    <row r="112" spans="1:47" x14ac:dyDescent="0.25">
      <c r="A112" t="s">
        <v>49</v>
      </c>
      <c r="B112">
        <v>5.0999999999999996</v>
      </c>
      <c r="C112">
        <v>3.7</v>
      </c>
      <c r="D112">
        <v>1.5</v>
      </c>
      <c r="E112">
        <v>0.4</v>
      </c>
      <c r="G112" t="s">
        <v>49</v>
      </c>
      <c r="H112" t="s">
        <v>49</v>
      </c>
      <c r="L112">
        <v>111</v>
      </c>
      <c r="M112">
        <v>3.5586007106193217E-2</v>
      </c>
      <c r="N112">
        <v>1.8503547549536295E-4</v>
      </c>
      <c r="O112">
        <v>111</v>
      </c>
      <c r="P112">
        <v>3.142310886400837E-2</v>
      </c>
      <c r="Q112">
        <v>1.9428724927013118E-3</v>
      </c>
      <c r="R112">
        <v>111</v>
      </c>
      <c r="S112">
        <v>8.55521610782254E-3</v>
      </c>
      <c r="T112">
        <v>1.9428724927013118E-3</v>
      </c>
      <c r="AI112">
        <v>111</v>
      </c>
      <c r="AJ112">
        <v>6.3709703067302476E-2</v>
      </c>
      <c r="AK112">
        <v>1</v>
      </c>
    </row>
    <row r="113" spans="1:37" x14ac:dyDescent="0.25">
      <c r="A113" t="s">
        <v>51</v>
      </c>
      <c r="B113">
        <v>6.3</v>
      </c>
      <c r="C113">
        <v>2.8</v>
      </c>
      <c r="D113">
        <v>5.0999999999999996</v>
      </c>
      <c r="E113">
        <v>1.5</v>
      </c>
      <c r="G113" t="s">
        <v>50</v>
      </c>
      <c r="H113" t="s">
        <v>51</v>
      </c>
      <c r="L113">
        <v>112</v>
      </c>
      <c r="M113">
        <v>3.5529523011078375E-2</v>
      </c>
      <c r="N113">
        <v>1.9428724927013111E-4</v>
      </c>
      <c r="O113">
        <v>112</v>
      </c>
      <c r="P113">
        <v>3.1312919873095008E-2</v>
      </c>
      <c r="Q113">
        <v>2.0400161173363776E-3</v>
      </c>
      <c r="R113">
        <v>112</v>
      </c>
      <c r="S113">
        <v>8.4771326610416572E-3</v>
      </c>
      <c r="T113">
        <v>2.0400161173363776E-3</v>
      </c>
      <c r="AI113">
        <v>112</v>
      </c>
      <c r="AJ113">
        <v>6.2213432466605718E-2</v>
      </c>
      <c r="AK113">
        <v>1</v>
      </c>
    </row>
    <row r="114" spans="1:37" x14ac:dyDescent="0.25">
      <c r="A114" t="s">
        <v>50</v>
      </c>
      <c r="B114">
        <v>5.7</v>
      </c>
      <c r="C114">
        <v>2.6</v>
      </c>
      <c r="D114">
        <v>3.5</v>
      </c>
      <c r="E114">
        <v>1</v>
      </c>
      <c r="G114" t="s">
        <v>50</v>
      </c>
      <c r="H114" t="s">
        <v>50</v>
      </c>
      <c r="L114">
        <v>113</v>
      </c>
      <c r="M114">
        <v>3.5482697334067004E-2</v>
      </c>
      <c r="N114">
        <v>2.0400161173363766E-4</v>
      </c>
      <c r="O114">
        <v>113</v>
      </c>
      <c r="P114">
        <v>3.1291525098712331E-2</v>
      </c>
      <c r="Q114">
        <v>2.1420169232031967E-3</v>
      </c>
      <c r="R114">
        <v>113</v>
      </c>
      <c r="S114">
        <v>8.4001279572076815E-3</v>
      </c>
      <c r="T114">
        <v>2.1420169232031967E-3</v>
      </c>
      <c r="AI114">
        <v>113</v>
      </c>
      <c r="AJ114">
        <v>6.1607637955986914E-2</v>
      </c>
      <c r="AK114">
        <v>1</v>
      </c>
    </row>
    <row r="115" spans="1:37" x14ac:dyDescent="0.25">
      <c r="A115" t="s">
        <v>49</v>
      </c>
      <c r="B115">
        <v>5.0999999999999996</v>
      </c>
      <c r="C115">
        <v>3.8</v>
      </c>
      <c r="D115">
        <v>1.9</v>
      </c>
      <c r="E115">
        <v>0.4</v>
      </c>
      <c r="G115" t="s">
        <v>49</v>
      </c>
      <c r="H115" t="s">
        <v>49</v>
      </c>
      <c r="L115">
        <v>114</v>
      </c>
      <c r="M115">
        <v>3.5477489518556615E-2</v>
      </c>
      <c r="N115">
        <v>2.1420169232031955E-4</v>
      </c>
      <c r="O115">
        <v>114</v>
      </c>
      <c r="P115">
        <v>3.1393001388144694E-2</v>
      </c>
      <c r="Q115">
        <v>2.2491177693633566E-3</v>
      </c>
      <c r="R115">
        <v>114</v>
      </c>
      <c r="S115">
        <v>8.3177868565176057E-3</v>
      </c>
      <c r="T115">
        <v>2.2491177693633566E-3</v>
      </c>
      <c r="AI115">
        <v>114</v>
      </c>
      <c r="AJ115">
        <v>6.0906292597967732E-2</v>
      </c>
      <c r="AK115">
        <v>1</v>
      </c>
    </row>
    <row r="116" spans="1:37" x14ac:dyDescent="0.25">
      <c r="A116" t="s">
        <v>51</v>
      </c>
      <c r="B116">
        <v>6.7</v>
      </c>
      <c r="C116">
        <v>3.1</v>
      </c>
      <c r="D116">
        <v>5.6</v>
      </c>
      <c r="E116">
        <v>2.4</v>
      </c>
      <c r="G116" t="s">
        <v>51</v>
      </c>
      <c r="H116" t="s">
        <v>51</v>
      </c>
      <c r="L116">
        <v>115</v>
      </c>
      <c r="M116">
        <v>3.5389922775310986E-2</v>
      </c>
      <c r="N116">
        <v>2.2491177693633555E-4</v>
      </c>
      <c r="O116">
        <v>115</v>
      </c>
      <c r="P116">
        <v>3.1219316292701183E-2</v>
      </c>
      <c r="Q116">
        <v>2.2491177693633566E-4</v>
      </c>
      <c r="R116">
        <v>115</v>
      </c>
      <c r="S116">
        <v>8.2453852448769478E-3</v>
      </c>
      <c r="T116">
        <v>2.3615736578315246E-3</v>
      </c>
      <c r="AI116">
        <v>115</v>
      </c>
      <c r="AJ116">
        <v>6.0445994516638228E-2</v>
      </c>
      <c r="AK116">
        <v>1</v>
      </c>
    </row>
    <row r="117" spans="1:37" x14ac:dyDescent="0.25">
      <c r="A117" t="s">
        <v>50</v>
      </c>
      <c r="B117">
        <v>5.0999999999999996</v>
      </c>
      <c r="C117">
        <v>2.5</v>
      </c>
      <c r="D117">
        <v>3</v>
      </c>
      <c r="E117">
        <v>1.1000000000000001</v>
      </c>
      <c r="G117" t="s">
        <v>50</v>
      </c>
      <c r="H117" t="s">
        <v>50</v>
      </c>
      <c r="L117">
        <v>116</v>
      </c>
      <c r="M117">
        <v>3.5383192704023542E-2</v>
      </c>
      <c r="N117">
        <v>2.3615736578315235E-4</v>
      </c>
      <c r="O117">
        <v>116</v>
      </c>
      <c r="P117">
        <v>3.1185693376813223E-2</v>
      </c>
      <c r="Q117">
        <v>2.3615736578315246E-4</v>
      </c>
      <c r="R117">
        <v>116</v>
      </c>
      <c r="S117">
        <v>8.1806665098908306E-3</v>
      </c>
      <c r="T117">
        <v>2.4796523407231009E-3</v>
      </c>
      <c r="AI117">
        <v>116</v>
      </c>
      <c r="AJ117">
        <v>5.9598092405598997E-2</v>
      </c>
      <c r="AK117">
        <v>1</v>
      </c>
    </row>
    <row r="118" spans="1:37" x14ac:dyDescent="0.25">
      <c r="A118" t="s">
        <v>49</v>
      </c>
      <c r="B118">
        <v>5</v>
      </c>
      <c r="C118">
        <v>3.3</v>
      </c>
      <c r="D118">
        <v>1.4</v>
      </c>
      <c r="E118">
        <v>0.2</v>
      </c>
      <c r="G118" t="s">
        <v>49</v>
      </c>
      <c r="H118" t="s">
        <v>49</v>
      </c>
      <c r="L118">
        <v>117</v>
      </c>
      <c r="M118">
        <v>3.5298290247365173E-2</v>
      </c>
      <c r="N118">
        <v>2.4796523407230998E-4</v>
      </c>
      <c r="O118">
        <v>117</v>
      </c>
      <c r="P118">
        <v>3.1164482428564125E-2</v>
      </c>
      <c r="Q118">
        <v>2.4796523407231009E-4</v>
      </c>
      <c r="R118">
        <v>117</v>
      </c>
      <c r="S118">
        <v>8.1227297066527992E-3</v>
      </c>
      <c r="T118">
        <v>2.6036349577592561E-3</v>
      </c>
      <c r="AI118">
        <v>117</v>
      </c>
      <c r="AJ118">
        <v>5.9009696449528609E-2</v>
      </c>
      <c r="AK118">
        <v>1</v>
      </c>
    </row>
    <row r="119" spans="1:37" x14ac:dyDescent="0.25">
      <c r="A119" t="s">
        <v>50</v>
      </c>
      <c r="B119">
        <v>6</v>
      </c>
      <c r="C119">
        <v>2.7</v>
      </c>
      <c r="D119">
        <v>5.0999999999999996</v>
      </c>
      <c r="E119">
        <v>1.6</v>
      </c>
      <c r="G119" t="s">
        <v>51</v>
      </c>
      <c r="H119" t="s">
        <v>51</v>
      </c>
      <c r="L119">
        <v>118</v>
      </c>
      <c r="M119">
        <v>3.5314425942354503E-2</v>
      </c>
      <c r="N119">
        <v>2.6036349577592552E-4</v>
      </c>
      <c r="O119">
        <v>118</v>
      </c>
      <c r="P119">
        <v>3.1151525529494715E-2</v>
      </c>
      <c r="Q119">
        <v>2.6036349577592563E-4</v>
      </c>
      <c r="R119">
        <v>118</v>
      </c>
      <c r="S119">
        <v>8.0262495005451132E-3</v>
      </c>
      <c r="T119">
        <v>2.7338167056472191E-3</v>
      </c>
      <c r="AI119">
        <v>118</v>
      </c>
      <c r="AJ119">
        <v>5.7389540643348072E-2</v>
      </c>
      <c r="AK119">
        <v>1</v>
      </c>
    </row>
    <row r="120" spans="1:37" x14ac:dyDescent="0.25">
      <c r="A120" t="s">
        <v>51</v>
      </c>
      <c r="B120">
        <v>6.2</v>
      </c>
      <c r="C120">
        <v>2.8</v>
      </c>
      <c r="D120">
        <v>4.8</v>
      </c>
      <c r="E120">
        <v>1.8</v>
      </c>
      <c r="G120" t="s">
        <v>51</v>
      </c>
      <c r="H120" t="s">
        <v>51</v>
      </c>
      <c r="L120">
        <v>119</v>
      </c>
      <c r="M120">
        <v>3.5288539581711076E-2</v>
      </c>
      <c r="N120">
        <v>2.6036349577592554E-5</v>
      </c>
      <c r="O120">
        <v>119</v>
      </c>
      <c r="P120">
        <v>3.1139068415865893E-2</v>
      </c>
      <c r="Q120">
        <v>2.7338167056472192E-4</v>
      </c>
      <c r="R120">
        <v>119</v>
      </c>
      <c r="S120">
        <v>7.9500476820611662E-3</v>
      </c>
      <c r="T120">
        <v>2.8705075409295802E-3</v>
      </c>
      <c r="AI120">
        <v>119</v>
      </c>
      <c r="AJ120">
        <v>5.5653524343172216E-2</v>
      </c>
      <c r="AK120">
        <v>1</v>
      </c>
    </row>
    <row r="121" spans="1:37" x14ac:dyDescent="0.25">
      <c r="A121" t="s">
        <v>49</v>
      </c>
      <c r="B121">
        <v>4.4000000000000004</v>
      </c>
      <c r="C121">
        <v>3</v>
      </c>
      <c r="D121">
        <v>1.3</v>
      </c>
      <c r="E121">
        <v>0.2</v>
      </c>
      <c r="G121" t="s">
        <v>49</v>
      </c>
      <c r="H121" t="s">
        <v>49</v>
      </c>
      <c r="L121">
        <v>120</v>
      </c>
      <c r="M121">
        <v>3.5279919908638414E-2</v>
      </c>
      <c r="N121">
        <v>2.7338167056472183E-5</v>
      </c>
      <c r="O121">
        <v>120</v>
      </c>
      <c r="P121">
        <v>3.1127467413875592E-2</v>
      </c>
      <c r="Q121">
        <v>2.8705075409295801E-4</v>
      </c>
      <c r="R121">
        <v>120</v>
      </c>
      <c r="S121">
        <v>7.9033605924227601E-3</v>
      </c>
      <c r="T121">
        <v>3.0140329179760591E-3</v>
      </c>
      <c r="AI121">
        <v>120</v>
      </c>
      <c r="AJ121">
        <v>5.2977619180078116E-2</v>
      </c>
      <c r="AK121">
        <v>1</v>
      </c>
    </row>
    <row r="122" spans="1:37" x14ac:dyDescent="0.25">
      <c r="A122" t="s">
        <v>51</v>
      </c>
      <c r="B122">
        <v>7.3</v>
      </c>
      <c r="C122">
        <v>2.9</v>
      </c>
      <c r="D122">
        <v>6.3</v>
      </c>
      <c r="E122">
        <v>1.8</v>
      </c>
      <c r="G122" t="s">
        <v>51</v>
      </c>
      <c r="H122" t="s">
        <v>51</v>
      </c>
      <c r="L122">
        <v>121</v>
      </c>
      <c r="M122">
        <v>3.5273096998850055E-2</v>
      </c>
      <c r="N122">
        <v>2.8705075409295792E-5</v>
      </c>
      <c r="O122">
        <v>121</v>
      </c>
      <c r="P122">
        <v>3.111364779136639E-2</v>
      </c>
      <c r="Q122">
        <v>3.0140329179760594E-4</v>
      </c>
      <c r="R122">
        <v>121</v>
      </c>
      <c r="S122">
        <v>7.768702551239598E-3</v>
      </c>
      <c r="T122">
        <v>3.1647345638748624E-3</v>
      </c>
      <c r="AI122">
        <v>121</v>
      </c>
      <c r="AJ122">
        <v>5.019897315900991E-2</v>
      </c>
      <c r="AK122">
        <v>0.5</v>
      </c>
    </row>
    <row r="123" spans="1:37" x14ac:dyDescent="0.25">
      <c r="A123" t="s">
        <v>51</v>
      </c>
      <c r="B123">
        <v>6.9</v>
      </c>
      <c r="C123">
        <v>3.1</v>
      </c>
      <c r="D123">
        <v>5.0999999999999996</v>
      </c>
      <c r="E123">
        <v>2.2999999999999998</v>
      </c>
      <c r="G123" t="s">
        <v>51</v>
      </c>
      <c r="H123" t="s">
        <v>51</v>
      </c>
      <c r="L123">
        <v>122</v>
      </c>
      <c r="M123">
        <v>3.5266654004877246E-2</v>
      </c>
      <c r="N123">
        <v>3.0140329179760584E-5</v>
      </c>
      <c r="O123">
        <v>122</v>
      </c>
      <c r="P123">
        <v>3.1099186995712774E-2</v>
      </c>
      <c r="Q123">
        <v>3.1647345638748624E-4</v>
      </c>
      <c r="R123">
        <v>122</v>
      </c>
      <c r="S123">
        <v>7.6656390420754292E-3</v>
      </c>
      <c r="T123">
        <v>3.3229712920686055E-3</v>
      </c>
      <c r="AI123">
        <v>122</v>
      </c>
      <c r="AJ123">
        <v>4.5968745905381372E-2</v>
      </c>
      <c r="AK123">
        <v>1</v>
      </c>
    </row>
    <row r="124" spans="1:37" x14ac:dyDescent="0.25">
      <c r="A124" t="s">
        <v>51</v>
      </c>
      <c r="B124">
        <v>6.9</v>
      </c>
      <c r="C124">
        <v>3.2</v>
      </c>
      <c r="D124">
        <v>5.7</v>
      </c>
      <c r="E124">
        <v>2.2999999999999998</v>
      </c>
      <c r="G124" t="s">
        <v>51</v>
      </c>
      <c r="H124" t="s">
        <v>51</v>
      </c>
      <c r="L124">
        <v>123</v>
      </c>
      <c r="M124">
        <v>3.5260398097349807E-2</v>
      </c>
      <c r="N124">
        <v>3.1647345638748617E-5</v>
      </c>
      <c r="O124">
        <v>123</v>
      </c>
      <c r="P124">
        <v>3.1084264557151849E-2</v>
      </c>
      <c r="Q124">
        <v>3.3229712920686055E-4</v>
      </c>
      <c r="R124">
        <v>123</v>
      </c>
      <c r="S124">
        <v>7.5352301693467601E-3</v>
      </c>
      <c r="T124">
        <v>3.489119856672036E-3</v>
      </c>
      <c r="AI124">
        <v>123</v>
      </c>
      <c r="AJ124">
        <v>4.5101592107930084E-2</v>
      </c>
      <c r="AK124">
        <v>0.5</v>
      </c>
    </row>
    <row r="125" spans="1:37" x14ac:dyDescent="0.25">
      <c r="A125" t="s">
        <v>51</v>
      </c>
      <c r="B125">
        <v>6.7</v>
      </c>
      <c r="C125">
        <v>2.5</v>
      </c>
      <c r="D125">
        <v>5.8</v>
      </c>
      <c r="E125">
        <v>1.8</v>
      </c>
      <c r="G125" t="s">
        <v>51</v>
      </c>
      <c r="H125" t="s">
        <v>51</v>
      </c>
      <c r="L125">
        <v>124</v>
      </c>
      <c r="M125">
        <v>3.5253594208884881E-2</v>
      </c>
      <c r="N125">
        <v>3.3229712920686051E-5</v>
      </c>
      <c r="O125">
        <v>124</v>
      </c>
      <c r="P125">
        <v>3.1068168024787741E-2</v>
      </c>
      <c r="Q125">
        <v>3.489119856672036E-4</v>
      </c>
      <c r="R125">
        <v>124</v>
      </c>
      <c r="S125">
        <v>7.4499949927879019E-3</v>
      </c>
      <c r="T125">
        <v>3.6635758495056378E-3</v>
      </c>
      <c r="AI125">
        <v>124</v>
      </c>
      <c r="AJ125">
        <v>4.4144901347734036E-2</v>
      </c>
      <c r="AK125">
        <v>0.25</v>
      </c>
    </row>
    <row r="126" spans="1:37" x14ac:dyDescent="0.25">
      <c r="A126" t="s">
        <v>50</v>
      </c>
      <c r="B126">
        <v>5.5</v>
      </c>
      <c r="C126">
        <v>2.5</v>
      </c>
      <c r="D126">
        <v>4</v>
      </c>
      <c r="E126">
        <v>1.3</v>
      </c>
      <c r="G126" t="s">
        <v>50</v>
      </c>
      <c r="H126" t="s">
        <v>50</v>
      </c>
      <c r="L126">
        <v>125</v>
      </c>
      <c r="M126">
        <v>3.524661880322448E-2</v>
      </c>
      <c r="N126">
        <v>3.4891198566720353E-5</v>
      </c>
      <c r="O126">
        <v>125</v>
      </c>
      <c r="P126">
        <v>3.1050832249066344E-2</v>
      </c>
      <c r="Q126">
        <v>3.6635758495056378E-4</v>
      </c>
      <c r="R126">
        <v>125</v>
      </c>
      <c r="S126">
        <v>7.4061917494615045E-3</v>
      </c>
      <c r="T126">
        <v>3.8467546419809198E-3</v>
      </c>
      <c r="AI126">
        <v>125</v>
      </c>
      <c r="AJ126">
        <v>4.2111233835080059E-2</v>
      </c>
      <c r="AK126">
        <v>0.5</v>
      </c>
    </row>
    <row r="127" spans="1:37" x14ac:dyDescent="0.25">
      <c r="A127" t="s">
        <v>50</v>
      </c>
      <c r="B127">
        <v>5.5</v>
      </c>
      <c r="C127">
        <v>2.4</v>
      </c>
      <c r="D127">
        <v>3.7</v>
      </c>
      <c r="E127">
        <v>1</v>
      </c>
      <c r="G127" t="s">
        <v>50</v>
      </c>
      <c r="H127" t="s">
        <v>50</v>
      </c>
      <c r="L127">
        <v>126</v>
      </c>
      <c r="M127">
        <v>3.5239551049841174E-2</v>
      </c>
      <c r="N127">
        <v>3.6635758495056372E-5</v>
      </c>
      <c r="O127">
        <v>126</v>
      </c>
      <c r="P127">
        <v>3.1033753142601199E-2</v>
      </c>
      <c r="Q127">
        <v>3.8467546419809198E-4</v>
      </c>
      <c r="R127">
        <v>126</v>
      </c>
      <c r="S127">
        <v>7.356252036515876E-3</v>
      </c>
      <c r="T127">
        <v>4.039092374079966E-3</v>
      </c>
      <c r="AI127">
        <v>126</v>
      </c>
      <c r="AJ127">
        <v>4.1160851580927298E-2</v>
      </c>
      <c r="AK127">
        <v>1</v>
      </c>
    </row>
    <row r="128" spans="1:37" x14ac:dyDescent="0.25">
      <c r="A128" t="s">
        <v>49</v>
      </c>
      <c r="B128">
        <v>4.8</v>
      </c>
      <c r="C128">
        <v>3</v>
      </c>
      <c r="D128">
        <v>1.4</v>
      </c>
      <c r="E128">
        <v>0.3</v>
      </c>
      <c r="G128" t="s">
        <v>49</v>
      </c>
      <c r="H128" t="s">
        <v>49</v>
      </c>
      <c r="L128">
        <v>127</v>
      </c>
      <c r="M128">
        <v>3.5231770050077396E-2</v>
      </c>
      <c r="N128">
        <v>3.846754641980919E-5</v>
      </c>
      <c r="O128">
        <v>127</v>
      </c>
      <c r="P128">
        <v>3.1018086947776104E-2</v>
      </c>
      <c r="Q128">
        <v>4.0390923740799662E-4</v>
      </c>
      <c r="R128">
        <v>127</v>
      </c>
      <c r="S128">
        <v>7.358365342828581E-3</v>
      </c>
      <c r="T128">
        <v>4.2410469927839645E-3</v>
      </c>
      <c r="AI128">
        <v>127</v>
      </c>
      <c r="AJ128">
        <v>3.9900878925659064E-2</v>
      </c>
      <c r="AK128">
        <v>1</v>
      </c>
    </row>
    <row r="129" spans="1:37" x14ac:dyDescent="0.25">
      <c r="A129" t="s">
        <v>50</v>
      </c>
      <c r="B129">
        <v>6.7</v>
      </c>
      <c r="C129">
        <v>3.1</v>
      </c>
      <c r="D129">
        <v>4.4000000000000004</v>
      </c>
      <c r="E129">
        <v>1.4</v>
      </c>
      <c r="G129" t="s">
        <v>50</v>
      </c>
      <c r="H129" t="s">
        <v>50</v>
      </c>
      <c r="L129">
        <v>128</v>
      </c>
      <c r="M129">
        <v>3.522367931325044E-2</v>
      </c>
      <c r="N129">
        <v>4.039092374079965E-5</v>
      </c>
      <c r="O129">
        <v>128</v>
      </c>
      <c r="P129">
        <v>3.0997922655302896E-2</v>
      </c>
      <c r="Q129">
        <v>4.2410469927839649E-4</v>
      </c>
      <c r="R129">
        <v>128</v>
      </c>
      <c r="S129">
        <v>7.2225110632032127E-3</v>
      </c>
      <c r="T129">
        <v>4.2410469927839649E-4</v>
      </c>
      <c r="AI129">
        <v>128</v>
      </c>
      <c r="AJ129">
        <v>3.912440603989293E-2</v>
      </c>
      <c r="AK129">
        <v>1</v>
      </c>
    </row>
    <row r="130" spans="1:37" x14ac:dyDescent="0.25">
      <c r="A130" t="s">
        <v>49</v>
      </c>
      <c r="B130">
        <v>5.0999999999999996</v>
      </c>
      <c r="C130">
        <v>3.4</v>
      </c>
      <c r="D130">
        <v>1.5</v>
      </c>
      <c r="E130">
        <v>0.2</v>
      </c>
      <c r="G130" t="s">
        <v>49</v>
      </c>
      <c r="H130" t="s">
        <v>49</v>
      </c>
      <c r="L130">
        <v>129</v>
      </c>
      <c r="M130">
        <v>3.5215314978942432E-2</v>
      </c>
      <c r="N130">
        <v>4.2410469927839631E-5</v>
      </c>
      <c r="O130">
        <v>129</v>
      </c>
      <c r="P130">
        <v>3.0978833605959624E-2</v>
      </c>
      <c r="Q130">
        <v>4.4530993424231634E-4</v>
      </c>
      <c r="R130">
        <v>129</v>
      </c>
      <c r="S130">
        <v>7.2298754014195402E-3</v>
      </c>
      <c r="T130">
        <v>4.4530993424231634E-4</v>
      </c>
      <c r="AI130">
        <v>129</v>
      </c>
      <c r="AJ130">
        <v>3.8789347483638E-2</v>
      </c>
      <c r="AK130">
        <v>1</v>
      </c>
    </row>
    <row r="131" spans="1:37" x14ac:dyDescent="0.25">
      <c r="A131" t="s">
        <v>50</v>
      </c>
      <c r="B131">
        <v>6.1</v>
      </c>
      <c r="C131">
        <v>2.8</v>
      </c>
      <c r="D131">
        <v>4</v>
      </c>
      <c r="E131">
        <v>1.3</v>
      </c>
      <c r="G131" t="s">
        <v>50</v>
      </c>
      <c r="H131" t="s">
        <v>50</v>
      </c>
      <c r="L131">
        <v>130</v>
      </c>
      <c r="M131">
        <v>3.5206653512939098E-2</v>
      </c>
      <c r="N131">
        <v>4.4530993424231612E-5</v>
      </c>
      <c r="O131">
        <v>130</v>
      </c>
      <c r="P131">
        <v>3.095523589721038E-2</v>
      </c>
      <c r="Q131">
        <v>4.6757543095443216E-4</v>
      </c>
      <c r="R131">
        <v>130</v>
      </c>
      <c r="S131">
        <v>7.2186088950042821E-3</v>
      </c>
      <c r="T131">
        <v>4.4530993424231639E-5</v>
      </c>
      <c r="AI131">
        <v>130</v>
      </c>
      <c r="AJ131">
        <v>3.7722148069409128E-2</v>
      </c>
      <c r="AK131">
        <v>1</v>
      </c>
    </row>
    <row r="132" spans="1:37" x14ac:dyDescent="0.25">
      <c r="A132" t="s">
        <v>51</v>
      </c>
      <c r="B132">
        <v>6.2</v>
      </c>
      <c r="C132">
        <v>3.4</v>
      </c>
      <c r="D132">
        <v>5.4</v>
      </c>
      <c r="E132">
        <v>2.2999999999999998</v>
      </c>
      <c r="G132" t="s">
        <v>51</v>
      </c>
      <c r="H132" t="s">
        <v>51</v>
      </c>
      <c r="L132">
        <v>131</v>
      </c>
      <c r="M132">
        <v>3.5197462205316318E-2</v>
      </c>
      <c r="N132">
        <v>4.6757543095443197E-5</v>
      </c>
      <c r="O132">
        <v>131</v>
      </c>
      <c r="P132">
        <v>3.0933022472139103E-2</v>
      </c>
      <c r="Q132">
        <v>4.9095420250215376E-4</v>
      </c>
      <c r="R132">
        <v>131</v>
      </c>
      <c r="S132">
        <v>7.2153810475128147E-3</v>
      </c>
      <c r="T132">
        <v>4.6757543095443224E-5</v>
      </c>
      <c r="AI132">
        <v>131</v>
      </c>
      <c r="AJ132">
        <v>3.749212622904359E-2</v>
      </c>
      <c r="AK132">
        <v>1</v>
      </c>
    </row>
    <row r="133" spans="1:37" x14ac:dyDescent="0.25">
      <c r="A133" t="s">
        <v>51</v>
      </c>
      <c r="B133">
        <v>6.8</v>
      </c>
      <c r="C133">
        <v>3</v>
      </c>
      <c r="D133">
        <v>5.5</v>
      </c>
      <c r="E133">
        <v>2.1</v>
      </c>
      <c r="G133" t="s">
        <v>51</v>
      </c>
      <c r="H133" t="s">
        <v>51</v>
      </c>
      <c r="L133">
        <v>132</v>
      </c>
      <c r="M133">
        <v>3.5187741709382971E-2</v>
      </c>
      <c r="N133">
        <v>4.9095420250215361E-5</v>
      </c>
      <c r="O133">
        <v>132</v>
      </c>
      <c r="P133">
        <v>3.0909957365636745E-2</v>
      </c>
      <c r="Q133">
        <v>5.1550191262726144E-4</v>
      </c>
      <c r="R133">
        <v>132</v>
      </c>
      <c r="S133">
        <v>7.2129380765610695E-3</v>
      </c>
      <c r="T133">
        <v>4.9095420250215388E-5</v>
      </c>
      <c r="AI133">
        <v>132</v>
      </c>
      <c r="AJ133">
        <v>3.7275521228495916E-2</v>
      </c>
      <c r="AK133">
        <v>1</v>
      </c>
    </row>
    <row r="134" spans="1:37" x14ac:dyDescent="0.25">
      <c r="A134" t="s">
        <v>50</v>
      </c>
      <c r="B134">
        <v>5.6</v>
      </c>
      <c r="C134">
        <v>3</v>
      </c>
      <c r="D134">
        <v>4.5</v>
      </c>
      <c r="E134">
        <v>1.5</v>
      </c>
      <c r="G134" t="s">
        <v>50</v>
      </c>
      <c r="H134" t="s">
        <v>50</v>
      </c>
      <c r="L134">
        <v>133</v>
      </c>
      <c r="M134">
        <v>3.5178736919561027E-2</v>
      </c>
      <c r="N134">
        <v>5.1550191262726129E-5</v>
      </c>
      <c r="O134">
        <v>133</v>
      </c>
      <c r="P134">
        <v>3.0885155343700205E-2</v>
      </c>
      <c r="Q134">
        <v>5.4127700825862453E-4</v>
      </c>
      <c r="R134">
        <v>133</v>
      </c>
      <c r="S134">
        <v>7.2110179004561785E-3</v>
      </c>
      <c r="T134">
        <v>5.1550191262726163E-5</v>
      </c>
      <c r="AI134">
        <v>133</v>
      </c>
      <c r="AJ134">
        <v>3.7132537697946728E-2</v>
      </c>
      <c r="AK134">
        <v>1</v>
      </c>
    </row>
    <row r="135" spans="1:37" x14ac:dyDescent="0.25">
      <c r="A135" t="s">
        <v>50</v>
      </c>
      <c r="B135">
        <v>6.7</v>
      </c>
      <c r="C135">
        <v>3</v>
      </c>
      <c r="D135">
        <v>5</v>
      </c>
      <c r="E135">
        <v>1.7</v>
      </c>
      <c r="G135" t="s">
        <v>51</v>
      </c>
      <c r="H135" t="s">
        <v>51</v>
      </c>
      <c r="L135">
        <v>134</v>
      </c>
      <c r="M135">
        <v>3.5167571949027011E-2</v>
      </c>
      <c r="N135">
        <v>5.4127700825862436E-5</v>
      </c>
      <c r="O135">
        <v>134</v>
      </c>
      <c r="P135">
        <v>3.0864281402305589E-2</v>
      </c>
      <c r="Q135">
        <v>5.6834085867155581E-4</v>
      </c>
      <c r="R135">
        <v>134</v>
      </c>
      <c r="S135">
        <v>7.2091003356170849E-3</v>
      </c>
      <c r="T135">
        <v>5.412770082586247E-5</v>
      </c>
      <c r="AI135">
        <v>134</v>
      </c>
      <c r="AJ135">
        <v>3.6936345920743227E-2</v>
      </c>
      <c r="AK135">
        <v>1</v>
      </c>
    </row>
    <row r="136" spans="1:37" x14ac:dyDescent="0.25">
      <c r="A136" t="s">
        <v>51</v>
      </c>
      <c r="B136">
        <v>6.4</v>
      </c>
      <c r="C136">
        <v>2.8</v>
      </c>
      <c r="D136">
        <v>5.6</v>
      </c>
      <c r="E136">
        <v>2.1</v>
      </c>
      <c r="G136" t="s">
        <v>51</v>
      </c>
      <c r="H136" t="s">
        <v>51</v>
      </c>
      <c r="L136">
        <v>135</v>
      </c>
      <c r="M136">
        <v>3.515623214074471E-2</v>
      </c>
      <c r="N136">
        <v>5.6834085867155561E-5</v>
      </c>
      <c r="O136">
        <v>135</v>
      </c>
      <c r="P136">
        <v>3.0837514866174382E-2</v>
      </c>
      <c r="Q136">
        <v>5.967579016051336E-4</v>
      </c>
      <c r="R136">
        <v>135</v>
      </c>
      <c r="S136">
        <v>7.2070415457749859E-3</v>
      </c>
      <c r="T136">
        <v>5.6834085867155595E-5</v>
      </c>
      <c r="AI136">
        <v>135</v>
      </c>
      <c r="AJ136">
        <v>3.6886127751770935E-2</v>
      </c>
      <c r="AK136">
        <v>1</v>
      </c>
    </row>
    <row r="137" spans="1:37" x14ac:dyDescent="0.25">
      <c r="A137" t="s">
        <v>50</v>
      </c>
      <c r="B137">
        <v>5.9</v>
      </c>
      <c r="C137">
        <v>3</v>
      </c>
      <c r="D137">
        <v>4.2</v>
      </c>
      <c r="E137">
        <v>1.5</v>
      </c>
      <c r="G137" t="s">
        <v>50</v>
      </c>
      <c r="H137" t="s">
        <v>50</v>
      </c>
      <c r="L137">
        <v>136</v>
      </c>
      <c r="M137">
        <v>3.5145734624901052E-2</v>
      </c>
      <c r="N137">
        <v>5.9675790160513341E-5</v>
      </c>
      <c r="O137">
        <v>136</v>
      </c>
      <c r="P137">
        <v>3.0803543569571636E-2</v>
      </c>
      <c r="Q137">
        <v>6.2659579668539027E-4</v>
      </c>
      <c r="R137">
        <v>136</v>
      </c>
      <c r="S137">
        <v>7.2048431918483608E-3</v>
      </c>
      <c r="T137">
        <v>5.9675790160513375E-5</v>
      </c>
      <c r="AI137">
        <v>136</v>
      </c>
      <c r="AJ137">
        <v>3.6856192416944308E-2</v>
      </c>
      <c r="AK137">
        <v>1</v>
      </c>
    </row>
    <row r="138" spans="1:37" x14ac:dyDescent="0.25">
      <c r="A138" t="s">
        <v>51</v>
      </c>
      <c r="B138">
        <v>7.7</v>
      </c>
      <c r="C138">
        <v>2.8</v>
      </c>
      <c r="D138">
        <v>6.7</v>
      </c>
      <c r="E138">
        <v>2</v>
      </c>
      <c r="G138" t="s">
        <v>51</v>
      </c>
      <c r="H138" t="s">
        <v>51</v>
      </c>
      <c r="L138">
        <v>137</v>
      </c>
      <c r="M138">
        <v>3.5133941192245777E-2</v>
      </c>
      <c r="N138">
        <v>6.265957966853901E-5</v>
      </c>
      <c r="O138">
        <v>137</v>
      </c>
      <c r="P138">
        <v>3.0777178323793796E-2</v>
      </c>
      <c r="Q138">
        <v>6.5792558651965984E-4</v>
      </c>
      <c r="R138">
        <v>137</v>
      </c>
      <c r="S138">
        <v>7.2024704449662625E-3</v>
      </c>
      <c r="T138">
        <v>6.2659579668539051E-5</v>
      </c>
      <c r="AI138">
        <v>137</v>
      </c>
      <c r="AJ138">
        <v>3.6836362785193456E-2</v>
      </c>
      <c r="AK138">
        <v>1</v>
      </c>
    </row>
    <row r="139" spans="1:37" x14ac:dyDescent="0.25">
      <c r="A139" t="s">
        <v>49</v>
      </c>
      <c r="B139">
        <v>5.2</v>
      </c>
      <c r="C139">
        <v>3.5</v>
      </c>
      <c r="D139">
        <v>1.5</v>
      </c>
      <c r="E139">
        <v>0.2</v>
      </c>
      <c r="G139" t="s">
        <v>49</v>
      </c>
      <c r="H139" t="s">
        <v>49</v>
      </c>
      <c r="L139">
        <v>138</v>
      </c>
      <c r="M139">
        <v>3.512016237336317E-2</v>
      </c>
      <c r="N139">
        <v>6.5792558651965965E-5</v>
      </c>
      <c r="O139">
        <v>138</v>
      </c>
      <c r="P139">
        <v>3.0744068698608743E-2</v>
      </c>
      <c r="Q139">
        <v>6.908218658456429E-4</v>
      </c>
      <c r="R139">
        <v>138</v>
      </c>
      <c r="S139">
        <v>7.2002987590124136E-3</v>
      </c>
      <c r="T139">
        <v>6.5792558651966006E-5</v>
      </c>
      <c r="AI139">
        <v>138</v>
      </c>
      <c r="AJ139">
        <v>3.6831039416513466E-2</v>
      </c>
      <c r="AK139">
        <v>1</v>
      </c>
    </row>
    <row r="140" spans="1:37" x14ac:dyDescent="0.25">
      <c r="A140" t="s">
        <v>50</v>
      </c>
      <c r="B140">
        <v>6.6</v>
      </c>
      <c r="C140">
        <v>3</v>
      </c>
      <c r="D140">
        <v>4.4000000000000004</v>
      </c>
      <c r="E140">
        <v>1.4</v>
      </c>
      <c r="G140" t="s">
        <v>50</v>
      </c>
      <c r="H140" t="s">
        <v>50</v>
      </c>
      <c r="L140">
        <v>139</v>
      </c>
      <c r="M140">
        <v>3.5107220779911699E-2</v>
      </c>
      <c r="N140">
        <v>6.908218658456426E-5</v>
      </c>
      <c r="O140">
        <v>139</v>
      </c>
      <c r="P140">
        <v>3.0714139966749824E-2</v>
      </c>
      <c r="Q140">
        <v>7.2536295913792502E-4</v>
      </c>
      <c r="R140">
        <v>139</v>
      </c>
      <c r="S140">
        <v>7.1980095431103059E-3</v>
      </c>
      <c r="T140">
        <v>6.9082186584564314E-5</v>
      </c>
      <c r="AI140">
        <v>139</v>
      </c>
      <c r="AJ140">
        <v>3.6824475632589455E-2</v>
      </c>
      <c r="AK140">
        <v>1</v>
      </c>
    </row>
    <row r="141" spans="1:37" x14ac:dyDescent="0.25">
      <c r="A141" t="s">
        <v>50</v>
      </c>
      <c r="B141">
        <v>5.6</v>
      </c>
      <c r="C141">
        <v>3</v>
      </c>
      <c r="D141">
        <v>4.0999999999999996</v>
      </c>
      <c r="E141">
        <v>1.3</v>
      </c>
      <c r="G141" t="s">
        <v>50</v>
      </c>
      <c r="H141" t="s">
        <v>50</v>
      </c>
      <c r="L141">
        <v>140</v>
      </c>
      <c r="M141">
        <v>3.5093262410698919E-2</v>
      </c>
      <c r="N141">
        <v>7.2536295913792478E-5</v>
      </c>
      <c r="O141">
        <v>140</v>
      </c>
      <c r="P141">
        <v>3.0674181641122733E-2</v>
      </c>
      <c r="Q141">
        <v>7.6163110709482132E-4</v>
      </c>
      <c r="R141">
        <v>140</v>
      </c>
      <c r="S141">
        <v>7.1957529593424533E-3</v>
      </c>
      <c r="T141">
        <v>7.2536295913792532E-5</v>
      </c>
      <c r="AI141">
        <v>140</v>
      </c>
      <c r="AJ141">
        <v>3.6818942864582288E-2</v>
      </c>
      <c r="AK141">
        <v>1</v>
      </c>
    </row>
    <row r="142" spans="1:37" x14ac:dyDescent="0.25">
      <c r="A142" t="s">
        <v>51</v>
      </c>
      <c r="B142">
        <v>5.8</v>
      </c>
      <c r="C142">
        <v>2.7</v>
      </c>
      <c r="D142">
        <v>5.0999999999999996</v>
      </c>
      <c r="E142">
        <v>1.9</v>
      </c>
      <c r="G142" t="s">
        <v>51</v>
      </c>
      <c r="H142" t="s">
        <v>51</v>
      </c>
      <c r="L142">
        <v>141</v>
      </c>
      <c r="M142">
        <v>3.5080131469642839E-2</v>
      </c>
      <c r="N142">
        <v>7.6163110709482105E-5</v>
      </c>
      <c r="O142">
        <v>141</v>
      </c>
      <c r="P142">
        <v>3.0636677384468628E-2</v>
      </c>
      <c r="Q142">
        <v>7.9971266244956239E-4</v>
      </c>
      <c r="R142">
        <v>141</v>
      </c>
      <c r="S142">
        <v>7.1933211455633963E-3</v>
      </c>
      <c r="T142">
        <v>7.6163110709482159E-5</v>
      </c>
      <c r="AI142">
        <v>141</v>
      </c>
      <c r="AJ142">
        <v>3.6814425715832447E-2</v>
      </c>
      <c r="AK142">
        <v>1</v>
      </c>
    </row>
    <row r="143" spans="1:37" x14ac:dyDescent="0.25">
      <c r="A143" t="s">
        <v>50</v>
      </c>
      <c r="B143">
        <v>7</v>
      </c>
      <c r="C143">
        <v>3.2</v>
      </c>
      <c r="D143">
        <v>4.7</v>
      </c>
      <c r="E143">
        <v>1.4</v>
      </c>
      <c r="G143" t="s">
        <v>50</v>
      </c>
      <c r="H143" t="s">
        <v>50</v>
      </c>
      <c r="L143">
        <v>142</v>
      </c>
      <c r="M143">
        <v>3.5063844164707134E-2</v>
      </c>
      <c r="N143">
        <v>7.9971266244956214E-5</v>
      </c>
      <c r="O143">
        <v>142</v>
      </c>
      <c r="P143">
        <v>3.0599664376909873E-2</v>
      </c>
      <c r="Q143">
        <v>8.3969829557204053E-4</v>
      </c>
      <c r="R143">
        <v>142</v>
      </c>
      <c r="S143">
        <v>7.1907425145677365E-3</v>
      </c>
      <c r="T143">
        <v>7.9971266244956268E-5</v>
      </c>
      <c r="AI143">
        <v>142</v>
      </c>
      <c r="AJ143">
        <v>3.6806448687706078E-2</v>
      </c>
      <c r="AK143">
        <v>1</v>
      </c>
    </row>
    <row r="144" spans="1:37" x14ac:dyDescent="0.25">
      <c r="A144" t="s">
        <v>51</v>
      </c>
      <c r="B144">
        <v>7.7</v>
      </c>
      <c r="C144">
        <v>3.8</v>
      </c>
      <c r="D144">
        <v>6.7</v>
      </c>
      <c r="E144">
        <v>2.2000000000000002</v>
      </c>
      <c r="G144" t="s">
        <v>51</v>
      </c>
      <c r="H144" t="s">
        <v>51</v>
      </c>
      <c r="L144">
        <v>143</v>
      </c>
      <c r="M144">
        <v>3.5048249767976124E-2</v>
      </c>
      <c r="N144">
        <v>8.3969829557204025E-5</v>
      </c>
      <c r="O144">
        <v>143</v>
      </c>
      <c r="P144">
        <v>3.0557353015528914E-2</v>
      </c>
      <c r="Q144">
        <v>8.8168321035064258E-4</v>
      </c>
      <c r="R144">
        <v>143</v>
      </c>
      <c r="S144">
        <v>7.1882463303549662E-3</v>
      </c>
      <c r="T144">
        <v>8.396982955720408E-5</v>
      </c>
      <c r="AI144">
        <v>143</v>
      </c>
      <c r="AJ144">
        <v>3.6803100403816798E-2</v>
      </c>
      <c r="AK144">
        <v>1</v>
      </c>
    </row>
    <row r="145" spans="1:37" x14ac:dyDescent="0.25">
      <c r="A145" t="s">
        <v>49</v>
      </c>
      <c r="B145">
        <v>5</v>
      </c>
      <c r="C145">
        <v>3</v>
      </c>
      <c r="D145">
        <v>1.6</v>
      </c>
      <c r="E145">
        <v>0.2</v>
      </c>
      <c r="G145" t="s">
        <v>49</v>
      </c>
      <c r="H145" t="s">
        <v>49</v>
      </c>
      <c r="L145">
        <v>144</v>
      </c>
      <c r="M145">
        <v>3.5031890818955864E-2</v>
      </c>
      <c r="N145">
        <v>8.8168321035064228E-5</v>
      </c>
      <c r="O145">
        <v>144</v>
      </c>
      <c r="P145">
        <v>3.0529484092579676E-2</v>
      </c>
      <c r="Q145">
        <v>9.257673708681748E-4</v>
      </c>
      <c r="R145">
        <v>144</v>
      </c>
      <c r="S145">
        <v>7.1855357702984715E-3</v>
      </c>
      <c r="T145">
        <v>8.8168321035064282E-5</v>
      </c>
      <c r="AI145">
        <v>144</v>
      </c>
      <c r="AJ145">
        <v>3.6801717445790229E-2</v>
      </c>
      <c r="AK145">
        <v>1</v>
      </c>
    </row>
    <row r="146" spans="1:37" x14ac:dyDescent="0.25">
      <c r="A146" t="s">
        <v>50</v>
      </c>
      <c r="B146">
        <v>6.8</v>
      </c>
      <c r="C146">
        <v>2.8</v>
      </c>
      <c r="D146">
        <v>4.8</v>
      </c>
      <c r="E146">
        <v>1.4</v>
      </c>
      <c r="G146" t="s">
        <v>50</v>
      </c>
      <c r="H146" t="s">
        <v>50</v>
      </c>
      <c r="L146">
        <v>145</v>
      </c>
      <c r="M146">
        <v>3.5014892664733843E-2</v>
      </c>
      <c r="N146">
        <v>9.2576737086817447E-5</v>
      </c>
      <c r="O146">
        <v>145</v>
      </c>
      <c r="P146">
        <v>3.0476719105906401E-2</v>
      </c>
      <c r="Q146">
        <v>9.720557394115836E-4</v>
      </c>
      <c r="R146">
        <v>145</v>
      </c>
      <c r="S146">
        <v>7.1827912956933049E-3</v>
      </c>
      <c r="T146">
        <v>9.2576737086817501E-5</v>
      </c>
      <c r="AI146">
        <v>145</v>
      </c>
      <c r="AJ146">
        <v>3.6800587859235956E-2</v>
      </c>
      <c r="AK146">
        <v>1</v>
      </c>
    </row>
    <row r="147" spans="1:37" x14ac:dyDescent="0.25">
      <c r="A147" t="s">
        <v>49</v>
      </c>
      <c r="B147">
        <v>5.5</v>
      </c>
      <c r="C147">
        <v>3.5</v>
      </c>
      <c r="D147">
        <v>1.3</v>
      </c>
      <c r="E147">
        <v>0.2</v>
      </c>
      <c r="G147" t="s">
        <v>49</v>
      </c>
      <c r="H147" t="s">
        <v>49</v>
      </c>
      <c r="L147">
        <v>146</v>
      </c>
      <c r="M147">
        <v>3.4998516914264186E-2</v>
      </c>
      <c r="N147">
        <v>9.7205573941158327E-5</v>
      </c>
      <c r="O147">
        <v>146</v>
      </c>
      <c r="P147">
        <v>3.0420956535479337E-2</v>
      </c>
      <c r="Q147">
        <v>1.0206585263821629E-3</v>
      </c>
      <c r="R147">
        <v>146</v>
      </c>
      <c r="S147">
        <v>7.1798035208690044E-3</v>
      </c>
      <c r="T147">
        <v>9.7205573941158382E-5</v>
      </c>
      <c r="AI147">
        <v>146</v>
      </c>
      <c r="AJ147">
        <v>3.6797859913239958E-2</v>
      </c>
      <c r="AK147">
        <v>1</v>
      </c>
    </row>
    <row r="148" spans="1:37" x14ac:dyDescent="0.25">
      <c r="A148" t="s">
        <v>50</v>
      </c>
      <c r="B148">
        <v>5.6</v>
      </c>
      <c r="C148">
        <v>2.5</v>
      </c>
      <c r="D148">
        <v>3.9</v>
      </c>
      <c r="E148">
        <v>1.1000000000000001</v>
      </c>
      <c r="G148" t="s">
        <v>50</v>
      </c>
      <c r="H148" t="s">
        <v>50</v>
      </c>
      <c r="L148">
        <v>147</v>
      </c>
      <c r="M148">
        <v>3.4985113633760521E-2</v>
      </c>
      <c r="N148">
        <v>1.0206585263821625E-4</v>
      </c>
      <c r="O148">
        <v>147</v>
      </c>
      <c r="P148">
        <v>3.03730872366972E-2</v>
      </c>
      <c r="Q148">
        <v>1.0716914527012711E-3</v>
      </c>
      <c r="R148">
        <v>147</v>
      </c>
      <c r="S148">
        <v>7.1767501351451208E-3</v>
      </c>
      <c r="T148">
        <v>1.020658526382163E-4</v>
      </c>
      <c r="AI148">
        <v>147</v>
      </c>
      <c r="AJ148">
        <v>3.6790998867512734E-2</v>
      </c>
      <c r="AK148">
        <v>1</v>
      </c>
    </row>
    <row r="149" spans="1:37" x14ac:dyDescent="0.25">
      <c r="A149" t="s">
        <v>51</v>
      </c>
      <c r="B149">
        <v>6</v>
      </c>
      <c r="C149">
        <v>3</v>
      </c>
      <c r="D149">
        <v>4.8</v>
      </c>
      <c r="E149">
        <v>1.8</v>
      </c>
      <c r="G149" t="s">
        <v>51</v>
      </c>
      <c r="H149" t="s">
        <v>51</v>
      </c>
      <c r="L149">
        <v>148</v>
      </c>
      <c r="M149">
        <v>3.4959150217892324E-2</v>
      </c>
      <c r="N149">
        <v>1.0716914527012707E-4</v>
      </c>
      <c r="O149">
        <v>148</v>
      </c>
      <c r="P149">
        <v>3.0317743032886462E-2</v>
      </c>
      <c r="Q149">
        <v>1.1252760253363347E-3</v>
      </c>
      <c r="R149">
        <v>148</v>
      </c>
      <c r="S149">
        <v>7.1735748722895482E-3</v>
      </c>
      <c r="T149">
        <v>1.0716914527012712E-4</v>
      </c>
      <c r="AI149">
        <v>148</v>
      </c>
      <c r="AJ149">
        <v>3.6773303118551794E-2</v>
      </c>
      <c r="AK149">
        <v>1</v>
      </c>
    </row>
    <row r="150" spans="1:37" x14ac:dyDescent="0.25">
      <c r="A150" t="s">
        <v>51</v>
      </c>
      <c r="B150">
        <v>6.3</v>
      </c>
      <c r="C150">
        <v>2.5</v>
      </c>
      <c r="D150">
        <v>5</v>
      </c>
      <c r="E150">
        <v>1.9</v>
      </c>
      <c r="G150" t="s">
        <v>51</v>
      </c>
      <c r="H150" t="s">
        <v>51</v>
      </c>
      <c r="L150">
        <v>149</v>
      </c>
      <c r="M150">
        <v>3.4939424467747733E-2</v>
      </c>
      <c r="N150">
        <v>1.1252760253363342E-4</v>
      </c>
      <c r="O150">
        <v>149</v>
      </c>
      <c r="P150">
        <v>3.0261454205268854E-2</v>
      </c>
      <c r="Q150">
        <v>1.1815398266031515E-3</v>
      </c>
      <c r="R150">
        <v>149</v>
      </c>
      <c r="S150">
        <v>7.1700386549550131E-3</v>
      </c>
      <c r="T150">
        <v>1.1252760253363348E-4</v>
      </c>
      <c r="AI150">
        <v>149</v>
      </c>
      <c r="AJ150">
        <v>3.6733943783064334E-2</v>
      </c>
      <c r="AK150">
        <v>1</v>
      </c>
    </row>
    <row r="151" spans="1:37" x14ac:dyDescent="0.25">
      <c r="A151" t="s">
        <v>49</v>
      </c>
      <c r="B151">
        <v>4.8</v>
      </c>
      <c r="C151">
        <v>3.1</v>
      </c>
      <c r="D151">
        <v>1.6</v>
      </c>
      <c r="E151">
        <v>0.2</v>
      </c>
      <c r="G151" t="s">
        <v>49</v>
      </c>
      <c r="H151" t="s">
        <v>49</v>
      </c>
      <c r="L151">
        <v>150</v>
      </c>
      <c r="M151">
        <v>3.4918428039034013E-2</v>
      </c>
      <c r="N151">
        <v>1.181539826603151E-4</v>
      </c>
      <c r="O151">
        <v>150</v>
      </c>
      <c r="P151">
        <v>3.0208998733828773E-2</v>
      </c>
      <c r="Q151">
        <v>1.2406168179333091E-3</v>
      </c>
      <c r="R151">
        <v>150</v>
      </c>
      <c r="S151">
        <v>7.1663424804063579E-3</v>
      </c>
      <c r="T151">
        <v>1.1815398266031516E-4</v>
      </c>
      <c r="AI151">
        <v>150</v>
      </c>
      <c r="AJ151">
        <v>3.6679939855966404E-2</v>
      </c>
      <c r="AK151">
        <v>1</v>
      </c>
    </row>
    <row r="152" spans="1:37" x14ac:dyDescent="0.25">
      <c r="L152">
        <v>151</v>
      </c>
      <c r="M152">
        <v>3.4897865919552712E-2</v>
      </c>
      <c r="N152">
        <v>1.2406168179333088E-4</v>
      </c>
      <c r="O152">
        <v>151</v>
      </c>
      <c r="P152">
        <v>3.0133455718886763E-2</v>
      </c>
      <c r="Q152">
        <v>1.3026476588299746E-3</v>
      </c>
      <c r="R152">
        <v>151</v>
      </c>
      <c r="S152">
        <v>7.1625763545258509E-3</v>
      </c>
      <c r="T152">
        <v>1.2406168179333093E-4</v>
      </c>
      <c r="AI152">
        <v>151</v>
      </c>
      <c r="AJ152">
        <v>3.6593010124184852E-2</v>
      </c>
      <c r="AK152">
        <v>1</v>
      </c>
    </row>
    <row r="153" spans="1:37" x14ac:dyDescent="0.25">
      <c r="L153">
        <v>152</v>
      </c>
      <c r="M153">
        <v>3.4878471629910868E-2</v>
      </c>
      <c r="N153">
        <v>1.3026476588299743E-4</v>
      </c>
      <c r="O153">
        <v>152</v>
      </c>
      <c r="P153">
        <v>3.0089045334217589E-2</v>
      </c>
      <c r="Q153">
        <v>1.3677800417714733E-3</v>
      </c>
      <c r="R153">
        <v>152</v>
      </c>
      <c r="S153">
        <v>7.1585687681428563E-3</v>
      </c>
      <c r="T153">
        <v>1.3026476588299748E-4</v>
      </c>
      <c r="AI153">
        <v>152</v>
      </c>
      <c r="AJ153">
        <v>3.6456271140174731E-2</v>
      </c>
      <c r="AK153">
        <v>0.5</v>
      </c>
    </row>
    <row r="154" spans="1:37" x14ac:dyDescent="0.25">
      <c r="L154">
        <v>153</v>
      </c>
      <c r="M154">
        <v>3.4851513423081647E-2</v>
      </c>
      <c r="N154">
        <v>1.3677800417714731E-4</v>
      </c>
      <c r="O154">
        <v>153</v>
      </c>
      <c r="P154">
        <v>3.0016713730150198E-2</v>
      </c>
      <c r="Q154">
        <v>1.436169043860047E-3</v>
      </c>
      <c r="R154">
        <v>153</v>
      </c>
      <c r="S154">
        <v>7.15434677314385E-3</v>
      </c>
      <c r="T154">
        <v>1.3677800417714737E-4</v>
      </c>
      <c r="AI154">
        <v>153</v>
      </c>
      <c r="AJ154">
        <v>3.6274385262006104E-2</v>
      </c>
      <c r="AK154">
        <v>0.5</v>
      </c>
    </row>
    <row r="155" spans="1:37" x14ac:dyDescent="0.25">
      <c r="L155">
        <v>154</v>
      </c>
      <c r="M155">
        <v>3.4824976860330807E-2</v>
      </c>
      <c r="N155">
        <v>1.4361690438600467E-4</v>
      </c>
      <c r="O155">
        <v>154</v>
      </c>
      <c r="P155">
        <v>2.9993237151858792E-2</v>
      </c>
      <c r="Q155">
        <v>1.5079774960530495E-3</v>
      </c>
      <c r="R155">
        <v>154</v>
      </c>
      <c r="S155">
        <v>7.1499301843712714E-3</v>
      </c>
      <c r="T155">
        <v>1.4361690438600475E-4</v>
      </c>
      <c r="AI155">
        <v>154</v>
      </c>
      <c r="AJ155">
        <v>3.6185277907533848E-2</v>
      </c>
      <c r="AK155">
        <v>0.5</v>
      </c>
    </row>
    <row r="156" spans="1:37" x14ac:dyDescent="0.25">
      <c r="L156">
        <v>155</v>
      </c>
      <c r="M156">
        <v>3.4801764197624985E-2</v>
      </c>
      <c r="N156">
        <v>1.5079774960530492E-4</v>
      </c>
      <c r="O156">
        <v>155</v>
      </c>
      <c r="P156">
        <v>2.9888050459345401E-2</v>
      </c>
      <c r="Q156">
        <v>1.5833763708557021E-3</v>
      </c>
      <c r="R156">
        <v>155</v>
      </c>
      <c r="S156">
        <v>7.145655766160843E-3</v>
      </c>
      <c r="T156">
        <v>1.5079774960530501E-4</v>
      </c>
      <c r="AI156">
        <v>155</v>
      </c>
      <c r="AJ156">
        <v>3.6131572034181186E-2</v>
      </c>
      <c r="AK156">
        <v>1</v>
      </c>
    </row>
    <row r="157" spans="1:37" x14ac:dyDescent="0.25">
      <c r="L157">
        <v>156</v>
      </c>
      <c r="M157">
        <v>3.477316176012514E-2</v>
      </c>
      <c r="N157">
        <v>1.5833763708557018E-4</v>
      </c>
      <c r="O157">
        <v>156</v>
      </c>
      <c r="P157">
        <v>2.9804665244851699E-2</v>
      </c>
      <c r="Q157">
        <v>1.6625451893984872E-3</v>
      </c>
      <c r="R157">
        <v>156</v>
      </c>
      <c r="S157">
        <v>7.1405081740080036E-3</v>
      </c>
      <c r="T157">
        <v>1.5833763708557026E-4</v>
      </c>
      <c r="AI157">
        <v>156</v>
      </c>
      <c r="AJ157">
        <v>3.6105043891722241E-2</v>
      </c>
      <c r="AK157">
        <v>1</v>
      </c>
    </row>
    <row r="158" spans="1:37" x14ac:dyDescent="0.25">
      <c r="L158">
        <v>157</v>
      </c>
      <c r="M158">
        <v>3.4758016156836796E-2</v>
      </c>
      <c r="N158">
        <v>1.662545189398487E-4</v>
      </c>
      <c r="O158">
        <v>157</v>
      </c>
      <c r="P158">
        <v>2.9814428659261549E-2</v>
      </c>
      <c r="Q158">
        <v>1.7456724488684116E-3</v>
      </c>
      <c r="R158">
        <v>157</v>
      </c>
      <c r="S158">
        <v>7.1355582549549306E-3</v>
      </c>
      <c r="T158">
        <v>1.6625451893984879E-4</v>
      </c>
      <c r="AI158">
        <v>157</v>
      </c>
      <c r="AJ158">
        <v>3.6075845123792909E-2</v>
      </c>
      <c r="AK158">
        <v>1</v>
      </c>
    </row>
    <row r="159" spans="1:37" x14ac:dyDescent="0.25">
      <c r="L159">
        <v>158</v>
      </c>
      <c r="M159">
        <v>3.4747044171588283E-2</v>
      </c>
      <c r="N159">
        <v>1.7456724488684115E-4</v>
      </c>
      <c r="O159">
        <v>158</v>
      </c>
      <c r="P159">
        <v>2.9781842420714986E-2</v>
      </c>
      <c r="Q159">
        <v>1.7456724488684118E-4</v>
      </c>
      <c r="R159">
        <v>158</v>
      </c>
      <c r="S159">
        <v>7.130144252279611E-3</v>
      </c>
      <c r="T159">
        <v>1.7456724488684123E-4</v>
      </c>
      <c r="AI159">
        <v>158</v>
      </c>
      <c r="AJ159">
        <v>3.6070115743962891E-2</v>
      </c>
      <c r="AK159">
        <v>1</v>
      </c>
    </row>
    <row r="160" spans="1:37" x14ac:dyDescent="0.25">
      <c r="L160">
        <v>159</v>
      </c>
      <c r="M160">
        <v>3.4703470066450616E-2</v>
      </c>
      <c r="N160">
        <v>1.832956071311832E-4</v>
      </c>
      <c r="O160">
        <v>159</v>
      </c>
      <c r="P160">
        <v>2.9768441820755671E-2</v>
      </c>
      <c r="Q160">
        <v>1.8329560713118323E-4</v>
      </c>
      <c r="R160">
        <v>159</v>
      </c>
      <c r="S160">
        <v>7.1244247688777807E-3</v>
      </c>
      <c r="T160">
        <v>1.8329560713118331E-4</v>
      </c>
      <c r="AI160">
        <v>159</v>
      </c>
      <c r="AJ160">
        <v>3.6068190267652026E-2</v>
      </c>
      <c r="AK160">
        <v>1</v>
      </c>
    </row>
    <row r="161" spans="12:37" x14ac:dyDescent="0.25">
      <c r="L161">
        <v>160</v>
      </c>
      <c r="M161">
        <v>3.4673650026253437E-2</v>
      </c>
      <c r="N161">
        <v>1.9246038748774237E-4</v>
      </c>
      <c r="O161">
        <v>160</v>
      </c>
      <c r="P161">
        <v>2.9755413858684826E-2</v>
      </c>
      <c r="Q161">
        <v>1.924603874877424E-4</v>
      </c>
      <c r="R161">
        <v>160</v>
      </c>
      <c r="S161">
        <v>7.1185759361902818E-3</v>
      </c>
      <c r="T161">
        <v>1.9246038748774248E-4</v>
      </c>
      <c r="AI161">
        <v>160</v>
      </c>
      <c r="AJ161">
        <v>3.6066810132576503E-2</v>
      </c>
      <c r="AK161">
        <v>1</v>
      </c>
    </row>
    <row r="162" spans="12:37" x14ac:dyDescent="0.25">
      <c r="L162">
        <v>161</v>
      </c>
      <c r="M162">
        <v>3.4730234074655961E-2</v>
      </c>
      <c r="N162">
        <v>2.020834068621295E-4</v>
      </c>
      <c r="O162">
        <v>161</v>
      </c>
      <c r="P162">
        <v>2.9746131358132245E-2</v>
      </c>
      <c r="Q162">
        <v>2.0208340686212953E-4</v>
      </c>
      <c r="R162">
        <v>161</v>
      </c>
      <c r="S162">
        <v>7.1125024001042316E-3</v>
      </c>
      <c r="T162">
        <v>2.0208340686212961E-4</v>
      </c>
      <c r="AI162">
        <v>161</v>
      </c>
      <c r="AJ162">
        <v>3.606578231599953E-2</v>
      </c>
      <c r="AK162">
        <v>1</v>
      </c>
    </row>
    <row r="163" spans="12:37" x14ac:dyDescent="0.25">
      <c r="L163">
        <v>162</v>
      </c>
      <c r="M163">
        <v>3.4659786083202325E-2</v>
      </c>
      <c r="N163">
        <v>2.0208340686212951E-5</v>
      </c>
      <c r="O163">
        <v>162</v>
      </c>
      <c r="P163">
        <v>2.9735245887221536E-2</v>
      </c>
      <c r="Q163">
        <v>2.1218757720523602E-4</v>
      </c>
      <c r="R163">
        <v>162</v>
      </c>
      <c r="S163">
        <v>7.1059914336735102E-3</v>
      </c>
      <c r="T163">
        <v>2.121875772052361E-4</v>
      </c>
      <c r="AI163">
        <v>162</v>
      </c>
      <c r="AJ163">
        <v>3.6065289757867262E-2</v>
      </c>
      <c r="AK163">
        <v>1</v>
      </c>
    </row>
    <row r="164" spans="12:37" x14ac:dyDescent="0.25">
      <c r="L164">
        <v>163</v>
      </c>
      <c r="M164">
        <v>3.4651617085157349E-2</v>
      </c>
      <c r="N164">
        <v>2.1218757720523599E-5</v>
      </c>
      <c r="O164">
        <v>163</v>
      </c>
      <c r="P164">
        <v>2.9724756610465974E-2</v>
      </c>
      <c r="Q164">
        <v>2.2279695606549783E-4</v>
      </c>
      <c r="R164">
        <v>163</v>
      </c>
      <c r="S164">
        <v>7.0993938778041504E-3</v>
      </c>
      <c r="T164">
        <v>2.2279695606549791E-4</v>
      </c>
      <c r="AI164">
        <v>163</v>
      </c>
      <c r="AJ164">
        <v>3.6065051419216634E-2</v>
      </c>
      <c r="AK164">
        <v>1</v>
      </c>
    </row>
    <row r="165" spans="12:37" x14ac:dyDescent="0.25">
      <c r="L165">
        <v>164</v>
      </c>
      <c r="M165">
        <v>3.4646039274782638E-2</v>
      </c>
      <c r="N165">
        <v>2.2279695606549779E-5</v>
      </c>
      <c r="O165">
        <v>164</v>
      </c>
      <c r="P165">
        <v>2.9713599812261283E-2</v>
      </c>
      <c r="Q165">
        <v>2.3393680386877273E-4</v>
      </c>
      <c r="R165">
        <v>164</v>
      </c>
      <c r="S165">
        <v>7.0921522884988637E-3</v>
      </c>
      <c r="T165">
        <v>2.3393680386877281E-4</v>
      </c>
      <c r="AI165">
        <v>164</v>
      </c>
      <c r="AJ165">
        <v>3.6064104268371443E-2</v>
      </c>
      <c r="AK165">
        <v>1</v>
      </c>
    </row>
    <row r="166" spans="12:37" x14ac:dyDescent="0.25">
      <c r="L166">
        <v>165</v>
      </c>
      <c r="M166">
        <v>3.4641871952069865E-2</v>
      </c>
      <c r="N166">
        <v>2.3393680386877269E-5</v>
      </c>
      <c r="O166">
        <v>165</v>
      </c>
      <c r="P166">
        <v>2.9701937349588096E-2</v>
      </c>
      <c r="Q166">
        <v>2.4563364406221137E-4</v>
      </c>
      <c r="R166">
        <v>165</v>
      </c>
      <c r="S166">
        <v>7.0848968535608316E-3</v>
      </c>
      <c r="T166">
        <v>2.4563364406221148E-4</v>
      </c>
      <c r="AI166">
        <v>165</v>
      </c>
      <c r="AJ166">
        <v>3.6061966830465239E-2</v>
      </c>
      <c r="AK166">
        <v>1</v>
      </c>
    </row>
    <row r="167" spans="12:37" x14ac:dyDescent="0.25">
      <c r="L167">
        <v>166</v>
      </c>
      <c r="M167">
        <v>3.4637411718080421E-2</v>
      </c>
      <c r="N167">
        <v>2.4563364406221132E-5</v>
      </c>
      <c r="O167">
        <v>166</v>
      </c>
      <c r="P167">
        <v>2.9689524916816173E-2</v>
      </c>
      <c r="Q167">
        <v>2.5791532626532194E-4</v>
      </c>
      <c r="R167">
        <v>166</v>
      </c>
      <c r="S167">
        <v>7.0769949928515125E-3</v>
      </c>
      <c r="T167">
        <v>2.5791532626532205E-4</v>
      </c>
      <c r="AI167">
        <v>166</v>
      </c>
      <c r="AJ167">
        <v>3.6056087172995216E-2</v>
      </c>
      <c r="AK167">
        <v>1</v>
      </c>
    </row>
    <row r="168" spans="12:37" x14ac:dyDescent="0.25">
      <c r="L168">
        <v>167</v>
      </c>
      <c r="M168">
        <v>3.463295920755944E-2</v>
      </c>
      <c r="N168">
        <v>2.5791532626532192E-5</v>
      </c>
      <c r="O168">
        <v>167</v>
      </c>
      <c r="P168">
        <v>2.9675955510427777E-2</v>
      </c>
      <c r="Q168">
        <v>2.7081109257858806E-4</v>
      </c>
      <c r="R168">
        <v>167</v>
      </c>
      <c r="S168">
        <v>7.0686555900227079E-3</v>
      </c>
      <c r="T168">
        <v>2.7081109257858817E-4</v>
      </c>
      <c r="AI168">
        <v>167</v>
      </c>
      <c r="AJ168">
        <v>3.6047501889092948E-2</v>
      </c>
      <c r="AK168">
        <v>1</v>
      </c>
    </row>
    <row r="169" spans="12:37" x14ac:dyDescent="0.25">
      <c r="L169">
        <v>168</v>
      </c>
      <c r="M169">
        <v>3.4628852160462027E-2</v>
      </c>
      <c r="N169">
        <v>2.7081109257858803E-5</v>
      </c>
      <c r="O169">
        <v>168</v>
      </c>
      <c r="P169">
        <v>2.9661483191261044E-2</v>
      </c>
      <c r="Q169">
        <v>2.8435164720751747E-4</v>
      </c>
      <c r="R169">
        <v>168</v>
      </c>
      <c r="S169">
        <v>7.0600611617515005E-3</v>
      </c>
      <c r="T169">
        <v>2.8435164720751758E-4</v>
      </c>
      <c r="AI169">
        <v>168</v>
      </c>
      <c r="AJ169">
        <v>3.6026330877993895E-2</v>
      </c>
      <c r="AK169">
        <v>1</v>
      </c>
    </row>
    <row r="170" spans="12:37" x14ac:dyDescent="0.25">
      <c r="L170">
        <v>169</v>
      </c>
      <c r="M170">
        <v>3.4624211073648548E-2</v>
      </c>
      <c r="N170">
        <v>2.8435164720751746E-5</v>
      </c>
      <c r="O170">
        <v>169</v>
      </c>
      <c r="P170">
        <v>2.9648439133282602E-2</v>
      </c>
      <c r="Q170">
        <v>2.9856922956789333E-4</v>
      </c>
      <c r="R170">
        <v>169</v>
      </c>
      <c r="S170">
        <v>7.0552037054726034E-3</v>
      </c>
      <c r="T170">
        <v>2.9856922956789344E-4</v>
      </c>
      <c r="AI170">
        <v>169</v>
      </c>
      <c r="AJ170">
        <v>3.5996153889316256E-2</v>
      </c>
      <c r="AK170">
        <v>0.125</v>
      </c>
    </row>
    <row r="171" spans="12:37" x14ac:dyDescent="0.25">
      <c r="L171">
        <v>170</v>
      </c>
      <c r="M171">
        <v>3.4619326545655749E-2</v>
      </c>
      <c r="N171">
        <v>2.9856922956789334E-5</v>
      </c>
      <c r="O171">
        <v>170</v>
      </c>
      <c r="P171">
        <v>2.9634404665858576E-2</v>
      </c>
      <c r="Q171">
        <v>3.1349769104628799E-4</v>
      </c>
      <c r="R171">
        <v>170</v>
      </c>
      <c r="S171">
        <v>7.0420097835698159E-3</v>
      </c>
      <c r="T171">
        <v>3.134976910462881E-4</v>
      </c>
      <c r="AI171">
        <v>170</v>
      </c>
      <c r="AJ171">
        <v>3.5961887852203986E-2</v>
      </c>
      <c r="AK171">
        <v>0.125</v>
      </c>
    </row>
    <row r="172" spans="12:37" x14ac:dyDescent="0.25">
      <c r="L172">
        <v>171</v>
      </c>
      <c r="M172">
        <v>3.4614294053078136E-2</v>
      </c>
      <c r="N172">
        <v>3.1349769104628801E-5</v>
      </c>
      <c r="O172">
        <v>171</v>
      </c>
      <c r="P172">
        <v>2.9617788105852427E-2</v>
      </c>
      <c r="Q172">
        <v>3.2917257559860239E-4</v>
      </c>
      <c r="R172">
        <v>171</v>
      </c>
      <c r="S172">
        <v>7.0361701436852542E-3</v>
      </c>
      <c r="T172">
        <v>3.291725755986025E-4</v>
      </c>
      <c r="AI172">
        <v>171</v>
      </c>
      <c r="AJ172">
        <v>3.5948715770466086E-2</v>
      </c>
      <c r="AK172">
        <v>0.5</v>
      </c>
    </row>
    <row r="173" spans="12:37" x14ac:dyDescent="0.25">
      <c r="L173">
        <v>172</v>
      </c>
      <c r="M173">
        <v>3.4609593014754969E-2</v>
      </c>
      <c r="N173">
        <v>3.2917257559860243E-5</v>
      </c>
      <c r="O173">
        <v>172</v>
      </c>
      <c r="P173">
        <v>2.9601845469729552E-2</v>
      </c>
      <c r="Q173">
        <v>3.4563120437853254E-4</v>
      </c>
      <c r="R173">
        <v>172</v>
      </c>
      <c r="S173">
        <v>7.0221757253936864E-3</v>
      </c>
      <c r="T173">
        <v>3.4563120437853265E-4</v>
      </c>
      <c r="AI173">
        <v>172</v>
      </c>
      <c r="AJ173">
        <v>3.5939581008216599E-2</v>
      </c>
      <c r="AK173">
        <v>0.5</v>
      </c>
    </row>
    <row r="174" spans="12:37" x14ac:dyDescent="0.25">
      <c r="L174">
        <v>173</v>
      </c>
      <c r="M174">
        <v>3.4603745192494255E-2</v>
      </c>
      <c r="N174">
        <v>3.4563120437853254E-5</v>
      </c>
      <c r="O174">
        <v>173</v>
      </c>
      <c r="P174">
        <v>2.9584279261430639E-2</v>
      </c>
      <c r="Q174">
        <v>3.629127645974592E-4</v>
      </c>
      <c r="R174">
        <v>173</v>
      </c>
      <c r="S174">
        <v>7.0137134041043771E-3</v>
      </c>
      <c r="T174">
        <v>3.629127645974593E-4</v>
      </c>
      <c r="AI174">
        <v>173</v>
      </c>
      <c r="AJ174">
        <v>3.5929004133800367E-2</v>
      </c>
      <c r="AK174">
        <v>1</v>
      </c>
    </row>
    <row r="175" spans="12:37" x14ac:dyDescent="0.25">
      <c r="L175">
        <v>174</v>
      </c>
      <c r="M175">
        <v>3.4597958618975709E-2</v>
      </c>
      <c r="N175">
        <v>3.629127645974592E-5</v>
      </c>
      <c r="O175">
        <v>174</v>
      </c>
      <c r="P175">
        <v>2.9568094282561505E-2</v>
      </c>
      <c r="Q175">
        <v>3.8105840282733218E-4</v>
      </c>
      <c r="R175">
        <v>174</v>
      </c>
      <c r="S175">
        <v>7.0008163482648857E-3</v>
      </c>
      <c r="T175">
        <v>3.8105840282733229E-4</v>
      </c>
      <c r="AI175">
        <v>174</v>
      </c>
      <c r="AJ175">
        <v>3.5913439456789709E-2</v>
      </c>
      <c r="AK175">
        <v>1</v>
      </c>
    </row>
    <row r="176" spans="12:37" x14ac:dyDescent="0.25">
      <c r="L176">
        <v>175</v>
      </c>
      <c r="M176">
        <v>3.4592743332372652E-2</v>
      </c>
      <c r="N176">
        <v>3.8105840282733214E-5</v>
      </c>
      <c r="O176">
        <v>175</v>
      </c>
      <c r="P176">
        <v>2.9547344052015347E-2</v>
      </c>
      <c r="Q176">
        <v>4.001113229686988E-4</v>
      </c>
      <c r="R176">
        <v>175</v>
      </c>
      <c r="S176">
        <v>6.9940677033262563E-3</v>
      </c>
      <c r="T176">
        <v>4.0011132296869891E-4</v>
      </c>
      <c r="AI176">
        <v>175</v>
      </c>
      <c r="AJ176">
        <v>3.5895150311959056E-2</v>
      </c>
      <c r="AK176">
        <v>1</v>
      </c>
    </row>
    <row r="177" spans="12:37" x14ac:dyDescent="0.25">
      <c r="L177">
        <v>176</v>
      </c>
      <c r="M177">
        <v>3.4586408624192461E-2</v>
      </c>
      <c r="N177">
        <v>4.0011132296869877E-5</v>
      </c>
      <c r="O177">
        <v>176</v>
      </c>
      <c r="P177">
        <v>2.9530535774882977E-2</v>
      </c>
      <c r="Q177">
        <v>4.2011688911713376E-4</v>
      </c>
      <c r="R177">
        <v>176</v>
      </c>
      <c r="S177">
        <v>6.9780101972716944E-3</v>
      </c>
      <c r="T177">
        <v>4.2011688911713387E-4</v>
      </c>
      <c r="AI177">
        <v>176</v>
      </c>
      <c r="AJ177">
        <v>3.5882085452456629E-2</v>
      </c>
      <c r="AK177">
        <v>1</v>
      </c>
    </row>
    <row r="178" spans="12:37" x14ac:dyDescent="0.25">
      <c r="L178">
        <v>177</v>
      </c>
      <c r="M178">
        <v>3.4579251000985321E-2</v>
      </c>
      <c r="N178">
        <v>4.2011688911713376E-5</v>
      </c>
      <c r="O178">
        <v>177</v>
      </c>
      <c r="P178">
        <v>2.9508415856962483E-2</v>
      </c>
      <c r="Q178">
        <v>4.4112273357299045E-4</v>
      </c>
      <c r="R178">
        <v>177</v>
      </c>
      <c r="S178">
        <v>6.9656370028167184E-3</v>
      </c>
      <c r="T178">
        <v>4.4112273357299056E-4</v>
      </c>
      <c r="AI178">
        <v>177</v>
      </c>
      <c r="AJ178">
        <v>3.5867891859990245E-2</v>
      </c>
      <c r="AK178">
        <v>0.5</v>
      </c>
    </row>
    <row r="179" spans="12:37" x14ac:dyDescent="0.25">
      <c r="L179">
        <v>178</v>
      </c>
      <c r="M179">
        <v>3.4572776019346822E-2</v>
      </c>
      <c r="N179">
        <v>4.4112273357299043E-5</v>
      </c>
      <c r="O179">
        <v>178</v>
      </c>
      <c r="P179">
        <v>2.9487909947777578E-2</v>
      </c>
      <c r="Q179">
        <v>4.6317887025163997E-4</v>
      </c>
      <c r="R179">
        <v>178</v>
      </c>
      <c r="S179">
        <v>6.9535944755738325E-3</v>
      </c>
      <c r="T179">
        <v>4.6317887025164008E-4</v>
      </c>
      <c r="AI179">
        <v>178</v>
      </c>
      <c r="AJ179">
        <v>3.5850910466346871E-2</v>
      </c>
      <c r="AK179">
        <v>1</v>
      </c>
    </row>
    <row r="180" spans="12:37" x14ac:dyDescent="0.25">
      <c r="L180">
        <v>179</v>
      </c>
      <c r="M180">
        <v>3.4565152140656648E-2</v>
      </c>
      <c r="N180">
        <v>4.6317887025163997E-5</v>
      </c>
      <c r="O180">
        <v>179</v>
      </c>
      <c r="P180">
        <v>2.946613387435092E-2</v>
      </c>
      <c r="Q180">
        <v>4.8633781376422201E-4</v>
      </c>
      <c r="R180">
        <v>179</v>
      </c>
      <c r="S180">
        <v>6.9411044886007354E-3</v>
      </c>
      <c r="T180">
        <v>4.8633781376422212E-4</v>
      </c>
      <c r="AI180">
        <v>179</v>
      </c>
      <c r="AJ180">
        <v>3.5824434119552551E-2</v>
      </c>
      <c r="AK180">
        <v>1</v>
      </c>
    </row>
    <row r="181" spans="12:37" x14ac:dyDescent="0.25">
      <c r="L181">
        <v>180</v>
      </c>
      <c r="M181">
        <v>3.4558976577470861E-2</v>
      </c>
      <c r="N181">
        <v>4.8633781376422197E-5</v>
      </c>
      <c r="O181">
        <v>180</v>
      </c>
      <c r="P181">
        <v>2.9443365581274097E-2</v>
      </c>
      <c r="Q181">
        <v>5.1065470445243316E-4</v>
      </c>
      <c r="R181">
        <v>180</v>
      </c>
      <c r="S181">
        <v>6.9231201987180069E-3</v>
      </c>
      <c r="T181">
        <v>5.1065470445243327E-4</v>
      </c>
      <c r="AI181">
        <v>180</v>
      </c>
      <c r="AJ181">
        <v>3.5806513298686449E-2</v>
      </c>
      <c r="AK181">
        <v>0.25</v>
      </c>
    </row>
    <row r="182" spans="12:37" x14ac:dyDescent="0.25">
      <c r="L182">
        <v>181</v>
      </c>
      <c r="M182">
        <v>3.4551422297837357E-2</v>
      </c>
      <c r="N182">
        <v>5.1065470445243308E-5</v>
      </c>
      <c r="O182">
        <v>181</v>
      </c>
      <c r="P182">
        <v>2.942437029671198E-2</v>
      </c>
      <c r="Q182">
        <v>5.3618743967505486E-4</v>
      </c>
      <c r="R182">
        <v>181</v>
      </c>
      <c r="S182">
        <v>6.9096048516883307E-3</v>
      </c>
      <c r="T182">
        <v>5.3618743967505497E-4</v>
      </c>
      <c r="AI182">
        <v>181</v>
      </c>
      <c r="AJ182">
        <v>3.5780929545837434E-2</v>
      </c>
      <c r="AK182">
        <v>0.5</v>
      </c>
    </row>
    <row r="183" spans="12:37" x14ac:dyDescent="0.25">
      <c r="L183">
        <v>182</v>
      </c>
      <c r="M183">
        <v>3.4541682298314356E-2</v>
      </c>
      <c r="N183">
        <v>5.3618743967505474E-5</v>
      </c>
      <c r="O183">
        <v>182</v>
      </c>
      <c r="P183">
        <v>2.9399647621197837E-2</v>
      </c>
      <c r="Q183">
        <v>5.6299681165880762E-4</v>
      </c>
      <c r="R183">
        <v>182</v>
      </c>
      <c r="S183">
        <v>6.8921780418200723E-3</v>
      </c>
      <c r="T183">
        <v>5.6299681165880773E-4</v>
      </c>
      <c r="AI183">
        <v>182</v>
      </c>
      <c r="AJ183">
        <v>3.5739592000694757E-2</v>
      </c>
      <c r="AK183">
        <v>1</v>
      </c>
    </row>
    <row r="184" spans="12:37" x14ac:dyDescent="0.25">
      <c r="L184">
        <v>183</v>
      </c>
      <c r="M184">
        <v>3.4533063428529992E-2</v>
      </c>
      <c r="N184">
        <v>5.6299681165880751E-5</v>
      </c>
      <c r="O184">
        <v>183</v>
      </c>
      <c r="P184">
        <v>2.9376428821563046E-2</v>
      </c>
      <c r="Q184">
        <v>5.9114665224174799E-4</v>
      </c>
      <c r="R184">
        <v>183</v>
      </c>
      <c r="S184">
        <v>6.8761810703589386E-3</v>
      </c>
      <c r="T184">
        <v>5.911466522417481E-4</v>
      </c>
      <c r="AI184">
        <v>183</v>
      </c>
      <c r="AJ184">
        <v>3.5695611202604088E-2</v>
      </c>
      <c r="AK184">
        <v>1</v>
      </c>
    </row>
    <row r="185" spans="12:37" x14ac:dyDescent="0.25">
      <c r="L185">
        <v>184</v>
      </c>
      <c r="M185">
        <v>3.452535030760906E-2</v>
      </c>
      <c r="N185">
        <v>5.9114665224174794E-5</v>
      </c>
      <c r="O185">
        <v>184</v>
      </c>
      <c r="P185">
        <v>2.9341179507379644E-2</v>
      </c>
      <c r="Q185">
        <v>6.2070398485383543E-4</v>
      </c>
      <c r="R185">
        <v>184</v>
      </c>
      <c r="S185">
        <v>6.8648264065985058E-3</v>
      </c>
      <c r="T185">
        <v>6.2070398485383554E-4</v>
      </c>
      <c r="AI185">
        <v>184</v>
      </c>
      <c r="AJ185">
        <v>3.5670936743884128E-2</v>
      </c>
      <c r="AK185">
        <v>0.5</v>
      </c>
    </row>
    <row r="186" spans="12:37" x14ac:dyDescent="0.25">
      <c r="L186">
        <v>185</v>
      </c>
      <c r="M186">
        <v>3.4514364485328464E-2</v>
      </c>
      <c r="N186">
        <v>6.2070398485383532E-5</v>
      </c>
      <c r="O186">
        <v>185</v>
      </c>
      <c r="P186">
        <v>2.9320839638541336E-2</v>
      </c>
      <c r="Q186">
        <v>6.5173918409652722E-4</v>
      </c>
      <c r="R186">
        <v>185</v>
      </c>
      <c r="S186">
        <v>6.8413844921643274E-3</v>
      </c>
      <c r="T186">
        <v>6.5173918409652733E-4</v>
      </c>
      <c r="AI186">
        <v>185</v>
      </c>
      <c r="AJ186">
        <v>3.564105117649731E-2</v>
      </c>
      <c r="AK186">
        <v>1</v>
      </c>
    </row>
    <row r="187" spans="12:37" x14ac:dyDescent="0.25">
      <c r="L187">
        <v>186</v>
      </c>
      <c r="M187">
        <v>3.4505654004262178E-2</v>
      </c>
      <c r="N187">
        <v>6.5173918409652711E-5</v>
      </c>
      <c r="O187">
        <v>186</v>
      </c>
      <c r="P187">
        <v>2.9281421328562134E-2</v>
      </c>
      <c r="Q187">
        <v>6.8432614330135361E-4</v>
      </c>
      <c r="R187">
        <v>186</v>
      </c>
      <c r="S187">
        <v>6.8216922708850538E-3</v>
      </c>
      <c r="T187">
        <v>6.8432614330135371E-4</v>
      </c>
      <c r="AI187">
        <v>186</v>
      </c>
      <c r="AJ187">
        <v>3.5627985036187297E-2</v>
      </c>
      <c r="AK187">
        <v>1</v>
      </c>
    </row>
    <row r="188" spans="12:37" x14ac:dyDescent="0.25">
      <c r="L188">
        <v>187</v>
      </c>
      <c r="M188">
        <v>3.4494276319536402E-2</v>
      </c>
      <c r="N188">
        <v>6.8432614330135344E-5</v>
      </c>
      <c r="O188">
        <v>187</v>
      </c>
      <c r="P188">
        <v>2.9248037176276095E-2</v>
      </c>
      <c r="Q188">
        <v>7.1854245046642129E-4</v>
      </c>
      <c r="R188">
        <v>187</v>
      </c>
      <c r="S188">
        <v>6.8018871710330041E-3</v>
      </c>
      <c r="T188">
        <v>7.185424504664214E-4</v>
      </c>
      <c r="AI188">
        <v>187</v>
      </c>
      <c r="AJ188">
        <v>3.5616255457939477E-2</v>
      </c>
      <c r="AK188">
        <v>1</v>
      </c>
    </row>
    <row r="189" spans="12:37" x14ac:dyDescent="0.25">
      <c r="L189">
        <v>188</v>
      </c>
      <c r="M189">
        <v>3.4486069516511113E-2</v>
      </c>
      <c r="N189">
        <v>7.185424504664211E-5</v>
      </c>
      <c r="O189">
        <v>188</v>
      </c>
      <c r="P189">
        <v>2.9212486348620288E-2</v>
      </c>
      <c r="Q189">
        <v>7.5446957298974237E-4</v>
      </c>
      <c r="R189">
        <v>188</v>
      </c>
      <c r="S189">
        <v>6.7812917165775543E-3</v>
      </c>
      <c r="T189">
        <v>7.5446957298974248E-4</v>
      </c>
      <c r="AI189">
        <v>188</v>
      </c>
      <c r="AJ189">
        <v>3.5605453859266542E-2</v>
      </c>
      <c r="AK189">
        <v>1</v>
      </c>
    </row>
    <row r="190" spans="12:37" x14ac:dyDescent="0.25">
      <c r="L190">
        <v>189</v>
      </c>
      <c r="M190">
        <v>3.4472206204231956E-2</v>
      </c>
      <c r="N190">
        <v>7.5446957298974218E-5</v>
      </c>
      <c r="O190">
        <v>189</v>
      </c>
      <c r="P190">
        <v>2.9175666428685253E-2</v>
      </c>
      <c r="Q190">
        <v>7.9219305163922952E-4</v>
      </c>
      <c r="R190">
        <v>189</v>
      </c>
      <c r="S190">
        <v>6.7597876846891116E-3</v>
      </c>
      <c r="T190">
        <v>7.9219305163922963E-4</v>
      </c>
      <c r="AI190">
        <v>189</v>
      </c>
      <c r="AJ190">
        <v>3.5584036967616778E-2</v>
      </c>
      <c r="AK190">
        <v>1</v>
      </c>
    </row>
    <row r="191" spans="12:37" x14ac:dyDescent="0.25">
      <c r="L191">
        <v>190</v>
      </c>
      <c r="M191">
        <v>3.4460796786129372E-2</v>
      </c>
      <c r="N191">
        <v>7.9219305163922928E-5</v>
      </c>
      <c r="O191">
        <v>190</v>
      </c>
      <c r="P191">
        <v>2.9137365268250538E-2</v>
      </c>
      <c r="Q191">
        <v>8.3180270422119099E-4</v>
      </c>
      <c r="R191">
        <v>190</v>
      </c>
      <c r="S191">
        <v>6.7371524802530619E-3</v>
      </c>
      <c r="T191">
        <v>8.318027042211911E-4</v>
      </c>
      <c r="AI191">
        <v>190</v>
      </c>
      <c r="AJ191">
        <v>3.5536533384634306E-2</v>
      </c>
      <c r="AK191">
        <v>1</v>
      </c>
    </row>
    <row r="192" spans="12:37" x14ac:dyDescent="0.25">
      <c r="L192">
        <v>191</v>
      </c>
      <c r="M192">
        <v>3.4448920230652026E-2</v>
      </c>
      <c r="N192">
        <v>8.3180270422119078E-5</v>
      </c>
      <c r="O192">
        <v>191</v>
      </c>
      <c r="P192">
        <v>2.9108350327099849E-2</v>
      </c>
      <c r="Q192">
        <v>8.7339283943225056E-4</v>
      </c>
      <c r="R192">
        <v>191</v>
      </c>
      <c r="S192">
        <v>6.7135720497188099E-3</v>
      </c>
      <c r="T192">
        <v>8.7339283943225067E-4</v>
      </c>
      <c r="AI192">
        <v>191</v>
      </c>
      <c r="AJ192">
        <v>3.5518234084739204E-2</v>
      </c>
      <c r="AK192">
        <v>0.5</v>
      </c>
    </row>
    <row r="193" spans="12:37" x14ac:dyDescent="0.25">
      <c r="L193">
        <v>192</v>
      </c>
      <c r="M193">
        <v>3.4435782017414249E-2</v>
      </c>
      <c r="N193">
        <v>8.7339283943225037E-5</v>
      </c>
      <c r="O193">
        <v>192</v>
      </c>
      <c r="P193">
        <v>2.9058294244743977E-2</v>
      </c>
      <c r="Q193">
        <v>9.1706248140386313E-4</v>
      </c>
      <c r="R193">
        <v>192</v>
      </c>
      <c r="S193">
        <v>6.6899297899709938E-3</v>
      </c>
      <c r="T193">
        <v>9.1706248140386323E-4</v>
      </c>
      <c r="AI193">
        <v>192</v>
      </c>
      <c r="AJ193">
        <v>3.5500122626066485E-2</v>
      </c>
      <c r="AK193">
        <v>1</v>
      </c>
    </row>
    <row r="194" spans="12:37" x14ac:dyDescent="0.25">
      <c r="L194">
        <v>193</v>
      </c>
      <c r="M194">
        <v>3.4422115594192691E-2</v>
      </c>
      <c r="N194">
        <v>9.1706248140386296E-5</v>
      </c>
      <c r="O194">
        <v>193</v>
      </c>
      <c r="P194">
        <v>2.9010628460998916E-2</v>
      </c>
      <c r="Q194">
        <v>9.6291560547405637E-4</v>
      </c>
      <c r="R194">
        <v>193</v>
      </c>
      <c r="S194">
        <v>6.6713242590429843E-3</v>
      </c>
      <c r="T194">
        <v>9.6291560547405648E-4</v>
      </c>
      <c r="AI194">
        <v>193</v>
      </c>
      <c r="AJ194">
        <v>3.5494968719406494E-2</v>
      </c>
      <c r="AK194">
        <v>1</v>
      </c>
    </row>
    <row r="195" spans="12:37" x14ac:dyDescent="0.25">
      <c r="L195">
        <v>194</v>
      </c>
      <c r="M195">
        <v>3.4409932844448737E-2</v>
      </c>
      <c r="N195">
        <v>9.6291560547405615E-5</v>
      </c>
      <c r="O195">
        <v>194</v>
      </c>
      <c r="P195">
        <v>2.8971669413622777E-2</v>
      </c>
      <c r="Q195">
        <v>1.0110613857477592E-3</v>
      </c>
      <c r="R195">
        <v>194</v>
      </c>
      <c r="S195">
        <v>6.6355651349987721E-3</v>
      </c>
      <c r="T195">
        <v>1.0110613857477594E-3</v>
      </c>
      <c r="AI195">
        <v>194</v>
      </c>
      <c r="AJ195">
        <v>3.5486479339958431E-2</v>
      </c>
      <c r="AK195">
        <v>1</v>
      </c>
    </row>
    <row r="196" spans="12:37" x14ac:dyDescent="0.25">
      <c r="L196">
        <v>195</v>
      </c>
      <c r="M196">
        <v>3.4393174979491493E-2</v>
      </c>
      <c r="N196">
        <v>1.011061385747759E-4</v>
      </c>
      <c r="O196">
        <v>195</v>
      </c>
      <c r="P196">
        <v>2.8931928367746673E-2</v>
      </c>
      <c r="Q196">
        <v>1.0616144550351472E-3</v>
      </c>
      <c r="R196">
        <v>195</v>
      </c>
      <c r="S196">
        <v>6.6110553968440145E-3</v>
      </c>
      <c r="T196">
        <v>1.0616144550351474E-3</v>
      </c>
      <c r="AI196">
        <v>195</v>
      </c>
      <c r="AJ196">
        <v>3.5482619349062119E-2</v>
      </c>
      <c r="AK196">
        <v>1</v>
      </c>
    </row>
    <row r="197" spans="12:37" x14ac:dyDescent="0.25">
      <c r="L197">
        <v>196</v>
      </c>
      <c r="M197">
        <v>3.4377731341890178E-2</v>
      </c>
      <c r="N197">
        <v>1.061614455035147E-4</v>
      </c>
      <c r="O197">
        <v>196</v>
      </c>
      <c r="P197">
        <v>2.8867320828391056E-2</v>
      </c>
      <c r="Q197">
        <v>1.1146951777869045E-3</v>
      </c>
      <c r="R197">
        <v>196</v>
      </c>
      <c r="S197">
        <v>6.5902822303888107E-3</v>
      </c>
      <c r="T197">
        <v>1.1146951777869047E-3</v>
      </c>
      <c r="AI197">
        <v>196</v>
      </c>
      <c r="AJ197">
        <v>3.5478088666034337E-2</v>
      </c>
      <c r="AK197">
        <v>1</v>
      </c>
    </row>
    <row r="198" spans="12:37" x14ac:dyDescent="0.25">
      <c r="L198">
        <v>197</v>
      </c>
      <c r="M198">
        <v>3.4368466644697782E-2</v>
      </c>
      <c r="N198">
        <v>1.1146951777869043E-4</v>
      </c>
      <c r="O198">
        <v>197</v>
      </c>
      <c r="P198">
        <v>2.8823053771696149E-2</v>
      </c>
      <c r="Q198">
        <v>1.1704299366762498E-3</v>
      </c>
      <c r="R198">
        <v>197</v>
      </c>
      <c r="S198">
        <v>6.5476445612395705E-3</v>
      </c>
      <c r="T198">
        <v>1.17042993667625E-3</v>
      </c>
      <c r="AI198">
        <v>197</v>
      </c>
      <c r="AJ198">
        <v>3.5465512857900693E-2</v>
      </c>
      <c r="AK198">
        <v>1</v>
      </c>
    </row>
    <row r="199" spans="12:37" x14ac:dyDescent="0.25">
      <c r="L199">
        <v>198</v>
      </c>
      <c r="M199">
        <v>3.4348538740936012E-2</v>
      </c>
      <c r="N199">
        <v>1.1704299366762496E-4</v>
      </c>
      <c r="O199">
        <v>198</v>
      </c>
      <c r="P199">
        <v>2.8756307954104263E-2</v>
      </c>
      <c r="Q199">
        <v>1.2289514335100623E-3</v>
      </c>
      <c r="R199">
        <v>198</v>
      </c>
      <c r="S199">
        <v>6.5315143107442042E-3</v>
      </c>
      <c r="T199">
        <v>1.2289514335100625E-3</v>
      </c>
      <c r="AI199">
        <v>198</v>
      </c>
      <c r="AJ199">
        <v>3.5460460403663671E-2</v>
      </c>
      <c r="AK199">
        <v>1</v>
      </c>
    </row>
    <row r="200" spans="12:37" x14ac:dyDescent="0.25">
      <c r="L200">
        <v>199</v>
      </c>
      <c r="M200">
        <v>3.433984374123944E-2</v>
      </c>
      <c r="N200">
        <v>1.228951433510062E-4</v>
      </c>
      <c r="O200">
        <v>199</v>
      </c>
      <c r="P200">
        <v>2.8700569585916175E-2</v>
      </c>
      <c r="Q200">
        <v>1.2903990051855655E-3</v>
      </c>
      <c r="R200">
        <v>199</v>
      </c>
      <c r="S200">
        <v>6.5065825683831924E-3</v>
      </c>
      <c r="T200">
        <v>1.2903990051855658E-3</v>
      </c>
      <c r="AI200">
        <v>199</v>
      </c>
      <c r="AJ200">
        <v>3.5459330275777724E-2</v>
      </c>
      <c r="AK200">
        <v>0.5</v>
      </c>
    </row>
    <row r="201" spans="12:37" x14ac:dyDescent="0.25">
      <c r="L201">
        <v>200</v>
      </c>
      <c r="M201">
        <v>3.4319397325993616E-2</v>
      </c>
      <c r="N201">
        <v>1.2903990051855652E-4</v>
      </c>
      <c r="O201">
        <v>200</v>
      </c>
      <c r="P201">
        <v>2.8687903284090641E-2</v>
      </c>
      <c r="Q201">
        <v>1.3549189554448438E-3</v>
      </c>
      <c r="R201">
        <v>200</v>
      </c>
      <c r="S201">
        <v>6.4528162067624658E-3</v>
      </c>
      <c r="T201">
        <v>1.354918955444844E-3</v>
      </c>
      <c r="AI201">
        <v>200</v>
      </c>
      <c r="AJ201">
        <v>3.5458681686480781E-2</v>
      </c>
      <c r="AK201">
        <v>1</v>
      </c>
    </row>
    <row r="202" spans="12:37" x14ac:dyDescent="0.25">
      <c r="L202">
        <v>201</v>
      </c>
      <c r="M202">
        <v>3.4294851399077127E-2</v>
      </c>
      <c r="N202">
        <v>1.3549189554448433E-4</v>
      </c>
      <c r="O202">
        <v>201</v>
      </c>
      <c r="P202">
        <v>2.8550500242192491E-2</v>
      </c>
      <c r="Q202">
        <v>1.4226649032170861E-3</v>
      </c>
      <c r="R202">
        <v>201</v>
      </c>
      <c r="S202">
        <v>6.413001426221112E-3</v>
      </c>
      <c r="T202">
        <v>1.4226649032170863E-3</v>
      </c>
      <c r="AI202">
        <v>201</v>
      </c>
      <c r="AJ202">
        <v>3.545833203608114E-2</v>
      </c>
      <c r="AK202">
        <v>1</v>
      </c>
    </row>
    <row r="203" spans="12:37" x14ac:dyDescent="0.25">
      <c r="L203">
        <v>202</v>
      </c>
      <c r="M203">
        <v>3.4362772534621208E-2</v>
      </c>
      <c r="N203">
        <v>1.4226649032170855E-4</v>
      </c>
      <c r="O203">
        <v>202</v>
      </c>
      <c r="P203">
        <v>2.8481062382281336E-2</v>
      </c>
      <c r="Q203">
        <v>1.4937981483779405E-3</v>
      </c>
      <c r="R203">
        <v>202</v>
      </c>
      <c r="S203">
        <v>6.3793875149779061E-3</v>
      </c>
      <c r="T203">
        <v>1.4937981483779408E-3</v>
      </c>
      <c r="AI203">
        <v>202</v>
      </c>
      <c r="AJ203">
        <v>3.5458191201645686E-2</v>
      </c>
      <c r="AK203">
        <v>1</v>
      </c>
    </row>
    <row r="204" spans="12:37" x14ac:dyDescent="0.25">
      <c r="L204">
        <v>203</v>
      </c>
      <c r="M204">
        <v>3.4291463443523726E-2</v>
      </c>
      <c r="N204">
        <v>1.4226649032170856E-5</v>
      </c>
      <c r="O204">
        <v>203</v>
      </c>
      <c r="P204">
        <v>2.840807193801017E-2</v>
      </c>
      <c r="Q204">
        <v>1.5684880557968377E-3</v>
      </c>
      <c r="R204">
        <v>203</v>
      </c>
      <c r="S204">
        <v>6.3548208652668709E-3</v>
      </c>
      <c r="T204">
        <v>1.5684880557968379E-3</v>
      </c>
      <c r="AI204">
        <v>203</v>
      </c>
      <c r="AJ204">
        <v>3.5458030743800266E-2</v>
      </c>
      <c r="AK204">
        <v>1</v>
      </c>
    </row>
    <row r="205" spans="12:37" x14ac:dyDescent="0.25">
      <c r="L205">
        <v>204</v>
      </c>
      <c r="M205">
        <v>3.4288486940341326E-2</v>
      </c>
      <c r="N205">
        <v>1.49379814837794E-5</v>
      </c>
      <c r="O205">
        <v>204</v>
      </c>
      <c r="P205">
        <v>2.8429083853851754E-2</v>
      </c>
      <c r="Q205">
        <v>1.6469124585866796E-3</v>
      </c>
      <c r="R205">
        <v>204</v>
      </c>
      <c r="S205">
        <v>6.3036170947042584E-3</v>
      </c>
      <c r="T205">
        <v>1.6469124585866799E-3</v>
      </c>
      <c r="AI205">
        <v>204</v>
      </c>
      <c r="AJ205">
        <v>3.5457918227788036E-2</v>
      </c>
      <c r="AK205">
        <v>1</v>
      </c>
    </row>
    <row r="206" spans="12:37" x14ac:dyDescent="0.25">
      <c r="L206">
        <v>205</v>
      </c>
      <c r="M206">
        <v>3.4285528839364948E-2</v>
      </c>
      <c r="N206">
        <v>1.568488055796837E-5</v>
      </c>
      <c r="O206">
        <v>205</v>
      </c>
      <c r="P206">
        <v>2.8399283605932846E-2</v>
      </c>
      <c r="Q206">
        <v>1.6469124585866796E-4</v>
      </c>
      <c r="R206">
        <v>205</v>
      </c>
      <c r="S206">
        <v>6.2585551602808371E-3</v>
      </c>
      <c r="T206">
        <v>1.729258081516014E-3</v>
      </c>
      <c r="AI206">
        <v>205</v>
      </c>
      <c r="AJ206">
        <v>3.5457723530719576E-2</v>
      </c>
      <c r="AK206">
        <v>1</v>
      </c>
    </row>
    <row r="207" spans="12:37" x14ac:dyDescent="0.25">
      <c r="L207">
        <v>206</v>
      </c>
      <c r="M207">
        <v>3.428281557080301E-2</v>
      </c>
      <c r="N207">
        <v>1.6469124585866788E-5</v>
      </c>
      <c r="O207">
        <v>206</v>
      </c>
      <c r="P207">
        <v>2.8390008039536896E-2</v>
      </c>
      <c r="Q207">
        <v>1.7292580815160137E-4</v>
      </c>
      <c r="R207">
        <v>206</v>
      </c>
      <c r="S207">
        <v>6.2246777999744223E-3</v>
      </c>
      <c r="T207">
        <v>1.8157209855918148E-3</v>
      </c>
    </row>
    <row r="208" spans="12:37" x14ac:dyDescent="0.25">
      <c r="L208">
        <v>207</v>
      </c>
      <c r="M208">
        <v>3.4280465158474029E-2</v>
      </c>
      <c r="N208">
        <v>1.7292580815160127E-5</v>
      </c>
      <c r="O208">
        <v>207</v>
      </c>
      <c r="P208">
        <v>2.8381102869685183E-2</v>
      </c>
      <c r="Q208">
        <v>1.8157209855918145E-4</v>
      </c>
      <c r="R208">
        <v>207</v>
      </c>
      <c r="S208">
        <v>6.1729595596405756E-3</v>
      </c>
      <c r="T208">
        <v>1.9065070348714057E-3</v>
      </c>
    </row>
    <row r="209" spans="15:20" x14ac:dyDescent="0.25">
      <c r="O209">
        <v>208</v>
      </c>
      <c r="P209">
        <v>2.8371646958995904E-2</v>
      </c>
      <c r="Q209">
        <v>1.9065070348714053E-4</v>
      </c>
      <c r="R209">
        <v>208</v>
      </c>
      <c r="S209">
        <v>6.1279081830186077E-3</v>
      </c>
      <c r="T209">
        <v>2.001832386614976E-3</v>
      </c>
    </row>
    <row r="210" spans="15:20" x14ac:dyDescent="0.25">
      <c r="O210">
        <v>209</v>
      </c>
      <c r="P210">
        <v>2.8362078806753215E-2</v>
      </c>
      <c r="Q210">
        <v>2.0018323866149756E-4</v>
      </c>
      <c r="R210">
        <v>209</v>
      </c>
      <c r="S210">
        <v>6.1078252787305906E-3</v>
      </c>
      <c r="T210">
        <v>2.1019240059457251E-3</v>
      </c>
    </row>
    <row r="211" spans="15:20" x14ac:dyDescent="0.25">
      <c r="O211">
        <v>210</v>
      </c>
      <c r="P211">
        <v>2.8351627083188877E-2</v>
      </c>
      <c r="Q211">
        <v>2.1019240059457246E-4</v>
      </c>
      <c r="R211">
        <v>210</v>
      </c>
      <c r="S211">
        <v>6.0533842118338258E-3</v>
      </c>
      <c r="T211">
        <v>2.2070202062430115E-3</v>
      </c>
    </row>
    <row r="212" spans="15:20" x14ac:dyDescent="0.25">
      <c r="O212">
        <v>211</v>
      </c>
      <c r="P212">
        <v>2.8341026572541627E-2</v>
      </c>
      <c r="Q212">
        <v>2.207020206243011E-4</v>
      </c>
      <c r="R212">
        <v>211</v>
      </c>
      <c r="S212">
        <v>6.0440585060504894E-3</v>
      </c>
      <c r="T212">
        <v>2.3173712165551622E-3</v>
      </c>
    </row>
    <row r="213" spans="15:20" x14ac:dyDescent="0.25">
      <c r="O213">
        <v>212</v>
      </c>
      <c r="P213">
        <v>2.8329086442727906E-2</v>
      </c>
      <c r="Q213">
        <v>2.3173712165551615E-4</v>
      </c>
      <c r="R213">
        <v>212</v>
      </c>
      <c r="S213">
        <v>5.960959423942834E-3</v>
      </c>
      <c r="T213">
        <v>2.4332397773829204E-3</v>
      </c>
    </row>
    <row r="214" spans="15:20" x14ac:dyDescent="0.25">
      <c r="O214">
        <v>213</v>
      </c>
      <c r="P214">
        <v>2.8317036708236612E-2</v>
      </c>
      <c r="Q214">
        <v>2.4332397773829198E-4</v>
      </c>
      <c r="R214">
        <v>213</v>
      </c>
      <c r="S214">
        <v>5.9062668907825288E-3</v>
      </c>
      <c r="T214">
        <v>2.5549017662520666E-3</v>
      </c>
    </row>
    <row r="215" spans="15:20" x14ac:dyDescent="0.25">
      <c r="O215">
        <v>214</v>
      </c>
      <c r="P215">
        <v>2.8305200452923836E-2</v>
      </c>
      <c r="Q215">
        <v>2.5549017662520658E-4</v>
      </c>
      <c r="R215">
        <v>214</v>
      </c>
      <c r="S215">
        <v>5.8328204983426214E-3</v>
      </c>
      <c r="T215">
        <v>2.6826468545646702E-3</v>
      </c>
    </row>
    <row r="216" spans="15:20" x14ac:dyDescent="0.25">
      <c r="O216">
        <v>215</v>
      </c>
      <c r="P216">
        <v>2.829142836397925E-2</v>
      </c>
      <c r="Q216">
        <v>2.6826468545646691E-4</v>
      </c>
      <c r="R216">
        <v>215</v>
      </c>
      <c r="S216">
        <v>5.8081285900092273E-3</v>
      </c>
      <c r="T216">
        <v>2.816779197292904E-3</v>
      </c>
    </row>
    <row r="217" spans="15:20" x14ac:dyDescent="0.25">
      <c r="O217">
        <v>216</v>
      </c>
      <c r="P217">
        <v>2.8276622759350344E-2</v>
      </c>
      <c r="Q217">
        <v>2.8167791972929027E-4</v>
      </c>
      <c r="R217">
        <v>216</v>
      </c>
      <c r="S217">
        <v>5.8567466250895126E-3</v>
      </c>
      <c r="T217">
        <v>2.9576181571575491E-3</v>
      </c>
    </row>
    <row r="218" spans="15:20" x14ac:dyDescent="0.25">
      <c r="O218">
        <v>217</v>
      </c>
      <c r="P218">
        <v>2.8262372825132238E-2</v>
      </c>
      <c r="Q218">
        <v>2.9576181571575478E-4</v>
      </c>
      <c r="R218">
        <v>217</v>
      </c>
      <c r="S218">
        <v>5.7665748733078306E-3</v>
      </c>
      <c r="T218">
        <v>2.9576181571575494E-4</v>
      </c>
    </row>
    <row r="219" spans="15:20" x14ac:dyDescent="0.25">
      <c r="O219">
        <v>218</v>
      </c>
      <c r="P219">
        <v>2.8248391576239672E-2</v>
      </c>
      <c r="Q219">
        <v>3.1054990650154253E-4</v>
      </c>
      <c r="R219">
        <v>218</v>
      </c>
      <c r="S219">
        <v>5.770435296082105E-3</v>
      </c>
      <c r="T219">
        <v>3.1054990650154269E-4</v>
      </c>
    </row>
    <row r="220" spans="15:20" x14ac:dyDescent="0.25">
      <c r="O220">
        <v>219</v>
      </c>
      <c r="P220">
        <v>2.8233114229339582E-2</v>
      </c>
      <c r="Q220">
        <v>3.260774018266197E-4</v>
      </c>
      <c r="R220">
        <v>219</v>
      </c>
      <c r="S220">
        <v>5.7633916167546878E-3</v>
      </c>
      <c r="T220">
        <v>3.1054990650154273E-5</v>
      </c>
    </row>
    <row r="221" spans="15:20" x14ac:dyDescent="0.25">
      <c r="O221">
        <v>220</v>
      </c>
      <c r="P221">
        <v>2.8216669395263783E-2</v>
      </c>
      <c r="Q221">
        <v>3.4238127191795072E-4</v>
      </c>
      <c r="R221">
        <v>220</v>
      </c>
      <c r="S221">
        <v>5.7621264487287792E-3</v>
      </c>
      <c r="T221">
        <v>3.260774018266199E-5</v>
      </c>
    </row>
    <row r="222" spans="15:20" x14ac:dyDescent="0.25">
      <c r="O222">
        <v>221</v>
      </c>
      <c r="P222">
        <v>2.8199275610182102E-2</v>
      </c>
      <c r="Q222">
        <v>3.5950033551384827E-4</v>
      </c>
      <c r="R222">
        <v>221</v>
      </c>
      <c r="S222">
        <v>5.7612302936878752E-3</v>
      </c>
      <c r="T222">
        <v>3.4238127191795094E-5</v>
      </c>
    </row>
    <row r="223" spans="15:20" x14ac:dyDescent="0.25">
      <c r="O223">
        <v>222</v>
      </c>
      <c r="P223">
        <v>2.8181760452531894E-2</v>
      </c>
      <c r="Q223">
        <v>3.7747535228954069E-4</v>
      </c>
      <c r="R223">
        <v>222</v>
      </c>
      <c r="S223">
        <v>5.7603665877302467E-3</v>
      </c>
      <c r="T223">
        <v>3.5950033551384849E-5</v>
      </c>
    </row>
    <row r="224" spans="15:20" x14ac:dyDescent="0.25">
      <c r="O224">
        <v>223</v>
      </c>
      <c r="P224">
        <v>2.8162872585962478E-2</v>
      </c>
      <c r="Q224">
        <v>3.9634911990401775E-4</v>
      </c>
      <c r="R224">
        <v>223</v>
      </c>
      <c r="S224">
        <v>5.7595916402583972E-3</v>
      </c>
      <c r="T224">
        <v>3.774753522895409E-5</v>
      </c>
    </row>
    <row r="225" spans="15:20" x14ac:dyDescent="0.25">
      <c r="O225">
        <v>224</v>
      </c>
      <c r="P225">
        <v>2.8141848970878462E-2</v>
      </c>
      <c r="Q225">
        <v>4.1616657589921865E-4</v>
      </c>
      <c r="R225">
        <v>224</v>
      </c>
      <c r="S225">
        <v>5.7586589951521723E-3</v>
      </c>
      <c r="T225">
        <v>3.9634911990401797E-5</v>
      </c>
    </row>
    <row r="226" spans="15:20" x14ac:dyDescent="0.25">
      <c r="O226">
        <v>225</v>
      </c>
      <c r="P226">
        <v>2.8119612225488578E-2</v>
      </c>
      <c r="Q226">
        <v>4.3697490469417962E-4</v>
      </c>
      <c r="R226">
        <v>225</v>
      </c>
      <c r="S226">
        <v>5.7577338426107166E-3</v>
      </c>
      <c r="T226">
        <v>4.161665758992189E-5</v>
      </c>
    </row>
    <row r="227" spans="15:20" x14ac:dyDescent="0.25">
      <c r="O227">
        <v>226</v>
      </c>
      <c r="P227">
        <v>2.8094905423126367E-2</v>
      </c>
      <c r="Q227">
        <v>4.5882364992888862E-4</v>
      </c>
      <c r="R227">
        <v>226</v>
      </c>
      <c r="S227">
        <v>5.7567326261602119E-3</v>
      </c>
      <c r="T227">
        <v>4.3697490469417988E-5</v>
      </c>
    </row>
    <row r="228" spans="15:20" x14ac:dyDescent="0.25">
      <c r="O228">
        <v>227</v>
      </c>
      <c r="P228">
        <v>2.8071112196452697E-2</v>
      </c>
      <c r="Q228">
        <v>4.8176483242533307E-4</v>
      </c>
      <c r="R228">
        <v>227</v>
      </c>
      <c r="S228">
        <v>5.7556724954118893E-3</v>
      </c>
      <c r="T228">
        <v>4.5882364992888891E-5</v>
      </c>
    </row>
    <row r="229" spans="15:20" x14ac:dyDescent="0.25">
      <c r="O229">
        <v>228</v>
      </c>
      <c r="P229">
        <v>2.8045605917499293E-2</v>
      </c>
      <c r="Q229">
        <v>5.058530740465997E-4</v>
      </c>
      <c r="R229">
        <v>228</v>
      </c>
      <c r="S229">
        <v>5.7545196500040849E-3</v>
      </c>
      <c r="T229">
        <v>4.8176483242533338E-5</v>
      </c>
    </row>
    <row r="230" spans="15:20" x14ac:dyDescent="0.25">
      <c r="O230">
        <v>229</v>
      </c>
      <c r="P230">
        <v>2.8018669568085405E-2</v>
      </c>
      <c r="Q230">
        <v>5.3114572774892971E-4</v>
      </c>
      <c r="R230">
        <v>229</v>
      </c>
      <c r="S230">
        <v>5.7533167782969543E-3</v>
      </c>
      <c r="T230">
        <v>5.0585307404660007E-5</v>
      </c>
    </row>
    <row r="231" spans="15:20" x14ac:dyDescent="0.25">
      <c r="O231">
        <v>230</v>
      </c>
      <c r="P231">
        <v>2.7992991650138018E-2</v>
      </c>
      <c r="Q231">
        <v>5.577030141363762E-4</v>
      </c>
      <c r="R231">
        <v>230</v>
      </c>
      <c r="S231">
        <v>5.7520820934279298E-3</v>
      </c>
      <c r="T231">
        <v>5.3114572774893006E-5</v>
      </c>
    </row>
    <row r="232" spans="15:20" x14ac:dyDescent="0.25">
      <c r="O232">
        <v>231</v>
      </c>
      <c r="P232">
        <v>2.7971605764104582E-2</v>
      </c>
      <c r="Q232">
        <v>5.8558816484319503E-4</v>
      </c>
      <c r="R232">
        <v>231</v>
      </c>
      <c r="S232">
        <v>5.7507597629909207E-3</v>
      </c>
      <c r="T232">
        <v>5.5770301413637657E-5</v>
      </c>
    </row>
    <row r="233" spans="15:20" x14ac:dyDescent="0.25">
      <c r="O233">
        <v>232</v>
      </c>
      <c r="P233">
        <v>2.7939039327093306E-2</v>
      </c>
      <c r="Q233">
        <v>6.1486757308535484E-4</v>
      </c>
      <c r="R233">
        <v>232</v>
      </c>
      <c r="S233">
        <v>5.7493634497178796E-3</v>
      </c>
      <c r="T233">
        <v>5.8558816484319544E-5</v>
      </c>
    </row>
    <row r="234" spans="15:20" x14ac:dyDescent="0.25">
      <c r="O234">
        <v>233</v>
      </c>
      <c r="P234">
        <v>2.791003698286262E-2</v>
      </c>
      <c r="Q234">
        <v>6.4561095173962257E-4</v>
      </c>
      <c r="R234">
        <v>233</v>
      </c>
      <c r="S234">
        <v>5.7479341935782729E-3</v>
      </c>
      <c r="T234">
        <v>6.148675730853553E-5</v>
      </c>
    </row>
    <row r="235" spans="15:20" x14ac:dyDescent="0.25">
      <c r="O235">
        <v>234</v>
      </c>
      <c r="P235">
        <v>2.7888145496555432E-2</v>
      </c>
      <c r="Q235">
        <v>6.7789149932660374E-4</v>
      </c>
      <c r="R235">
        <v>234</v>
      </c>
      <c r="S235">
        <v>5.746422906949258E-3</v>
      </c>
      <c r="T235">
        <v>6.4561095173962306E-5</v>
      </c>
    </row>
    <row r="236" spans="15:20" x14ac:dyDescent="0.25">
      <c r="O236">
        <v>235</v>
      </c>
      <c r="P236">
        <v>2.7845575369919308E-2</v>
      </c>
      <c r="Q236">
        <v>7.1178607429293395E-4</v>
      </c>
      <c r="R236">
        <v>235</v>
      </c>
      <c r="S236">
        <v>5.7449422368977248E-3</v>
      </c>
      <c r="T236">
        <v>6.7789149932660428E-5</v>
      </c>
    </row>
    <row r="237" spans="15:20" x14ac:dyDescent="0.25">
      <c r="O237">
        <v>236</v>
      </c>
      <c r="P237">
        <v>2.7818034719751358E-2</v>
      </c>
      <c r="Q237">
        <v>7.4737537800758063E-4</v>
      </c>
      <c r="R237">
        <v>236</v>
      </c>
      <c r="S237">
        <v>5.7431568368589737E-3</v>
      </c>
      <c r="T237">
        <v>7.1178607429293458E-5</v>
      </c>
    </row>
    <row r="238" spans="15:20" x14ac:dyDescent="0.25">
      <c r="O238">
        <v>237</v>
      </c>
      <c r="P238">
        <v>2.7780176379440066E-2</v>
      </c>
      <c r="Q238">
        <v>7.8474414690795974E-4</v>
      </c>
      <c r="R238">
        <v>237</v>
      </c>
      <c r="S238">
        <v>5.7414951981244657E-3</v>
      </c>
      <c r="T238">
        <v>7.4737537800758136E-5</v>
      </c>
    </row>
    <row r="239" spans="15:20" x14ac:dyDescent="0.25">
      <c r="O239">
        <v>238</v>
      </c>
      <c r="P239">
        <v>2.7743248691514632E-2</v>
      </c>
      <c r="Q239">
        <v>8.2398135425335777E-4</v>
      </c>
      <c r="R239">
        <v>238</v>
      </c>
      <c r="S239">
        <v>5.7397124543363881E-3</v>
      </c>
      <c r="T239">
        <v>7.8474414690796047E-5</v>
      </c>
    </row>
    <row r="240" spans="15:20" x14ac:dyDescent="0.25">
      <c r="O240">
        <v>239</v>
      </c>
      <c r="P240">
        <v>2.7718937960706298E-2</v>
      </c>
      <c r="Q240">
        <v>8.6518042196602571E-4</v>
      </c>
      <c r="R240">
        <v>239</v>
      </c>
      <c r="S240">
        <v>5.7377137046689961E-3</v>
      </c>
      <c r="T240">
        <v>8.2398135425335855E-5</v>
      </c>
    </row>
    <row r="241" spans="15:20" x14ac:dyDescent="0.25">
      <c r="O241">
        <v>240</v>
      </c>
      <c r="P241">
        <v>2.7672477253789237E-2</v>
      </c>
      <c r="Q241">
        <v>9.0843944306432702E-4</v>
      </c>
      <c r="R241">
        <v>240</v>
      </c>
      <c r="S241">
        <v>5.7357404675754103E-3</v>
      </c>
      <c r="T241">
        <v>8.6518042196602658E-5</v>
      </c>
    </row>
    <row r="242" spans="15:20" x14ac:dyDescent="0.25">
      <c r="O242">
        <v>241</v>
      </c>
      <c r="P242">
        <v>2.7633278791715534E-2</v>
      </c>
      <c r="Q242">
        <v>9.5386141521754337E-4</v>
      </c>
      <c r="R242">
        <v>241</v>
      </c>
      <c r="S242">
        <v>5.7335554341576686E-3</v>
      </c>
      <c r="T242">
        <v>9.0843944306432796E-5</v>
      </c>
    </row>
    <row r="243" spans="15:20" x14ac:dyDescent="0.25">
      <c r="O243">
        <v>242</v>
      </c>
      <c r="P243">
        <v>2.7582286349980598E-2</v>
      </c>
      <c r="Q243">
        <v>1.0015544859784205E-3</v>
      </c>
      <c r="R243">
        <v>242</v>
      </c>
      <c r="S243">
        <v>5.7313614458097328E-3</v>
      </c>
      <c r="T243">
        <v>9.5386141521754437E-5</v>
      </c>
    </row>
    <row r="244" spans="15:20" x14ac:dyDescent="0.25">
      <c r="O244">
        <v>243</v>
      </c>
      <c r="P244">
        <v>2.7530528344826808E-2</v>
      </c>
      <c r="Q244">
        <v>1.0516322102773416E-3</v>
      </c>
      <c r="R244">
        <v>243</v>
      </c>
      <c r="S244">
        <v>5.72904241237458E-3</v>
      </c>
      <c r="T244">
        <v>1.0015544859784216E-4</v>
      </c>
    </row>
    <row r="245" spans="15:20" x14ac:dyDescent="0.25">
      <c r="O245">
        <v>244</v>
      </c>
      <c r="P245">
        <v>2.7526913200042604E-2</v>
      </c>
      <c r="Q245">
        <v>1.1042138207912088E-3</v>
      </c>
      <c r="R245">
        <v>244</v>
      </c>
      <c r="S245">
        <v>5.7265963907561935E-3</v>
      </c>
      <c r="T245">
        <v>1.0516322102773428E-4</v>
      </c>
    </row>
    <row r="246" spans="15:20" x14ac:dyDescent="0.25">
      <c r="O246">
        <v>245</v>
      </c>
      <c r="P246">
        <v>2.7500310673132012E-2</v>
      </c>
      <c r="Q246">
        <v>1.1594245118307692E-3</v>
      </c>
      <c r="R246">
        <v>245</v>
      </c>
      <c r="S246">
        <v>5.7241346264984613E-3</v>
      </c>
      <c r="T246">
        <v>1.1042138207912099E-4</v>
      </c>
    </row>
    <row r="247" spans="15:20" x14ac:dyDescent="0.25">
      <c r="O247">
        <v>246</v>
      </c>
      <c r="P247">
        <v>2.7391125188354789E-2</v>
      </c>
      <c r="Q247">
        <v>1.2173957374223077E-3</v>
      </c>
      <c r="R247">
        <v>246</v>
      </c>
      <c r="S247">
        <v>5.7212673709433198E-3</v>
      </c>
      <c r="T247">
        <v>1.1594245118307705E-4</v>
      </c>
    </row>
    <row r="248" spans="15:20" x14ac:dyDescent="0.25">
      <c r="O248">
        <v>247</v>
      </c>
      <c r="P248">
        <v>2.73229874220959E-2</v>
      </c>
      <c r="Q248">
        <v>1.2782655242934231E-3</v>
      </c>
      <c r="R248">
        <v>247</v>
      </c>
      <c r="S248">
        <v>5.7187015193335654E-3</v>
      </c>
      <c r="T248">
        <v>1.217395737422309E-4</v>
      </c>
    </row>
    <row r="249" spans="15:20" x14ac:dyDescent="0.25">
      <c r="O249">
        <v>248</v>
      </c>
      <c r="P249">
        <v>2.7343499187878196E-2</v>
      </c>
      <c r="Q249">
        <v>1.3421788005080944E-3</v>
      </c>
      <c r="R249">
        <v>248</v>
      </c>
      <c r="S249">
        <v>5.7161653162842285E-3</v>
      </c>
      <c r="T249">
        <v>1.2782655242934244E-4</v>
      </c>
    </row>
    <row r="250" spans="15:20" x14ac:dyDescent="0.25">
      <c r="O250">
        <v>249</v>
      </c>
      <c r="P250">
        <v>2.7316321305260328E-2</v>
      </c>
      <c r="Q250">
        <v>1.3421788005080944E-4</v>
      </c>
      <c r="R250">
        <v>249</v>
      </c>
      <c r="S250">
        <v>5.7124083638878291E-3</v>
      </c>
      <c r="T250">
        <v>1.3421788005080958E-4</v>
      </c>
    </row>
    <row r="251" spans="15:20" x14ac:dyDescent="0.25">
      <c r="O251">
        <v>250</v>
      </c>
      <c r="P251">
        <v>2.7309762129371005E-2</v>
      </c>
      <c r="Q251">
        <v>1.4092877405334992E-4</v>
      </c>
      <c r="R251">
        <v>250</v>
      </c>
      <c r="S251">
        <v>5.7092058269227631E-3</v>
      </c>
      <c r="T251">
        <v>1.4092877405335005E-4</v>
      </c>
    </row>
    <row r="252" spans="15:20" x14ac:dyDescent="0.25">
      <c r="O252">
        <v>251</v>
      </c>
      <c r="P252">
        <v>2.730303090226258E-2</v>
      </c>
      <c r="Q252">
        <v>1.4797521275601743E-4</v>
      </c>
      <c r="R252">
        <v>251</v>
      </c>
      <c r="S252">
        <v>5.7057764795348008E-3</v>
      </c>
      <c r="T252">
        <v>1.4797521275601756E-4</v>
      </c>
    </row>
    <row r="253" spans="15:20" x14ac:dyDescent="0.25">
      <c r="O253">
        <v>252</v>
      </c>
      <c r="P253">
        <v>2.7295659881612682E-2</v>
      </c>
      <c r="Q253">
        <v>1.5537397339381831E-4</v>
      </c>
      <c r="R253">
        <v>252</v>
      </c>
      <c r="S253">
        <v>5.7022534699190412E-3</v>
      </c>
      <c r="T253">
        <v>1.5537397339381845E-4</v>
      </c>
    </row>
    <row r="254" spans="15:20" x14ac:dyDescent="0.25">
      <c r="O254">
        <v>253</v>
      </c>
      <c r="P254">
        <v>2.7288105085000302E-2</v>
      </c>
      <c r="Q254">
        <v>1.6314267206350925E-4</v>
      </c>
      <c r="R254">
        <v>253</v>
      </c>
      <c r="S254">
        <v>5.6985551506567493E-3</v>
      </c>
      <c r="T254">
        <v>1.6314267206350938E-4</v>
      </c>
    </row>
    <row r="255" spans="15:20" x14ac:dyDescent="0.25">
      <c r="O255">
        <v>254</v>
      </c>
      <c r="P255">
        <v>2.7280184295416669E-2</v>
      </c>
      <c r="Q255">
        <v>1.7129980566668471E-4</v>
      </c>
      <c r="R255">
        <v>254</v>
      </c>
      <c r="S255">
        <v>5.6944463673759523E-3</v>
      </c>
      <c r="T255">
        <v>1.7129980566668487E-4</v>
      </c>
    </row>
    <row r="256" spans="15:20" x14ac:dyDescent="0.25">
      <c r="O256">
        <v>255</v>
      </c>
      <c r="P256">
        <v>2.7271672454495473E-2</v>
      </c>
      <c r="Q256">
        <v>1.7986479595001896E-4</v>
      </c>
      <c r="R256">
        <v>255</v>
      </c>
      <c r="S256">
        <v>5.6911850422234804E-3</v>
      </c>
      <c r="T256">
        <v>1.7986479595001912E-4</v>
      </c>
    </row>
    <row r="257" spans="15:20" x14ac:dyDescent="0.25">
      <c r="O257">
        <v>256</v>
      </c>
      <c r="P257">
        <v>2.7262929139144382E-2</v>
      </c>
      <c r="Q257">
        <v>1.8885803574751991E-4</v>
      </c>
      <c r="R257">
        <v>256</v>
      </c>
      <c r="S257">
        <v>5.6860516123026471E-3</v>
      </c>
      <c r="T257">
        <v>1.888580357475201E-4</v>
      </c>
    </row>
    <row r="258" spans="15:20" x14ac:dyDescent="0.25">
      <c r="O258">
        <v>257</v>
      </c>
      <c r="P258">
        <v>2.725329620177986E-2</v>
      </c>
      <c r="Q258">
        <v>1.983009375348959E-4</v>
      </c>
      <c r="R258">
        <v>257</v>
      </c>
      <c r="S258">
        <v>5.6827371911909686E-3</v>
      </c>
      <c r="T258">
        <v>1.9830093753489612E-4</v>
      </c>
    </row>
    <row r="259" spans="15:20" x14ac:dyDescent="0.25">
      <c r="O259">
        <v>258</v>
      </c>
      <c r="P259">
        <v>2.7242438578961806E-2</v>
      </c>
      <c r="Q259">
        <v>2.082159844116407E-4</v>
      </c>
      <c r="R259">
        <v>258</v>
      </c>
      <c r="S259">
        <v>5.6771347597920508E-3</v>
      </c>
      <c r="T259">
        <v>2.0821598441164095E-4</v>
      </c>
    </row>
    <row r="260" spans="15:20" x14ac:dyDescent="0.25">
      <c r="O260">
        <v>259</v>
      </c>
      <c r="P260">
        <v>2.7230479291677094E-2</v>
      </c>
      <c r="Q260">
        <v>2.1862678363222275E-4</v>
      </c>
      <c r="R260">
        <v>259</v>
      </c>
      <c r="S260">
        <v>5.6724365401577687E-3</v>
      </c>
      <c r="T260">
        <v>2.18626783632223E-4</v>
      </c>
    </row>
    <row r="261" spans="15:20" x14ac:dyDescent="0.25">
      <c r="O261">
        <v>260</v>
      </c>
      <c r="P261">
        <v>2.721922474929046E-2</v>
      </c>
      <c r="Q261">
        <v>2.295581228138339E-4</v>
      </c>
      <c r="R261">
        <v>260</v>
      </c>
      <c r="S261">
        <v>5.6687172737303979E-3</v>
      </c>
      <c r="T261">
        <v>2.2955812281383415E-4</v>
      </c>
    </row>
    <row r="262" spans="15:20" x14ac:dyDescent="0.25">
      <c r="O262">
        <v>261</v>
      </c>
      <c r="P262">
        <v>2.7207457502047439E-2</v>
      </c>
      <c r="Q262">
        <v>2.410360289545256E-4</v>
      </c>
      <c r="R262">
        <v>261</v>
      </c>
      <c r="S262">
        <v>5.6611428220111944E-3</v>
      </c>
      <c r="T262">
        <v>2.4103602895452587E-4</v>
      </c>
    </row>
    <row r="263" spans="15:20" x14ac:dyDescent="0.25">
      <c r="O263">
        <v>262</v>
      </c>
      <c r="P263">
        <v>2.7195798892219673E-2</v>
      </c>
      <c r="Q263">
        <v>2.5308783040225188E-4</v>
      </c>
      <c r="R263">
        <v>262</v>
      </c>
      <c r="S263">
        <v>5.6599024948287661E-3</v>
      </c>
      <c r="T263">
        <v>2.5308783040225215E-4</v>
      </c>
    </row>
    <row r="264" spans="15:20" x14ac:dyDescent="0.25">
      <c r="O264">
        <v>263</v>
      </c>
      <c r="P264">
        <v>2.7183316009178907E-2</v>
      </c>
      <c r="Q264">
        <v>2.6574222192236451E-4</v>
      </c>
      <c r="R264">
        <v>263</v>
      </c>
      <c r="S264">
        <v>5.649559179778019E-3</v>
      </c>
      <c r="T264">
        <v>2.6574222192236478E-4</v>
      </c>
    </row>
    <row r="265" spans="15:20" x14ac:dyDescent="0.25">
      <c r="O265">
        <v>264</v>
      </c>
      <c r="P265">
        <v>2.7170678043852814E-2</v>
      </c>
      <c r="Q265">
        <v>2.7902933301848277E-4</v>
      </c>
      <c r="R265">
        <v>264</v>
      </c>
      <c r="S265">
        <v>5.6471731971641454E-3</v>
      </c>
      <c r="T265">
        <v>2.7902933301848304E-4</v>
      </c>
    </row>
    <row r="266" spans="15:20" x14ac:dyDescent="0.25">
      <c r="O266">
        <v>265</v>
      </c>
      <c r="P266">
        <v>2.7156143067205998E-2</v>
      </c>
      <c r="Q266">
        <v>2.9298079966940695E-4</v>
      </c>
      <c r="R266">
        <v>265</v>
      </c>
      <c r="S266">
        <v>5.6371027848657398E-3</v>
      </c>
      <c r="T266">
        <v>2.9298079966940722E-4</v>
      </c>
    </row>
    <row r="267" spans="15:20" x14ac:dyDescent="0.25">
      <c r="O267">
        <v>266</v>
      </c>
      <c r="P267">
        <v>2.7141137549366506E-2</v>
      </c>
      <c r="Q267">
        <v>3.076298396528773E-4</v>
      </c>
      <c r="R267">
        <v>266</v>
      </c>
      <c r="S267">
        <v>5.6307176582505759E-3</v>
      </c>
      <c r="T267">
        <v>3.0762983965287757E-4</v>
      </c>
    </row>
    <row r="268" spans="15:20" x14ac:dyDescent="0.25">
      <c r="O268">
        <v>267</v>
      </c>
      <c r="P268">
        <v>2.7125312457824204E-2</v>
      </c>
      <c r="Q268">
        <v>3.2301133163552118E-4</v>
      </c>
      <c r="R268">
        <v>267</v>
      </c>
      <c r="S268">
        <v>5.6238456040035162E-3</v>
      </c>
      <c r="T268">
        <v>3.2301133163552145E-4</v>
      </c>
    </row>
    <row r="269" spans="15:20" x14ac:dyDescent="0.25">
      <c r="O269">
        <v>268</v>
      </c>
      <c r="P269">
        <v>2.7108123879741493E-2</v>
      </c>
      <c r="Q269">
        <v>3.3916189821729724E-4</v>
      </c>
      <c r="R269">
        <v>268</v>
      </c>
      <c r="S269">
        <v>5.6155575666790095E-3</v>
      </c>
      <c r="T269">
        <v>3.3916189821729757E-4</v>
      </c>
    </row>
    <row r="270" spans="15:20" x14ac:dyDescent="0.25">
      <c r="O270">
        <v>269</v>
      </c>
      <c r="P270">
        <v>2.7091622988150914E-2</v>
      </c>
      <c r="Q270">
        <v>3.5611999312816213E-4</v>
      </c>
      <c r="R270">
        <v>269</v>
      </c>
      <c r="S270">
        <v>5.6091230255790828E-3</v>
      </c>
      <c r="T270">
        <v>3.5611999312816245E-4</v>
      </c>
    </row>
    <row r="271" spans="15:20" x14ac:dyDescent="0.25">
      <c r="O271">
        <v>270</v>
      </c>
      <c r="P271">
        <v>2.7071648704283465E-2</v>
      </c>
      <c r="Q271">
        <v>3.7392599278457026E-4</v>
      </c>
      <c r="R271">
        <v>270</v>
      </c>
      <c r="S271">
        <v>5.6003387169667289E-3</v>
      </c>
      <c r="T271">
        <v>3.7392599278457059E-4</v>
      </c>
    </row>
    <row r="272" spans="15:20" x14ac:dyDescent="0.25">
      <c r="O272">
        <v>271</v>
      </c>
      <c r="P272">
        <v>2.7051405393952618E-2</v>
      </c>
      <c r="Q272">
        <v>3.9262229242379879E-4</v>
      </c>
      <c r="R272">
        <v>271</v>
      </c>
      <c r="S272">
        <v>5.5909965587469653E-3</v>
      </c>
      <c r="T272">
        <v>3.9262229242379912E-4</v>
      </c>
    </row>
    <row r="273" spans="15:20" x14ac:dyDescent="0.25">
      <c r="O273">
        <v>272</v>
      </c>
      <c r="P273">
        <v>2.7032024991674657E-2</v>
      </c>
      <c r="Q273">
        <v>4.1225340704498876E-4</v>
      </c>
      <c r="R273">
        <v>272</v>
      </c>
      <c r="S273">
        <v>5.5836974133601511E-3</v>
      </c>
      <c r="T273">
        <v>4.1225340704498909E-4</v>
      </c>
    </row>
    <row r="274" spans="15:20" x14ac:dyDescent="0.25">
      <c r="O274">
        <v>273</v>
      </c>
      <c r="P274">
        <v>2.7011954280654456E-2</v>
      </c>
      <c r="Q274">
        <v>4.3286607739723821E-4</v>
      </c>
      <c r="R274">
        <v>273</v>
      </c>
      <c r="S274">
        <v>5.5760650579174892E-3</v>
      </c>
      <c r="T274">
        <v>4.3286607739723859E-4</v>
      </c>
    </row>
    <row r="275" spans="15:20" x14ac:dyDescent="0.25">
      <c r="O275">
        <v>274</v>
      </c>
      <c r="P275">
        <v>2.6992032756594071E-2</v>
      </c>
      <c r="Q275">
        <v>4.5450938126710016E-4</v>
      </c>
      <c r="R275">
        <v>274</v>
      </c>
      <c r="S275">
        <v>5.5636788581510492E-3</v>
      </c>
      <c r="T275">
        <v>4.5450938126710054E-4</v>
      </c>
    </row>
    <row r="276" spans="15:20" x14ac:dyDescent="0.25">
      <c r="O276">
        <v>275</v>
      </c>
      <c r="P276">
        <v>2.6966964056361134E-2</v>
      </c>
      <c r="Q276">
        <v>4.7723485033045518E-4</v>
      </c>
      <c r="R276">
        <v>275</v>
      </c>
      <c r="S276">
        <v>5.5552389350816966E-3</v>
      </c>
      <c r="T276">
        <v>4.7723485033045556E-4</v>
      </c>
    </row>
    <row r="277" spans="15:20" x14ac:dyDescent="0.25">
      <c r="O277">
        <v>276</v>
      </c>
      <c r="P277">
        <v>2.6943111942004622E-2</v>
      </c>
      <c r="Q277">
        <v>5.0109659284697792E-4</v>
      </c>
      <c r="R277">
        <v>276</v>
      </c>
      <c r="S277">
        <v>5.5430214085152819E-3</v>
      </c>
      <c r="T277">
        <v>5.0109659284697835E-4</v>
      </c>
    </row>
    <row r="278" spans="15:20" x14ac:dyDescent="0.25">
      <c r="O278">
        <v>277</v>
      </c>
      <c r="P278">
        <v>2.6919853454282359E-2</v>
      </c>
      <c r="Q278">
        <v>5.2615142248932682E-4</v>
      </c>
      <c r="R278">
        <v>277</v>
      </c>
      <c r="S278">
        <v>5.5335079826389477E-3</v>
      </c>
      <c r="T278">
        <v>5.2615142248932725E-4</v>
      </c>
    </row>
    <row r="279" spans="15:20" x14ac:dyDescent="0.25">
      <c r="O279">
        <v>278</v>
      </c>
      <c r="P279">
        <v>2.6889475366703847E-2</v>
      </c>
      <c r="Q279">
        <v>5.5245899361379316E-4</v>
      </c>
      <c r="R279">
        <v>278</v>
      </c>
      <c r="S279">
        <v>5.5202820976773008E-3</v>
      </c>
      <c r="T279">
        <v>5.5245899361379359E-4</v>
      </c>
    </row>
    <row r="280" spans="15:20" x14ac:dyDescent="0.25">
      <c r="O280">
        <v>279</v>
      </c>
      <c r="P280">
        <v>2.6861466639471022E-2</v>
      </c>
      <c r="Q280">
        <v>5.8008194329448287E-4</v>
      </c>
      <c r="R280">
        <v>279</v>
      </c>
      <c r="S280">
        <v>5.5140996103002259E-3</v>
      </c>
      <c r="T280">
        <v>5.800819432944833E-4</v>
      </c>
    </row>
    <row r="281" spans="15:20" x14ac:dyDescent="0.25">
      <c r="O281">
        <v>280</v>
      </c>
      <c r="P281">
        <v>2.6840298623262406E-2</v>
      </c>
      <c r="Q281">
        <v>6.0908604045920706E-4</v>
      </c>
      <c r="R281">
        <v>280</v>
      </c>
      <c r="S281">
        <v>5.5064042794116469E-3</v>
      </c>
      <c r="T281">
        <v>6.0908604045920749E-4</v>
      </c>
    </row>
    <row r="282" spans="15:20" x14ac:dyDescent="0.25">
      <c r="O282">
        <v>281</v>
      </c>
      <c r="P282">
        <v>2.6804420780359613E-2</v>
      </c>
      <c r="Q282">
        <v>6.3954034248216748E-4</v>
      </c>
      <c r="R282">
        <v>281</v>
      </c>
      <c r="S282">
        <v>5.4833728925641929E-3</v>
      </c>
      <c r="T282">
        <v>6.3954034248216792E-4</v>
      </c>
    </row>
    <row r="283" spans="15:20" x14ac:dyDescent="0.25">
      <c r="O283">
        <v>282</v>
      </c>
      <c r="P283">
        <v>2.6774460821226777E-2</v>
      </c>
      <c r="Q283">
        <v>6.7151735960627591E-4</v>
      </c>
      <c r="R283">
        <v>282</v>
      </c>
      <c r="S283">
        <v>5.4722247879765654E-3</v>
      </c>
      <c r="T283">
        <v>6.7151735960627634E-4</v>
      </c>
    </row>
    <row r="284" spans="15:20" x14ac:dyDescent="0.25">
      <c r="O284">
        <v>283</v>
      </c>
      <c r="P284">
        <v>2.6738350909814607E-2</v>
      </c>
      <c r="Q284">
        <v>7.0509322758658972E-4</v>
      </c>
      <c r="R284">
        <v>283</v>
      </c>
      <c r="S284">
        <v>5.4586012637167138E-3</v>
      </c>
      <c r="T284">
        <v>7.0509322758659015E-4</v>
      </c>
    </row>
    <row r="285" spans="15:20" x14ac:dyDescent="0.25">
      <c r="O285">
        <v>284</v>
      </c>
      <c r="P285">
        <v>2.6701371105659375E-2</v>
      </c>
      <c r="Q285">
        <v>7.4034788896591925E-4</v>
      </c>
      <c r="R285">
        <v>284</v>
      </c>
      <c r="S285">
        <v>5.4421683319314084E-3</v>
      </c>
      <c r="T285">
        <v>7.4034788896591968E-4</v>
      </c>
    </row>
    <row r="286" spans="15:20" x14ac:dyDescent="0.25">
      <c r="O286">
        <v>285</v>
      </c>
      <c r="P286">
        <v>2.6667140076559816E-2</v>
      </c>
      <c r="Q286">
        <v>7.773652834142153E-4</v>
      </c>
      <c r="R286">
        <v>285</v>
      </c>
      <c r="S286">
        <v>5.4249192698751234E-3</v>
      </c>
      <c r="T286">
        <v>7.7736528341421573E-4</v>
      </c>
    </row>
    <row r="287" spans="15:20" x14ac:dyDescent="0.25">
      <c r="O287">
        <v>286</v>
      </c>
      <c r="P287">
        <v>2.6623836147160081E-2</v>
      </c>
      <c r="Q287">
        <v>8.1623354758492605E-4</v>
      </c>
      <c r="R287">
        <v>286</v>
      </c>
      <c r="S287">
        <v>5.411139967735846E-3</v>
      </c>
      <c r="T287">
        <v>8.162335475849266E-4</v>
      </c>
    </row>
    <row r="288" spans="15:20" x14ac:dyDescent="0.25">
      <c r="O288">
        <v>287</v>
      </c>
      <c r="P288">
        <v>2.6580029121868472E-2</v>
      </c>
      <c r="Q288">
        <v>8.5704522496417236E-4</v>
      </c>
      <c r="R288">
        <v>287</v>
      </c>
      <c r="S288">
        <v>5.3925061598591208E-3</v>
      </c>
      <c r="T288">
        <v>8.5704522496417301E-4</v>
      </c>
    </row>
    <row r="289" spans="15:20" x14ac:dyDescent="0.25">
      <c r="O289">
        <v>288</v>
      </c>
      <c r="P289">
        <v>2.6537824564175323E-2</v>
      </c>
      <c r="Q289">
        <v>8.9989748621238099E-4</v>
      </c>
      <c r="R289">
        <v>288</v>
      </c>
      <c r="S289">
        <v>5.3778425645489734E-3</v>
      </c>
      <c r="T289">
        <v>8.9989748621238175E-4</v>
      </c>
    </row>
    <row r="290" spans="15:20" x14ac:dyDescent="0.25">
      <c r="O290">
        <v>289</v>
      </c>
      <c r="P290">
        <v>2.6489144571878256E-2</v>
      </c>
      <c r="Q290">
        <v>9.4489236052300004E-4</v>
      </c>
      <c r="R290">
        <v>289</v>
      </c>
      <c r="S290">
        <v>5.3690841679039118E-3</v>
      </c>
      <c r="T290">
        <v>9.448923605230009E-4</v>
      </c>
    </row>
    <row r="291" spans="15:20" x14ac:dyDescent="0.25">
      <c r="O291">
        <v>290</v>
      </c>
      <c r="P291">
        <v>2.6441970124822915E-2</v>
      </c>
      <c r="Q291">
        <v>9.9213697854915015E-4</v>
      </c>
      <c r="R291">
        <v>290</v>
      </c>
      <c r="S291">
        <v>5.3391943813458969E-3</v>
      </c>
      <c r="T291">
        <v>9.9213697854915101E-4</v>
      </c>
    </row>
    <row r="292" spans="15:20" x14ac:dyDescent="0.25">
      <c r="O292">
        <v>291</v>
      </c>
      <c r="P292">
        <v>2.642693577246542E-2</v>
      </c>
      <c r="Q292">
        <v>1.0417438274766078E-3</v>
      </c>
      <c r="R292">
        <v>291</v>
      </c>
      <c r="S292">
        <v>5.3211216956708289E-3</v>
      </c>
      <c r="T292">
        <v>1.0417438274766086E-3</v>
      </c>
    </row>
    <row r="293" spans="15:20" x14ac:dyDescent="0.25">
      <c r="O293">
        <v>292</v>
      </c>
      <c r="P293">
        <v>2.6350139050132254E-2</v>
      </c>
      <c r="Q293">
        <v>1.0938310188504381E-3</v>
      </c>
      <c r="R293">
        <v>292</v>
      </c>
      <c r="S293">
        <v>5.2996007402242289E-3</v>
      </c>
      <c r="T293">
        <v>1.0938310188504392E-3</v>
      </c>
    </row>
    <row r="294" spans="15:20" x14ac:dyDescent="0.25">
      <c r="O294">
        <v>293</v>
      </c>
      <c r="P294">
        <v>2.6307875739906905E-2</v>
      </c>
      <c r="Q294">
        <v>1.1485225697929601E-3</v>
      </c>
      <c r="R294">
        <v>293</v>
      </c>
      <c r="S294">
        <v>5.278613981326858E-3</v>
      </c>
      <c r="T294">
        <v>1.1485225697929612E-3</v>
      </c>
    </row>
    <row r="295" spans="15:20" x14ac:dyDescent="0.25">
      <c r="O295">
        <v>294</v>
      </c>
      <c r="P295">
        <v>2.6274178453535534E-2</v>
      </c>
      <c r="Q295">
        <v>1.2059486982826083E-3</v>
      </c>
      <c r="R295">
        <v>294</v>
      </c>
      <c r="S295">
        <v>5.255993884775257E-3</v>
      </c>
      <c r="T295">
        <v>1.2059486982826093E-3</v>
      </c>
    </row>
    <row r="296" spans="15:20" x14ac:dyDescent="0.25">
      <c r="O296">
        <v>295</v>
      </c>
      <c r="P296">
        <v>2.6173874196002669E-2</v>
      </c>
      <c r="Q296">
        <v>1.2662461331967387E-3</v>
      </c>
      <c r="R296">
        <v>295</v>
      </c>
      <c r="S296">
        <v>5.2323661267676177E-3</v>
      </c>
      <c r="T296">
        <v>1.2662461331967398E-3</v>
      </c>
    </row>
    <row r="297" spans="15:20" x14ac:dyDescent="0.25">
      <c r="O297">
        <v>296</v>
      </c>
      <c r="P297">
        <v>2.6233309292184634E-2</v>
      </c>
      <c r="Q297">
        <v>1.3295584398565756E-3</v>
      </c>
      <c r="R297">
        <v>296</v>
      </c>
      <c r="S297">
        <v>5.2102782323384823E-3</v>
      </c>
      <c r="T297">
        <v>1.3295584398565769E-3</v>
      </c>
    </row>
    <row r="298" spans="15:20" x14ac:dyDescent="0.25">
      <c r="O298">
        <v>297</v>
      </c>
      <c r="P298">
        <v>2.6164248085107283E-2</v>
      </c>
      <c r="Q298">
        <v>1.3295584398565757E-4</v>
      </c>
      <c r="R298">
        <v>297</v>
      </c>
      <c r="S298">
        <v>5.1862346857799073E-3</v>
      </c>
      <c r="T298">
        <v>1.3960363618494059E-3</v>
      </c>
    </row>
    <row r="299" spans="15:20" x14ac:dyDescent="0.25">
      <c r="O299">
        <v>298</v>
      </c>
      <c r="P299">
        <v>2.6155578672234746E-2</v>
      </c>
      <c r="Q299">
        <v>1.3960363618494045E-4</v>
      </c>
      <c r="R299">
        <v>298</v>
      </c>
      <c r="S299">
        <v>5.159612533281269E-3</v>
      </c>
      <c r="T299">
        <v>1.4658381799418762E-3</v>
      </c>
    </row>
    <row r="300" spans="15:20" x14ac:dyDescent="0.25">
      <c r="O300">
        <v>299</v>
      </c>
      <c r="P300">
        <v>2.6147206304771069E-2</v>
      </c>
      <c r="Q300">
        <v>1.4658381799418748E-4</v>
      </c>
      <c r="R300">
        <v>299</v>
      </c>
      <c r="S300">
        <v>5.1319117243619388E-3</v>
      </c>
      <c r="T300">
        <v>1.53913008893897E-3</v>
      </c>
    </row>
    <row r="301" spans="15:20" x14ac:dyDescent="0.25">
      <c r="O301">
        <v>300</v>
      </c>
      <c r="P301">
        <v>2.6139387123680909E-2</v>
      </c>
      <c r="Q301">
        <v>1.5391300889389686E-4</v>
      </c>
      <c r="R301">
        <v>300</v>
      </c>
      <c r="S301">
        <v>5.1106934825369578E-3</v>
      </c>
      <c r="T301">
        <v>1.6160865933859186E-3</v>
      </c>
    </row>
    <row r="302" spans="15:20" x14ac:dyDescent="0.25">
      <c r="O302">
        <v>301</v>
      </c>
      <c r="P302">
        <v>2.6131329229347394E-2</v>
      </c>
      <c r="Q302">
        <v>1.6160865933859171E-4</v>
      </c>
      <c r="R302">
        <v>301</v>
      </c>
      <c r="S302">
        <v>5.0767717834027323E-3</v>
      </c>
      <c r="T302">
        <v>1.6968909230552147E-3</v>
      </c>
    </row>
    <row r="303" spans="15:20" x14ac:dyDescent="0.25">
      <c r="O303">
        <v>302</v>
      </c>
      <c r="P303">
        <v>2.6123542816571626E-2</v>
      </c>
      <c r="Q303">
        <v>1.6968909230552132E-4</v>
      </c>
      <c r="R303">
        <v>302</v>
      </c>
      <c r="S303">
        <v>5.0478398632130455E-3</v>
      </c>
      <c r="T303">
        <v>1.7817354692079754E-3</v>
      </c>
    </row>
    <row r="304" spans="15:20" x14ac:dyDescent="0.25">
      <c r="O304">
        <v>303</v>
      </c>
      <c r="P304">
        <v>2.6114945120207865E-2</v>
      </c>
      <c r="Q304">
        <v>1.7817354692079739E-4</v>
      </c>
      <c r="R304">
        <v>303</v>
      </c>
      <c r="S304">
        <v>5.0459214524123915E-3</v>
      </c>
      <c r="T304">
        <v>1.8708222426683742E-3</v>
      </c>
    </row>
    <row r="305" spans="15:20" x14ac:dyDescent="0.25">
      <c r="O305">
        <v>304</v>
      </c>
      <c r="P305">
        <v>2.6105737475411606E-2</v>
      </c>
      <c r="Q305">
        <v>1.8708222426683726E-4</v>
      </c>
      <c r="R305">
        <v>304</v>
      </c>
      <c r="S305">
        <v>5.010997068044535E-3</v>
      </c>
      <c r="T305">
        <v>1.9643633548017928E-3</v>
      </c>
    </row>
    <row r="306" spans="15:20" x14ac:dyDescent="0.25">
      <c r="O306">
        <v>305</v>
      </c>
      <c r="P306">
        <v>2.60961525300323E-2</v>
      </c>
      <c r="Q306">
        <v>1.9643633548017912E-4</v>
      </c>
      <c r="R306">
        <v>305</v>
      </c>
      <c r="S306">
        <v>5.0052803568949224E-3</v>
      </c>
      <c r="T306">
        <v>2.0625815225418826E-3</v>
      </c>
    </row>
    <row r="307" spans="15:20" x14ac:dyDescent="0.25">
      <c r="O307">
        <v>306</v>
      </c>
      <c r="P307">
        <v>2.6085521116962891E-2</v>
      </c>
      <c r="Q307">
        <v>2.0625815225418809E-4</v>
      </c>
      <c r="R307">
        <v>306</v>
      </c>
      <c r="S307">
        <v>4.9423081194168925E-3</v>
      </c>
      <c r="T307">
        <v>2.1657105986689767E-3</v>
      </c>
    </row>
    <row r="308" spans="15:20" x14ac:dyDescent="0.25">
      <c r="O308">
        <v>307</v>
      </c>
      <c r="P308">
        <v>2.607410118289713E-2</v>
      </c>
      <c r="Q308">
        <v>2.165710598668975E-4</v>
      </c>
      <c r="R308">
        <v>307</v>
      </c>
      <c r="S308">
        <v>4.8874791803703204E-3</v>
      </c>
      <c r="T308">
        <v>2.2739961286024255E-3</v>
      </c>
    </row>
    <row r="309" spans="15:20" x14ac:dyDescent="0.25">
      <c r="O309">
        <v>308</v>
      </c>
      <c r="P309">
        <v>2.6063676603250728E-2</v>
      </c>
      <c r="Q309">
        <v>2.2739961286024238E-4</v>
      </c>
      <c r="R309">
        <v>308</v>
      </c>
      <c r="S309">
        <v>4.884221034084384E-3</v>
      </c>
      <c r="T309">
        <v>2.3876959350325471E-3</v>
      </c>
    </row>
    <row r="310" spans="15:20" x14ac:dyDescent="0.25">
      <c r="O310">
        <v>309</v>
      </c>
      <c r="P310">
        <v>2.6051510504470153E-2</v>
      </c>
      <c r="Q310">
        <v>2.3876959350325452E-4</v>
      </c>
      <c r="R310">
        <v>309</v>
      </c>
      <c r="S310">
        <v>4.9016968086480518E-3</v>
      </c>
      <c r="T310">
        <v>2.5070807317841746E-3</v>
      </c>
    </row>
    <row r="311" spans="15:20" x14ac:dyDescent="0.25">
      <c r="O311">
        <v>310</v>
      </c>
      <c r="P311">
        <v>2.6039824547417618E-2</v>
      </c>
      <c r="Q311">
        <v>2.5070807317841725E-4</v>
      </c>
      <c r="R311">
        <v>310</v>
      </c>
      <c r="S311">
        <v>4.8478261872953506E-3</v>
      </c>
      <c r="T311">
        <v>2.5070807317841747E-4</v>
      </c>
    </row>
    <row r="312" spans="15:20" x14ac:dyDescent="0.25">
      <c r="O312">
        <v>311</v>
      </c>
      <c r="P312">
        <v>2.602841045879618E-2</v>
      </c>
      <c r="Q312">
        <v>2.6324347683733814E-4</v>
      </c>
      <c r="R312">
        <v>311</v>
      </c>
      <c r="S312">
        <v>4.844233189297051E-3</v>
      </c>
      <c r="T312">
        <v>2.6324347683733836E-4</v>
      </c>
    </row>
    <row r="313" spans="15:20" x14ac:dyDescent="0.25">
      <c r="O313">
        <v>312</v>
      </c>
      <c r="P313">
        <v>2.6014608296295094E-2</v>
      </c>
      <c r="Q313">
        <v>2.7640565067920504E-4</v>
      </c>
      <c r="R313">
        <v>312</v>
      </c>
      <c r="S313">
        <v>4.8366570609670633E-3</v>
      </c>
      <c r="T313">
        <v>2.7640565067920531E-4</v>
      </c>
    </row>
    <row r="314" spans="15:20" x14ac:dyDescent="0.25">
      <c r="O314">
        <v>313</v>
      </c>
      <c r="P314">
        <v>2.600007701711507E-2</v>
      </c>
      <c r="Q314">
        <v>2.9022593321316529E-4</v>
      </c>
      <c r="R314">
        <v>313</v>
      </c>
      <c r="S314">
        <v>4.8321928591430266E-3</v>
      </c>
      <c r="T314">
        <v>2.9022593321316556E-4</v>
      </c>
    </row>
    <row r="315" spans="15:20" x14ac:dyDescent="0.25">
      <c r="O315">
        <v>314</v>
      </c>
      <c r="P315">
        <v>2.5984832222355293E-2</v>
      </c>
      <c r="Q315">
        <v>3.0473722987382356E-4</v>
      </c>
      <c r="R315">
        <v>314</v>
      </c>
      <c r="S315">
        <v>4.8268803340035128E-3</v>
      </c>
      <c r="T315">
        <v>3.0473722987382388E-4</v>
      </c>
    </row>
    <row r="316" spans="15:20" x14ac:dyDescent="0.25">
      <c r="O316">
        <v>315</v>
      </c>
      <c r="P316">
        <v>2.5968371551772985E-2</v>
      </c>
      <c r="Q316">
        <v>3.1997409136751473E-4</v>
      </c>
      <c r="R316">
        <v>315</v>
      </c>
      <c r="S316">
        <v>4.824032466901754E-3</v>
      </c>
      <c r="T316">
        <v>3.1997409136751511E-4</v>
      </c>
    </row>
    <row r="317" spans="15:20" x14ac:dyDescent="0.25">
      <c r="O317">
        <v>316</v>
      </c>
      <c r="P317">
        <v>2.595110571544797E-2</v>
      </c>
      <c r="Q317">
        <v>3.3597279593589047E-4</v>
      </c>
      <c r="R317">
        <v>316</v>
      </c>
      <c r="S317">
        <v>4.8166445944416774E-3</v>
      </c>
      <c r="T317">
        <v>3.359727959358909E-4</v>
      </c>
    </row>
    <row r="318" spans="15:20" x14ac:dyDescent="0.25">
      <c r="O318">
        <v>317</v>
      </c>
      <c r="P318">
        <v>2.5936198299880066E-2</v>
      </c>
      <c r="Q318">
        <v>3.52771435732685E-4</v>
      </c>
      <c r="R318">
        <v>317</v>
      </c>
      <c r="S318">
        <v>4.8131357126854025E-3</v>
      </c>
      <c r="T318">
        <v>3.5277143573268543E-4</v>
      </c>
    </row>
    <row r="319" spans="15:20" x14ac:dyDescent="0.25">
      <c r="O319">
        <v>318</v>
      </c>
      <c r="P319">
        <v>2.5920504950747283E-2</v>
      </c>
      <c r="Q319">
        <v>3.7041000751931926E-4</v>
      </c>
      <c r="R319">
        <v>318</v>
      </c>
      <c r="S319">
        <v>4.8060347028990756E-3</v>
      </c>
      <c r="T319">
        <v>3.7041000751931975E-4</v>
      </c>
    </row>
    <row r="320" spans="15:20" x14ac:dyDescent="0.25">
      <c r="O320">
        <v>319</v>
      </c>
      <c r="P320">
        <v>2.5903243935435593E-2</v>
      </c>
      <c r="Q320">
        <v>3.8893050789528524E-4</v>
      </c>
      <c r="R320">
        <v>319</v>
      </c>
      <c r="S320">
        <v>4.8001752097007293E-3</v>
      </c>
      <c r="T320">
        <v>3.8893050789528573E-4</v>
      </c>
    </row>
    <row r="321" spans="15:20" x14ac:dyDescent="0.25">
      <c r="O321">
        <v>320</v>
      </c>
      <c r="P321">
        <v>2.5884582366786733E-2</v>
      </c>
      <c r="Q321">
        <v>4.0837703329004951E-4</v>
      </c>
      <c r="R321">
        <v>320</v>
      </c>
      <c r="S321">
        <v>4.795212651008361E-3</v>
      </c>
      <c r="T321">
        <v>4.0837703329005005E-4</v>
      </c>
    </row>
    <row r="322" spans="15:20" x14ac:dyDescent="0.25">
      <c r="O322">
        <v>321</v>
      </c>
      <c r="P322">
        <v>2.5870228898389344E-2</v>
      </c>
      <c r="Q322">
        <v>4.2879588495455201E-4</v>
      </c>
      <c r="R322">
        <v>321</v>
      </c>
      <c r="S322">
        <v>4.7876770284171919E-3</v>
      </c>
      <c r="T322">
        <v>4.2879588495455255E-4</v>
      </c>
    </row>
    <row r="323" spans="15:20" x14ac:dyDescent="0.25">
      <c r="O323">
        <v>322</v>
      </c>
      <c r="P323">
        <v>2.5846727671068975E-2</v>
      </c>
      <c r="Q323">
        <v>4.5023567920227965E-4</v>
      </c>
      <c r="R323">
        <v>322</v>
      </c>
      <c r="S323">
        <v>4.7811283814031026E-3</v>
      </c>
      <c r="T323">
        <v>4.5023567920228019E-4</v>
      </c>
    </row>
    <row r="324" spans="15:20" x14ac:dyDescent="0.25">
      <c r="O324">
        <v>323</v>
      </c>
      <c r="P324">
        <v>2.5826065581922197E-2</v>
      </c>
      <c r="Q324">
        <v>4.7274746316239367E-4</v>
      </c>
      <c r="R324">
        <v>323</v>
      </c>
      <c r="S324">
        <v>4.7743683995912717E-3</v>
      </c>
      <c r="T324">
        <v>4.7274746316239421E-4</v>
      </c>
    </row>
    <row r="325" spans="15:20" x14ac:dyDescent="0.25">
      <c r="O325">
        <v>324</v>
      </c>
      <c r="P325">
        <v>2.580383604463881E-2</v>
      </c>
      <c r="Q325">
        <v>4.9638483632051338E-4</v>
      </c>
      <c r="R325">
        <v>324</v>
      </c>
      <c r="S325">
        <v>4.7676913351836579E-3</v>
      </c>
      <c r="T325">
        <v>4.9638483632051392E-4</v>
      </c>
    </row>
    <row r="326" spans="15:20" x14ac:dyDescent="0.25">
      <c r="O326">
        <v>325</v>
      </c>
      <c r="P326">
        <v>2.5784152613018679E-2</v>
      </c>
      <c r="Q326">
        <v>5.2120407813653906E-4</v>
      </c>
      <c r="R326">
        <v>325</v>
      </c>
      <c r="S326">
        <v>4.7591641390891757E-3</v>
      </c>
      <c r="T326">
        <v>5.212040781365396E-4</v>
      </c>
    </row>
    <row r="327" spans="15:20" x14ac:dyDescent="0.25">
      <c r="O327">
        <v>326</v>
      </c>
      <c r="P327">
        <v>2.5757429646761327E-2</v>
      </c>
      <c r="Q327">
        <v>5.4726428204336609E-4</v>
      </c>
      <c r="R327">
        <v>326</v>
      </c>
      <c r="S327">
        <v>4.7535921407700641E-3</v>
      </c>
      <c r="T327">
        <v>5.4726428204336663E-4</v>
      </c>
    </row>
    <row r="328" spans="15:20" x14ac:dyDescent="0.25">
      <c r="O328">
        <v>327</v>
      </c>
      <c r="P328">
        <v>2.5733020953456528E-2</v>
      </c>
      <c r="Q328">
        <v>5.7462749614553446E-4</v>
      </c>
      <c r="R328">
        <v>327</v>
      </c>
      <c r="S328">
        <v>4.7400835587707831E-3</v>
      </c>
      <c r="T328">
        <v>5.74627496145535E-4</v>
      </c>
    </row>
    <row r="329" spans="15:20" x14ac:dyDescent="0.25">
      <c r="O329">
        <v>328</v>
      </c>
      <c r="P329">
        <v>2.5703924434234381E-2</v>
      </c>
      <c r="Q329">
        <v>6.0335887095281119E-4</v>
      </c>
      <c r="R329">
        <v>328</v>
      </c>
      <c r="S329">
        <v>4.7311300379135925E-3</v>
      </c>
      <c r="T329">
        <v>6.0335887095281174E-4</v>
      </c>
    </row>
    <row r="330" spans="15:20" x14ac:dyDescent="0.25">
      <c r="O330">
        <v>329</v>
      </c>
      <c r="P330">
        <v>2.5678423343805209E-2</v>
      </c>
      <c r="Q330">
        <v>6.3352681450045182E-4</v>
      </c>
      <c r="R330">
        <v>329</v>
      </c>
      <c r="S330">
        <v>4.7229378571037031E-3</v>
      </c>
      <c r="T330">
        <v>6.3352681450045236E-4</v>
      </c>
    </row>
    <row r="331" spans="15:20" x14ac:dyDescent="0.25">
      <c r="O331">
        <v>330</v>
      </c>
      <c r="P331">
        <v>2.5641179484563108E-2</v>
      </c>
      <c r="Q331">
        <v>6.6520315522547446E-4</v>
      </c>
      <c r="R331">
        <v>330</v>
      </c>
      <c r="S331">
        <v>4.7137240013274163E-3</v>
      </c>
      <c r="T331">
        <v>6.65203155225475E-4</v>
      </c>
    </row>
    <row r="332" spans="15:20" x14ac:dyDescent="0.25">
      <c r="O332">
        <v>331</v>
      </c>
      <c r="P332">
        <v>2.5607771365548235E-2</v>
      </c>
      <c r="Q332">
        <v>6.9846331298674825E-4</v>
      </c>
      <c r="R332">
        <v>331</v>
      </c>
      <c r="S332">
        <v>4.6998140996985125E-3</v>
      </c>
      <c r="T332">
        <v>6.9846331298674879E-4</v>
      </c>
    </row>
    <row r="333" spans="15:20" x14ac:dyDescent="0.25">
      <c r="O333">
        <v>332</v>
      </c>
      <c r="P333">
        <v>2.5590641928752371E-2</v>
      </c>
      <c r="Q333">
        <v>7.3338647863608567E-4</v>
      </c>
      <c r="R333">
        <v>332</v>
      </c>
      <c r="S333">
        <v>4.6886701626134659E-3</v>
      </c>
      <c r="T333">
        <v>7.3338647863608621E-4</v>
      </c>
    </row>
    <row r="334" spans="15:20" x14ac:dyDescent="0.25">
      <c r="O334">
        <v>333</v>
      </c>
      <c r="P334">
        <v>2.5543508515927103E-2</v>
      </c>
      <c r="Q334">
        <v>7.7005580256789003E-4</v>
      </c>
      <c r="R334">
        <v>333</v>
      </c>
      <c r="S334">
        <v>4.6812255786021573E-3</v>
      </c>
      <c r="T334">
        <v>7.7005580256789058E-4</v>
      </c>
    </row>
    <row r="335" spans="15:20" x14ac:dyDescent="0.25">
      <c r="O335">
        <v>334</v>
      </c>
      <c r="P335">
        <v>2.5502663640239811E-2</v>
      </c>
      <c r="Q335">
        <v>8.0855859269628454E-4</v>
      </c>
      <c r="R335">
        <v>334</v>
      </c>
      <c r="S335">
        <v>4.6663216797611894E-3</v>
      </c>
      <c r="T335">
        <v>8.0855859269628519E-4</v>
      </c>
    </row>
    <row r="336" spans="15:20" x14ac:dyDescent="0.25">
      <c r="O336">
        <v>335</v>
      </c>
      <c r="P336">
        <v>2.546407826205228E-2</v>
      </c>
      <c r="Q336">
        <v>8.4898652233109876E-4</v>
      </c>
      <c r="R336">
        <v>335</v>
      </c>
      <c r="S336">
        <v>4.6521193824535963E-3</v>
      </c>
      <c r="T336">
        <v>8.4898652233109952E-4</v>
      </c>
    </row>
    <row r="337" spans="15:20" x14ac:dyDescent="0.25">
      <c r="O337">
        <v>336</v>
      </c>
      <c r="P337">
        <v>2.5441398456780333E-2</v>
      </c>
      <c r="Q337">
        <v>8.9143584844765371E-4</v>
      </c>
      <c r="R337">
        <v>336</v>
      </c>
      <c r="S337">
        <v>4.6378259519728173E-3</v>
      </c>
      <c r="T337">
        <v>8.9143584844765457E-4</v>
      </c>
    </row>
    <row r="338" spans="15:20" x14ac:dyDescent="0.25">
      <c r="O338">
        <v>337</v>
      </c>
      <c r="P338">
        <v>2.5381855932151167E-2</v>
      </c>
      <c r="Q338">
        <v>9.3600764087003639E-4</v>
      </c>
      <c r="R338">
        <v>337</v>
      </c>
      <c r="S338">
        <v>4.6269049071516431E-3</v>
      </c>
      <c r="T338">
        <v>9.3600764087003736E-4</v>
      </c>
    </row>
    <row r="339" spans="15:20" x14ac:dyDescent="0.25">
      <c r="O339">
        <v>338</v>
      </c>
      <c r="P339">
        <v>2.5336164644672584E-2</v>
      </c>
      <c r="Q339">
        <v>9.828080229135382E-4</v>
      </c>
      <c r="R339">
        <v>338</v>
      </c>
      <c r="S339">
        <v>4.6069952407620119E-3</v>
      </c>
      <c r="T339">
        <v>9.8280802291353928E-4</v>
      </c>
    </row>
    <row r="340" spans="15:20" x14ac:dyDescent="0.25">
      <c r="O340">
        <v>339</v>
      </c>
      <c r="P340">
        <v>2.5293566292761027E-2</v>
      </c>
      <c r="Q340">
        <v>1.0319484240592152E-3</v>
      </c>
      <c r="R340">
        <v>339</v>
      </c>
      <c r="S340">
        <v>4.591315807719972E-3</v>
      </c>
      <c r="T340">
        <v>1.0319484240592163E-3</v>
      </c>
    </row>
    <row r="341" spans="15:20" x14ac:dyDescent="0.25">
      <c r="O341">
        <v>340</v>
      </c>
      <c r="P341">
        <v>2.52438129771194E-2</v>
      </c>
      <c r="Q341">
        <v>1.083545845262176E-3</v>
      </c>
      <c r="R341">
        <v>340</v>
      </c>
      <c r="S341">
        <v>4.5767511750305469E-3</v>
      </c>
      <c r="T341">
        <v>1.0835458452621771E-3</v>
      </c>
    </row>
    <row r="342" spans="15:20" x14ac:dyDescent="0.25">
      <c r="O342">
        <v>341</v>
      </c>
      <c r="P342">
        <v>2.5220914487086039E-2</v>
      </c>
      <c r="Q342">
        <v>1.1377231375252848E-3</v>
      </c>
      <c r="R342">
        <v>341</v>
      </c>
      <c r="S342">
        <v>4.569473993071135E-3</v>
      </c>
      <c r="T342">
        <v>1.1377231375252861E-3</v>
      </c>
    </row>
    <row r="343" spans="15:20" x14ac:dyDescent="0.25">
      <c r="O343">
        <v>342</v>
      </c>
      <c r="P343">
        <v>2.5142312079604028E-2</v>
      </c>
      <c r="Q343">
        <v>1.1946092944015491E-3</v>
      </c>
      <c r="R343">
        <v>342</v>
      </c>
      <c r="S343">
        <v>4.5643246572683862E-3</v>
      </c>
      <c r="T343">
        <v>1.1946092944015504E-3</v>
      </c>
    </row>
    <row r="344" spans="15:20" x14ac:dyDescent="0.25">
      <c r="O344">
        <v>343</v>
      </c>
      <c r="P344">
        <v>2.5101056465700405E-2</v>
      </c>
      <c r="Q344">
        <v>1.2543397591216266E-3</v>
      </c>
      <c r="R344">
        <v>343</v>
      </c>
      <c r="S344">
        <v>4.5531337732705917E-3</v>
      </c>
      <c r="T344">
        <v>1.2543397591216279E-3</v>
      </c>
    </row>
    <row r="345" spans="15:20" x14ac:dyDescent="0.25">
      <c r="O345">
        <v>344</v>
      </c>
      <c r="P345">
        <v>2.5009920410312459E-2</v>
      </c>
      <c r="Q345">
        <v>1.3170567470777079E-3</v>
      </c>
      <c r="R345">
        <v>344</v>
      </c>
      <c r="S345">
        <v>4.5373334685386985E-3</v>
      </c>
      <c r="T345">
        <v>1.3170567470777094E-3</v>
      </c>
    </row>
    <row r="346" spans="15:20" x14ac:dyDescent="0.25">
      <c r="O346">
        <v>345</v>
      </c>
      <c r="P346">
        <v>2.4942611201921306E-2</v>
      </c>
      <c r="Q346">
        <v>1.3829095844315933E-3</v>
      </c>
      <c r="R346">
        <v>345</v>
      </c>
      <c r="S346">
        <v>4.5126224081232695E-3</v>
      </c>
      <c r="T346">
        <v>1.382909584431595E-3</v>
      </c>
    </row>
    <row r="347" spans="15:20" x14ac:dyDescent="0.25">
      <c r="O347">
        <v>346</v>
      </c>
      <c r="P347">
        <v>2.4874653847960383E-2</v>
      </c>
      <c r="Q347">
        <v>1.4520550636531731E-3</v>
      </c>
      <c r="R347">
        <v>346</v>
      </c>
      <c r="S347">
        <v>4.4805752903370501E-3</v>
      </c>
      <c r="T347">
        <v>1.4520550636531748E-3</v>
      </c>
    </row>
    <row r="348" spans="15:20" x14ac:dyDescent="0.25">
      <c r="O348">
        <v>347</v>
      </c>
      <c r="P348">
        <v>2.4802570723429E-2</v>
      </c>
      <c r="Q348">
        <v>1.5246578168358318E-3</v>
      </c>
      <c r="R348">
        <v>347</v>
      </c>
      <c r="S348">
        <v>4.4489585448266858E-3</v>
      </c>
      <c r="T348">
        <v>1.5246578168358336E-3</v>
      </c>
    </row>
    <row r="349" spans="15:20" x14ac:dyDescent="0.25">
      <c r="O349">
        <v>348</v>
      </c>
      <c r="P349">
        <v>2.4734579669484679E-2</v>
      </c>
      <c r="Q349">
        <v>1.6008907076776235E-3</v>
      </c>
      <c r="R349">
        <v>348</v>
      </c>
      <c r="S349">
        <v>4.4293514652869676E-3</v>
      </c>
      <c r="T349">
        <v>1.6008907076776253E-3</v>
      </c>
    </row>
    <row r="350" spans="15:20" x14ac:dyDescent="0.25">
      <c r="O350">
        <v>349</v>
      </c>
      <c r="P350">
        <v>2.4672935858776439E-2</v>
      </c>
      <c r="Q350">
        <v>1.6809352430615047E-3</v>
      </c>
      <c r="R350">
        <v>349</v>
      </c>
      <c r="S350">
        <v>4.4078092055916448E-3</v>
      </c>
      <c r="T350">
        <v>1.6809352430615066E-3</v>
      </c>
    </row>
    <row r="351" spans="15:20" x14ac:dyDescent="0.25">
      <c r="O351">
        <v>350</v>
      </c>
      <c r="P351">
        <v>2.4746718418528914E-2</v>
      </c>
      <c r="Q351">
        <v>1.7649820052145801E-3</v>
      </c>
      <c r="R351">
        <v>350</v>
      </c>
      <c r="S351">
        <v>4.3995843665218613E-3</v>
      </c>
      <c r="T351">
        <v>1.764982005214582E-3</v>
      </c>
    </row>
    <row r="352" spans="15:20" x14ac:dyDescent="0.25">
      <c r="O352">
        <v>351</v>
      </c>
      <c r="P352">
        <v>2.4661139077733134E-2</v>
      </c>
      <c r="Q352">
        <v>1.7649820052145803E-4</v>
      </c>
      <c r="R352">
        <v>351</v>
      </c>
      <c r="S352">
        <v>4.3637859163962889E-3</v>
      </c>
      <c r="T352">
        <v>1.8532311054753113E-3</v>
      </c>
    </row>
    <row r="353" spans="15:20" x14ac:dyDescent="0.25">
      <c r="O353">
        <v>352</v>
      </c>
      <c r="P353">
        <v>2.4649635701611477E-2</v>
      </c>
      <c r="Q353">
        <v>1.8532311054753094E-4</v>
      </c>
      <c r="R353">
        <v>352</v>
      </c>
      <c r="S353">
        <v>4.3497285532540795E-3</v>
      </c>
      <c r="T353">
        <v>1.945892660749077E-3</v>
      </c>
    </row>
    <row r="354" spans="15:20" x14ac:dyDescent="0.25">
      <c r="O354">
        <v>353</v>
      </c>
      <c r="P354">
        <v>2.4639501883790424E-2</v>
      </c>
      <c r="Q354">
        <v>1.945892660749075E-4</v>
      </c>
      <c r="R354">
        <v>353</v>
      </c>
      <c r="S354">
        <v>4.3202470726595235E-3</v>
      </c>
      <c r="T354">
        <v>2.0431872937865308E-3</v>
      </c>
    </row>
    <row r="355" spans="15:20" x14ac:dyDescent="0.25">
      <c r="O355">
        <v>354</v>
      </c>
      <c r="P355">
        <v>2.4630082498873187E-2</v>
      </c>
      <c r="Q355">
        <v>2.0431872937865287E-4</v>
      </c>
      <c r="R355">
        <v>354</v>
      </c>
      <c r="S355">
        <v>4.3007444620863497E-3</v>
      </c>
      <c r="T355">
        <v>2.1453466584758574E-3</v>
      </c>
    </row>
    <row r="356" spans="15:20" x14ac:dyDescent="0.25">
      <c r="O356">
        <v>355</v>
      </c>
      <c r="P356">
        <v>2.4620462234339779E-2</v>
      </c>
      <c r="Q356">
        <v>2.1453466584758551E-4</v>
      </c>
      <c r="R356">
        <v>355</v>
      </c>
      <c r="S356">
        <v>4.2773767966238496E-3</v>
      </c>
      <c r="T356">
        <v>2.2526139913996504E-3</v>
      </c>
    </row>
    <row r="357" spans="15:20" x14ac:dyDescent="0.25">
      <c r="O357">
        <v>356</v>
      </c>
      <c r="P357">
        <v>2.4610686546872828E-2</v>
      </c>
      <c r="Q357">
        <v>2.252613991399648E-4</v>
      </c>
      <c r="R357">
        <v>356</v>
      </c>
      <c r="S357">
        <v>4.2693225276903739E-3</v>
      </c>
      <c r="T357">
        <v>2.3652446909696329E-3</v>
      </c>
    </row>
    <row r="358" spans="15:20" x14ac:dyDescent="0.25">
      <c r="O358">
        <v>357</v>
      </c>
      <c r="P358">
        <v>2.459964977556808E-2</v>
      </c>
      <c r="Q358">
        <v>2.3652446909696304E-4</v>
      </c>
      <c r="R358">
        <v>357</v>
      </c>
      <c r="S358">
        <v>4.2068828637205173E-3</v>
      </c>
      <c r="T358">
        <v>2.4835069255181147E-3</v>
      </c>
    </row>
    <row r="359" spans="15:20" x14ac:dyDescent="0.25">
      <c r="O359">
        <v>358</v>
      </c>
      <c r="P359">
        <v>2.4587981619478852E-2</v>
      </c>
      <c r="Q359">
        <v>2.4835069255181119E-4</v>
      </c>
      <c r="R359">
        <v>358</v>
      </c>
      <c r="S359">
        <v>4.1877867583307599E-3</v>
      </c>
      <c r="T359">
        <v>2.6076822717940205E-3</v>
      </c>
    </row>
    <row r="360" spans="15:20" x14ac:dyDescent="0.25">
      <c r="O360">
        <v>359</v>
      </c>
      <c r="P360">
        <v>2.4575767095085219E-2</v>
      </c>
      <c r="Q360">
        <v>2.6076822717940179E-4</v>
      </c>
      <c r="R360">
        <v>359</v>
      </c>
      <c r="S360">
        <v>4.1664200738115087E-3</v>
      </c>
      <c r="T360">
        <v>2.7380663853837218E-3</v>
      </c>
    </row>
    <row r="361" spans="15:20" x14ac:dyDescent="0.25">
      <c r="O361">
        <v>360</v>
      </c>
      <c r="P361">
        <v>2.4562716407994008E-2</v>
      </c>
      <c r="Q361">
        <v>2.7380663853837189E-4</v>
      </c>
      <c r="R361">
        <v>360</v>
      </c>
      <c r="S361">
        <v>4.1159107009225634E-3</v>
      </c>
      <c r="T361">
        <v>2.8749697046529079E-3</v>
      </c>
    </row>
    <row r="362" spans="15:20" x14ac:dyDescent="0.25">
      <c r="O362">
        <v>361</v>
      </c>
      <c r="P362">
        <v>2.4549252181720455E-2</v>
      </c>
      <c r="Q362">
        <v>2.8749697046529047E-4</v>
      </c>
      <c r="R362">
        <v>361</v>
      </c>
      <c r="S362">
        <v>4.0995962486224157E-3</v>
      </c>
      <c r="T362">
        <v>3.0187181898855536E-3</v>
      </c>
    </row>
    <row r="363" spans="15:20" x14ac:dyDescent="0.25">
      <c r="O363">
        <v>362</v>
      </c>
      <c r="P363">
        <v>2.4535490629573366E-2</v>
      </c>
      <c r="Q363">
        <v>3.0187181898855503E-4</v>
      </c>
      <c r="R363">
        <v>362</v>
      </c>
      <c r="S363">
        <v>4.0867891989458879E-3</v>
      </c>
      <c r="T363">
        <v>3.1696540993798312E-3</v>
      </c>
    </row>
    <row r="364" spans="15:20" x14ac:dyDescent="0.25">
      <c r="O364">
        <v>363</v>
      </c>
      <c r="P364">
        <v>2.4520938737642148E-2</v>
      </c>
      <c r="Q364">
        <v>3.1696540993798281E-4</v>
      </c>
      <c r="R364">
        <v>363</v>
      </c>
      <c r="S364">
        <v>4.0123584112856684E-3</v>
      </c>
      <c r="T364">
        <v>3.328136804348823E-3</v>
      </c>
    </row>
    <row r="365" spans="15:20" x14ac:dyDescent="0.25">
      <c r="O365">
        <v>364</v>
      </c>
      <c r="P365">
        <v>2.4505310018995419E-2</v>
      </c>
      <c r="Q365">
        <v>3.3281368043488194E-4</v>
      </c>
      <c r="R365">
        <v>364</v>
      </c>
      <c r="S365">
        <v>4.1285224329147777E-3</v>
      </c>
      <c r="T365">
        <v>3.4945436445662642E-3</v>
      </c>
    </row>
    <row r="366" spans="15:20" x14ac:dyDescent="0.25">
      <c r="O366">
        <v>365</v>
      </c>
      <c r="P366">
        <v>2.4489211398153923E-2</v>
      </c>
      <c r="Q366">
        <v>3.4945436445662603E-4</v>
      </c>
      <c r="R366">
        <v>365</v>
      </c>
      <c r="S366">
        <v>4.0150205782360513E-3</v>
      </c>
      <c r="T366">
        <v>3.4945436445662646E-4</v>
      </c>
    </row>
    <row r="367" spans="15:20" x14ac:dyDescent="0.25">
      <c r="O367">
        <v>366</v>
      </c>
      <c r="P367">
        <v>2.4471301698095978E-2</v>
      </c>
      <c r="Q367">
        <v>3.6692708267945732E-4</v>
      </c>
      <c r="R367">
        <v>366</v>
      </c>
      <c r="S367">
        <v>4.0113713993536809E-3</v>
      </c>
      <c r="T367">
        <v>3.4945436445662649E-5</v>
      </c>
    </row>
    <row r="368" spans="15:20" x14ac:dyDescent="0.25">
      <c r="O368">
        <v>367</v>
      </c>
      <c r="P368">
        <v>2.4451967701511899E-2</v>
      </c>
      <c r="Q368">
        <v>3.852734368134302E-4</v>
      </c>
      <c r="R368">
        <v>367</v>
      </c>
      <c r="S368">
        <v>4.0103265058429724E-3</v>
      </c>
      <c r="T368">
        <v>3.6692708267945785E-5</v>
      </c>
    </row>
    <row r="369" spans="15:20" x14ac:dyDescent="0.25">
      <c r="O369">
        <v>368</v>
      </c>
      <c r="P369">
        <v>2.4432376504193064E-2</v>
      </c>
      <c r="Q369">
        <v>4.0453710865410173E-4</v>
      </c>
      <c r="R369">
        <v>368</v>
      </c>
      <c r="S369">
        <v>4.0098790816843043E-3</v>
      </c>
      <c r="T369">
        <v>3.8527343681343075E-5</v>
      </c>
    </row>
    <row r="370" spans="15:20" x14ac:dyDescent="0.25">
      <c r="O370">
        <v>369</v>
      </c>
      <c r="P370">
        <v>2.4411545108535826E-2</v>
      </c>
      <c r="Q370">
        <v>4.2476396408680685E-4</v>
      </c>
      <c r="R370">
        <v>369</v>
      </c>
      <c r="S370">
        <v>4.0093833100882954E-3</v>
      </c>
      <c r="T370">
        <v>4.0453710865410231E-5</v>
      </c>
    </row>
    <row r="371" spans="15:20" x14ac:dyDescent="0.25">
      <c r="O371">
        <v>370</v>
      </c>
      <c r="P371">
        <v>2.4388322588389886E-2</v>
      </c>
      <c r="Q371">
        <v>4.4600216229114719E-4</v>
      </c>
      <c r="R371">
        <v>370</v>
      </c>
      <c r="S371">
        <v>4.0087956868770014E-3</v>
      </c>
      <c r="T371">
        <v>4.2476396408680747E-5</v>
      </c>
    </row>
    <row r="372" spans="15:20" x14ac:dyDescent="0.25">
      <c r="O372">
        <v>371</v>
      </c>
      <c r="P372">
        <v>2.436897616898737E-2</v>
      </c>
      <c r="Q372">
        <v>4.6830227040570459E-4</v>
      </c>
      <c r="R372">
        <v>371</v>
      </c>
      <c r="S372">
        <v>4.0082744877922849E-3</v>
      </c>
      <c r="T372">
        <v>4.4600216229114786E-5</v>
      </c>
    </row>
    <row r="373" spans="15:20" x14ac:dyDescent="0.25">
      <c r="O373">
        <v>372</v>
      </c>
      <c r="P373">
        <v>2.4342349480447709E-2</v>
      </c>
      <c r="Q373">
        <v>4.9171738392598987E-4</v>
      </c>
      <c r="R373">
        <v>372</v>
      </c>
      <c r="S373">
        <v>4.007721245064837E-3</v>
      </c>
      <c r="T373">
        <v>4.6830227040570525E-5</v>
      </c>
    </row>
    <row r="374" spans="15:20" x14ac:dyDescent="0.25">
      <c r="O374">
        <v>373</v>
      </c>
      <c r="P374">
        <v>2.4318165191809394E-2</v>
      </c>
      <c r="Q374">
        <v>5.1630325312228937E-4</v>
      </c>
      <c r="R374">
        <v>373</v>
      </c>
      <c r="S374">
        <v>4.0071299180820356E-3</v>
      </c>
      <c r="T374">
        <v>4.9171738392599052E-5</v>
      </c>
    </row>
    <row r="375" spans="15:20" x14ac:dyDescent="0.25">
      <c r="O375">
        <v>374</v>
      </c>
      <c r="P375">
        <v>2.4293306602879684E-2</v>
      </c>
      <c r="Q375">
        <v>5.4211841577840386E-4</v>
      </c>
      <c r="R375">
        <v>374</v>
      </c>
      <c r="S375">
        <v>4.0065163859060535E-3</v>
      </c>
      <c r="T375">
        <v>5.163032531222901E-5</v>
      </c>
    </row>
    <row r="376" spans="15:20" x14ac:dyDescent="0.25">
      <c r="O376">
        <v>375</v>
      </c>
      <c r="P376">
        <v>2.426687318034397E-2</v>
      </c>
      <c r="Q376">
        <v>5.6922433656732404E-4</v>
      </c>
      <c r="R376">
        <v>375</v>
      </c>
      <c r="S376">
        <v>4.005870603584356E-3</v>
      </c>
      <c r="T376">
        <v>5.4211841577840463E-5</v>
      </c>
    </row>
    <row r="377" spans="15:20" x14ac:dyDescent="0.25">
      <c r="O377">
        <v>376</v>
      </c>
      <c r="P377">
        <v>2.4235627108025973E-2</v>
      </c>
      <c r="Q377">
        <v>5.9768555339569031E-4</v>
      </c>
      <c r="R377">
        <v>376</v>
      </c>
      <c r="S377">
        <v>4.0051927077649156E-3</v>
      </c>
      <c r="T377">
        <v>5.6922433656732487E-5</v>
      </c>
    </row>
    <row r="378" spans="15:20" x14ac:dyDescent="0.25">
      <c r="O378">
        <v>377</v>
      </c>
      <c r="P378">
        <v>2.4207168815153817E-2</v>
      </c>
      <c r="Q378">
        <v>6.2756983106547481E-4</v>
      </c>
      <c r="R378">
        <v>377</v>
      </c>
      <c r="S378">
        <v>4.0044622630898488E-3</v>
      </c>
      <c r="T378">
        <v>5.9768555339569111E-5</v>
      </c>
    </row>
    <row r="379" spans="15:20" x14ac:dyDescent="0.25">
      <c r="O379">
        <v>378</v>
      </c>
      <c r="P379">
        <v>2.4171848513739751E-2</v>
      </c>
      <c r="Q379">
        <v>6.5894832261874858E-4</v>
      </c>
      <c r="R379">
        <v>378</v>
      </c>
      <c r="S379">
        <v>4.0037122180445238E-3</v>
      </c>
      <c r="T379">
        <v>6.2756983106547565E-5</v>
      </c>
    </row>
    <row r="380" spans="15:20" x14ac:dyDescent="0.25">
      <c r="O380">
        <v>379</v>
      </c>
      <c r="P380">
        <v>2.4146971730179542E-2</v>
      </c>
      <c r="Q380">
        <v>6.9189573874968609E-4</v>
      </c>
      <c r="R380">
        <v>379</v>
      </c>
      <c r="S380">
        <v>4.0029226869807621E-3</v>
      </c>
      <c r="T380">
        <v>6.5894832261874953E-5</v>
      </c>
    </row>
    <row r="381" spans="15:20" x14ac:dyDescent="0.25">
      <c r="O381">
        <v>380</v>
      </c>
      <c r="P381">
        <v>2.411037571657813E-2</v>
      </c>
      <c r="Q381">
        <v>7.2649052568717043E-4</v>
      </c>
      <c r="R381">
        <v>380</v>
      </c>
      <c r="S381">
        <v>4.0021175353279464E-3</v>
      </c>
      <c r="T381">
        <v>6.9189573874968709E-5</v>
      </c>
    </row>
    <row r="382" spans="15:20" x14ac:dyDescent="0.25">
      <c r="O382">
        <v>381</v>
      </c>
      <c r="P382">
        <v>2.406621715181936E-2</v>
      </c>
      <c r="Q382">
        <v>7.6281505197152899E-4</v>
      </c>
      <c r="R382">
        <v>381</v>
      </c>
      <c r="S382">
        <v>4.0013509331219737E-3</v>
      </c>
      <c r="T382">
        <v>7.2649052568717149E-5</v>
      </c>
    </row>
    <row r="383" spans="15:20" x14ac:dyDescent="0.25">
      <c r="O383">
        <v>382</v>
      </c>
      <c r="P383">
        <v>2.4037329685446834E-2</v>
      </c>
      <c r="Q383">
        <v>8.0095580457010542E-4</v>
      </c>
      <c r="R383">
        <v>382</v>
      </c>
      <c r="S383">
        <v>4.0003535591079777E-3</v>
      </c>
      <c r="T383">
        <v>7.6281505197153015E-5</v>
      </c>
    </row>
    <row r="384" spans="15:20" x14ac:dyDescent="0.25">
      <c r="O384">
        <v>383</v>
      </c>
      <c r="P384">
        <v>2.3989755530475117E-2</v>
      </c>
      <c r="Q384">
        <v>8.4100359479861075E-4</v>
      </c>
      <c r="R384">
        <v>383</v>
      </c>
      <c r="S384">
        <v>3.9994668085505799E-3</v>
      </c>
      <c r="T384">
        <v>8.0095580457010675E-5</v>
      </c>
    </row>
    <row r="385" spans="15:20" x14ac:dyDescent="0.25">
      <c r="O385">
        <v>384</v>
      </c>
      <c r="P385">
        <v>2.3950263067495786E-2</v>
      </c>
      <c r="Q385">
        <v>8.8305377453854134E-4</v>
      </c>
      <c r="R385">
        <v>384</v>
      </c>
      <c r="S385">
        <v>3.9985102636387691E-3</v>
      </c>
      <c r="T385">
        <v>8.4100359479861214E-5</v>
      </c>
    </row>
    <row r="386" spans="15:20" x14ac:dyDescent="0.25">
      <c r="O386">
        <v>385</v>
      </c>
      <c r="P386">
        <v>2.3898447297699812E-2</v>
      </c>
      <c r="Q386">
        <v>9.2720646326546849E-4</v>
      </c>
      <c r="R386">
        <v>385</v>
      </c>
      <c r="S386">
        <v>3.997502673952478E-3</v>
      </c>
      <c r="T386">
        <v>8.830537745385428E-5</v>
      </c>
    </row>
    <row r="387" spans="15:20" x14ac:dyDescent="0.25">
      <c r="O387">
        <v>386</v>
      </c>
      <c r="P387">
        <v>2.3866663992840063E-2</v>
      </c>
      <c r="Q387">
        <v>9.7356678642874193E-4</v>
      </c>
      <c r="R387">
        <v>386</v>
      </c>
      <c r="S387">
        <v>3.9964441076321714E-3</v>
      </c>
      <c r="T387">
        <v>9.2720646326547004E-5</v>
      </c>
    </row>
    <row r="388" spans="15:20" x14ac:dyDescent="0.25">
      <c r="O388">
        <v>387</v>
      </c>
      <c r="P388">
        <v>2.3814705860211685E-2</v>
      </c>
      <c r="Q388">
        <v>1.0222451257501791E-3</v>
      </c>
      <c r="R388">
        <v>387</v>
      </c>
      <c r="S388">
        <v>3.995201360132962E-3</v>
      </c>
      <c r="T388">
        <v>9.7356678642874353E-5</v>
      </c>
    </row>
    <row r="389" spans="15:20" x14ac:dyDescent="0.25">
      <c r="O389">
        <v>388</v>
      </c>
      <c r="P389">
        <v>2.3768499808529624E-2</v>
      </c>
      <c r="Q389">
        <v>1.0733573820376882E-3</v>
      </c>
      <c r="R389">
        <v>388</v>
      </c>
      <c r="S389">
        <v>3.9939503909093279E-3</v>
      </c>
      <c r="T389">
        <v>1.0222451257501808E-4</v>
      </c>
    </row>
    <row r="390" spans="15:20" x14ac:dyDescent="0.25">
      <c r="O390">
        <v>389</v>
      </c>
      <c r="P390">
        <v>2.3727507894619623E-2</v>
      </c>
      <c r="Q390">
        <v>1.1270252511395727E-3</v>
      </c>
      <c r="R390">
        <v>389</v>
      </c>
      <c r="S390">
        <v>3.9929603294252408E-3</v>
      </c>
      <c r="T390">
        <v>1.0733573820376899E-4</v>
      </c>
    </row>
    <row r="391" spans="15:20" x14ac:dyDescent="0.25">
      <c r="O391">
        <v>390</v>
      </c>
      <c r="P391">
        <v>2.3678624193147473E-2</v>
      </c>
      <c r="Q391">
        <v>1.1833765136965513E-3</v>
      </c>
      <c r="R391">
        <v>390</v>
      </c>
      <c r="S391">
        <v>3.9913855147682828E-3</v>
      </c>
      <c r="T391">
        <v>1.1270252511395744E-4</v>
      </c>
    </row>
    <row r="392" spans="15:20" x14ac:dyDescent="0.25">
      <c r="O392">
        <v>391</v>
      </c>
      <c r="P392">
        <v>2.3597779357771017E-2</v>
      </c>
      <c r="Q392">
        <v>1.242545339381379E-3</v>
      </c>
      <c r="R392">
        <v>391</v>
      </c>
      <c r="S392">
        <v>3.9905182240473798E-3</v>
      </c>
      <c r="T392">
        <v>1.1833765136965532E-4</v>
      </c>
    </row>
    <row r="393" spans="15:20" x14ac:dyDescent="0.25">
      <c r="O393">
        <v>392</v>
      </c>
      <c r="P393">
        <v>2.3557031150622777E-2</v>
      </c>
      <c r="Q393">
        <v>1.3046726063504479E-3</v>
      </c>
      <c r="R393">
        <v>392</v>
      </c>
      <c r="S393">
        <v>3.989397760042296E-3</v>
      </c>
      <c r="T393">
        <v>1.2425453393813808E-4</v>
      </c>
    </row>
    <row r="394" spans="15:20" x14ac:dyDescent="0.25">
      <c r="O394">
        <v>393</v>
      </c>
      <c r="P394">
        <v>2.3501739413743995E-2</v>
      </c>
      <c r="Q394">
        <v>1.3699062366679703E-3</v>
      </c>
      <c r="R394">
        <v>393</v>
      </c>
      <c r="S394">
        <v>3.9871064223875917E-3</v>
      </c>
      <c r="T394">
        <v>1.3046726063504498E-4</v>
      </c>
    </row>
    <row r="395" spans="15:20" x14ac:dyDescent="0.25">
      <c r="O395">
        <v>394</v>
      </c>
      <c r="P395">
        <v>2.3428673269959614E-2</v>
      </c>
      <c r="Q395">
        <v>1.4384015485013688E-3</v>
      </c>
      <c r="R395">
        <v>394</v>
      </c>
      <c r="S395">
        <v>3.9862203964103103E-3</v>
      </c>
      <c r="T395">
        <v>1.3699062366679724E-4</v>
      </c>
    </row>
    <row r="396" spans="15:20" x14ac:dyDescent="0.25">
      <c r="O396">
        <v>395</v>
      </c>
      <c r="P396">
        <v>2.3386157734002194E-2</v>
      </c>
      <c r="Q396">
        <v>1.5103216259264374E-3</v>
      </c>
      <c r="R396">
        <v>395</v>
      </c>
      <c r="S396">
        <v>3.9840386806073652E-3</v>
      </c>
      <c r="T396">
        <v>1.4384015485013711E-4</v>
      </c>
    </row>
    <row r="397" spans="15:20" x14ac:dyDescent="0.25">
      <c r="O397">
        <v>396</v>
      </c>
      <c r="P397">
        <v>2.3284560919419432E-2</v>
      </c>
      <c r="Q397">
        <v>1.5858377072227594E-3</v>
      </c>
      <c r="R397">
        <v>396</v>
      </c>
      <c r="S397">
        <v>3.9819231739471163E-3</v>
      </c>
      <c r="T397">
        <v>1.5103216259264397E-4</v>
      </c>
    </row>
    <row r="398" spans="15:20" x14ac:dyDescent="0.25">
      <c r="O398">
        <v>397</v>
      </c>
      <c r="P398">
        <v>2.3272678586655195E-2</v>
      </c>
      <c r="Q398">
        <v>1.6651295925838975E-3</v>
      </c>
      <c r="R398">
        <v>397</v>
      </c>
      <c r="S398">
        <v>3.9816808408911697E-3</v>
      </c>
      <c r="T398">
        <v>1.5858377072227616E-4</v>
      </c>
    </row>
    <row r="399" spans="15:20" x14ac:dyDescent="0.25">
      <c r="O399">
        <v>398</v>
      </c>
      <c r="P399">
        <v>2.3146139555626954E-2</v>
      </c>
      <c r="Q399">
        <v>1.7483860722130925E-3</v>
      </c>
      <c r="R399">
        <v>398</v>
      </c>
      <c r="S399">
        <v>3.9781468861258213E-3</v>
      </c>
      <c r="T399">
        <v>1.6651295925838996E-4</v>
      </c>
    </row>
    <row r="400" spans="15:20" x14ac:dyDescent="0.25">
      <c r="O400">
        <v>399</v>
      </c>
      <c r="P400">
        <v>2.3064283845063597E-2</v>
      </c>
      <c r="Q400">
        <v>1.8358053758237472E-3</v>
      </c>
      <c r="R400">
        <v>399</v>
      </c>
      <c r="S400">
        <v>3.9761133171674554E-3</v>
      </c>
      <c r="T400">
        <v>1.7483860722130947E-4</v>
      </c>
    </row>
    <row r="401" spans="15:20" x14ac:dyDescent="0.25">
      <c r="O401">
        <v>400</v>
      </c>
      <c r="P401">
        <v>2.293518855383558E-2</v>
      </c>
      <c r="Q401">
        <v>1.9275956446149346E-3</v>
      </c>
      <c r="R401">
        <v>400</v>
      </c>
      <c r="S401">
        <v>3.9742479519744968E-3</v>
      </c>
      <c r="T401">
        <v>1.8358053758237496E-4</v>
      </c>
    </row>
    <row r="402" spans="15:20" x14ac:dyDescent="0.25">
      <c r="O402">
        <v>401</v>
      </c>
      <c r="P402">
        <v>2.2905465641004517E-2</v>
      </c>
      <c r="Q402">
        <v>2.0239754268456815E-3</v>
      </c>
      <c r="R402">
        <v>401</v>
      </c>
      <c r="S402">
        <v>3.9717526349539066E-3</v>
      </c>
      <c r="T402">
        <v>1.9275956446149372E-4</v>
      </c>
    </row>
    <row r="403" spans="15:20" x14ac:dyDescent="0.25">
      <c r="O403">
        <v>402</v>
      </c>
      <c r="P403">
        <v>2.2738814688634139E-2</v>
      </c>
      <c r="Q403">
        <v>2.1251741981879657E-3</v>
      </c>
      <c r="R403">
        <v>402</v>
      </c>
      <c r="S403">
        <v>3.9692158365208291E-3</v>
      </c>
      <c r="T403">
        <v>2.0239754268456842E-4</v>
      </c>
    </row>
    <row r="404" spans="15:20" x14ac:dyDescent="0.25">
      <c r="O404">
        <v>403</v>
      </c>
      <c r="P404">
        <v>2.2690621218821504E-2</v>
      </c>
      <c r="Q404">
        <v>2.231432908097364E-3</v>
      </c>
      <c r="R404">
        <v>403</v>
      </c>
      <c r="S404">
        <v>3.9679122540325733E-3</v>
      </c>
      <c r="T404">
        <v>2.1251741981879684E-4</v>
      </c>
    </row>
    <row r="405" spans="15:20" x14ac:dyDescent="0.25">
      <c r="O405">
        <v>404</v>
      </c>
      <c r="P405">
        <v>2.2544331600772193E-2</v>
      </c>
      <c r="Q405">
        <v>2.3430045535022324E-3</v>
      </c>
      <c r="R405">
        <v>404</v>
      </c>
      <c r="S405">
        <v>3.964304984192534E-3</v>
      </c>
      <c r="T405">
        <v>2.231432908097367E-4</v>
      </c>
    </row>
    <row r="406" spans="15:20" x14ac:dyDescent="0.25">
      <c r="O406">
        <v>405</v>
      </c>
      <c r="P406">
        <v>2.2448073921889598E-2</v>
      </c>
      <c r="Q406">
        <v>2.4601547811773442E-3</v>
      </c>
      <c r="R406">
        <v>405</v>
      </c>
      <c r="S406">
        <v>3.9617434936150267E-3</v>
      </c>
      <c r="T406">
        <v>2.3430045535022354E-4</v>
      </c>
    </row>
    <row r="407" spans="15:20" x14ac:dyDescent="0.25">
      <c r="O407">
        <v>406</v>
      </c>
      <c r="P407">
        <v>2.2499880026528939E-2</v>
      </c>
      <c r="Q407">
        <v>2.5831625202362113E-3</v>
      </c>
      <c r="R407">
        <v>406</v>
      </c>
      <c r="S407">
        <v>3.9587650219667699E-3</v>
      </c>
      <c r="T407">
        <v>2.4601547811773473E-4</v>
      </c>
    </row>
    <row r="408" spans="15:20" x14ac:dyDescent="0.25">
      <c r="O408">
        <v>407</v>
      </c>
      <c r="P408">
        <v>2.2428223720774139E-2</v>
      </c>
      <c r="Q408">
        <v>2.5831625202362113E-4</v>
      </c>
      <c r="R408">
        <v>407</v>
      </c>
      <c r="S408">
        <v>3.9555467870329378E-3</v>
      </c>
      <c r="T408">
        <v>2.5831625202362145E-4</v>
      </c>
    </row>
    <row r="409" spans="15:20" x14ac:dyDescent="0.25">
      <c r="O409">
        <v>408</v>
      </c>
      <c r="P409">
        <v>2.2409784894155807E-2</v>
      </c>
      <c r="Q409">
        <v>2.7123206462480219E-4</v>
      </c>
      <c r="R409">
        <v>408</v>
      </c>
      <c r="S409">
        <v>3.9530555468342667E-3</v>
      </c>
      <c r="T409">
        <v>2.7123206462480252E-4</v>
      </c>
    </row>
    <row r="410" spans="15:20" x14ac:dyDescent="0.25">
      <c r="O410">
        <v>409</v>
      </c>
      <c r="P410">
        <v>2.239665387376728E-2</v>
      </c>
      <c r="Q410">
        <v>2.8479366785604232E-4</v>
      </c>
      <c r="R410">
        <v>409</v>
      </c>
      <c r="S410">
        <v>3.9502235700123343E-3</v>
      </c>
      <c r="T410">
        <v>2.8479366785604264E-4</v>
      </c>
    </row>
    <row r="411" spans="15:20" x14ac:dyDescent="0.25">
      <c r="O411">
        <v>410</v>
      </c>
      <c r="P411">
        <v>2.2383154453274545E-2</v>
      </c>
      <c r="Q411">
        <v>2.9903335124884444E-4</v>
      </c>
      <c r="R411">
        <v>410</v>
      </c>
      <c r="S411">
        <v>3.9472306792670215E-3</v>
      </c>
      <c r="T411">
        <v>2.9903335124884477E-4</v>
      </c>
    </row>
    <row r="412" spans="15:20" x14ac:dyDescent="0.25">
      <c r="O412">
        <v>411</v>
      </c>
      <c r="P412">
        <v>2.2368079366709259E-2</v>
      </c>
      <c r="Q412">
        <v>3.139850188112867E-4</v>
      </c>
      <c r="R412">
        <v>411</v>
      </c>
      <c r="S412">
        <v>3.9428983660863021E-3</v>
      </c>
      <c r="T412">
        <v>3.1398501881128702E-4</v>
      </c>
    </row>
    <row r="413" spans="15:20" x14ac:dyDescent="0.25">
      <c r="O413">
        <v>412</v>
      </c>
      <c r="P413">
        <v>2.2352423665662521E-2</v>
      </c>
      <c r="Q413">
        <v>3.2968426975185107E-4</v>
      </c>
      <c r="R413">
        <v>412</v>
      </c>
      <c r="S413">
        <v>3.9390504015416996E-3</v>
      </c>
      <c r="T413">
        <v>3.296842697518514E-4</v>
      </c>
    </row>
    <row r="414" spans="15:20" x14ac:dyDescent="0.25">
      <c r="O414">
        <v>413</v>
      </c>
      <c r="P414">
        <v>2.233676675058846E-2</v>
      </c>
      <c r="Q414">
        <v>3.4616848323944363E-4</v>
      </c>
      <c r="R414">
        <v>413</v>
      </c>
      <c r="S414">
        <v>3.9340524396214568E-3</v>
      </c>
      <c r="T414">
        <v>3.4616848323944401E-4</v>
      </c>
    </row>
    <row r="415" spans="15:20" x14ac:dyDescent="0.25">
      <c r="O415">
        <v>414</v>
      </c>
      <c r="P415">
        <v>2.2318589333817768E-2</v>
      </c>
      <c r="Q415">
        <v>3.6347690740141583E-4</v>
      </c>
      <c r="R415">
        <v>414</v>
      </c>
      <c r="S415">
        <v>3.9314960505366699E-3</v>
      </c>
      <c r="T415">
        <v>3.6347690740141621E-4</v>
      </c>
    </row>
    <row r="416" spans="15:20" x14ac:dyDescent="0.25">
      <c r="O416">
        <v>415</v>
      </c>
      <c r="P416">
        <v>2.2299213596680793E-2</v>
      </c>
      <c r="Q416">
        <v>3.8165075277148662E-4</v>
      </c>
      <c r="R416">
        <v>415</v>
      </c>
      <c r="S416">
        <v>3.9252890939084255E-3</v>
      </c>
      <c r="T416">
        <v>3.8165075277148705E-4</v>
      </c>
    </row>
    <row r="417" spans="15:20" x14ac:dyDescent="0.25">
      <c r="O417">
        <v>416</v>
      </c>
      <c r="P417">
        <v>2.2279685717944999E-2</v>
      </c>
      <c r="Q417">
        <v>4.0073329041006098E-4</v>
      </c>
      <c r="R417">
        <v>416</v>
      </c>
      <c r="S417">
        <v>3.9223855131891435E-3</v>
      </c>
      <c r="T417">
        <v>4.0073329041006141E-4</v>
      </c>
    </row>
    <row r="418" spans="15:20" x14ac:dyDescent="0.25">
      <c r="O418">
        <v>417</v>
      </c>
      <c r="P418">
        <v>2.2257703332875804E-2</v>
      </c>
      <c r="Q418">
        <v>4.2076995493056402E-4</v>
      </c>
      <c r="R418">
        <v>417</v>
      </c>
      <c r="S418">
        <v>3.9166618940039673E-3</v>
      </c>
      <c r="T418">
        <v>4.2076995493056451E-4</v>
      </c>
    </row>
    <row r="419" spans="15:20" x14ac:dyDescent="0.25">
      <c r="O419">
        <v>418</v>
      </c>
      <c r="P419">
        <v>2.2236785006776814E-2</v>
      </c>
      <c r="Q419">
        <v>4.4180845267709223E-4</v>
      </c>
      <c r="R419">
        <v>418</v>
      </c>
      <c r="S419">
        <v>3.910674035822707E-3</v>
      </c>
      <c r="T419">
        <v>4.4180845267709277E-4</v>
      </c>
    </row>
    <row r="420" spans="15:20" x14ac:dyDescent="0.25">
      <c r="O420">
        <v>419</v>
      </c>
      <c r="P420">
        <v>2.2213712353397117E-2</v>
      </c>
      <c r="Q420">
        <v>4.6389887531094685E-4</v>
      </c>
      <c r="R420">
        <v>419</v>
      </c>
      <c r="S420">
        <v>3.9151142878358358E-3</v>
      </c>
      <c r="T420">
        <v>4.6389887531094744E-4</v>
      </c>
    </row>
    <row r="421" spans="15:20" x14ac:dyDescent="0.25">
      <c r="O421">
        <v>420</v>
      </c>
      <c r="P421">
        <v>2.2197882386942681E-2</v>
      </c>
      <c r="Q421">
        <v>4.870938190764942E-4</v>
      </c>
      <c r="R421">
        <v>420</v>
      </c>
      <c r="S421">
        <v>3.9106849487486068E-3</v>
      </c>
      <c r="T421">
        <v>4.6389887531094746E-5</v>
      </c>
    </row>
    <row r="422" spans="15:20" x14ac:dyDescent="0.25">
      <c r="O422">
        <v>421</v>
      </c>
      <c r="P422">
        <v>2.2163804368422673E-2</v>
      </c>
      <c r="Q422">
        <v>5.1144851003031894E-4</v>
      </c>
      <c r="R422">
        <v>421</v>
      </c>
      <c r="S422">
        <v>3.9105955954859464E-3</v>
      </c>
      <c r="T422">
        <v>4.6389887531094749E-6</v>
      </c>
    </row>
    <row r="423" spans="15:20" x14ac:dyDescent="0.25">
      <c r="O423">
        <v>422</v>
      </c>
      <c r="P423">
        <v>2.2141056512525455E-2</v>
      </c>
      <c r="Q423">
        <v>5.3702093553183487E-4</v>
      </c>
      <c r="R423">
        <v>422</v>
      </c>
      <c r="S423">
        <v>3.9104966630533434E-3</v>
      </c>
      <c r="T423">
        <v>4.8709381907649487E-6</v>
      </c>
    </row>
    <row r="424" spans="15:20" x14ac:dyDescent="0.25">
      <c r="O424">
        <v>423</v>
      </c>
      <c r="P424">
        <v>2.2113362214046181E-2</v>
      </c>
      <c r="Q424">
        <v>5.6387198230842663E-4</v>
      </c>
      <c r="R424">
        <v>423</v>
      </c>
      <c r="S424">
        <v>3.9104028471403079E-3</v>
      </c>
      <c r="T424">
        <v>5.1144851003031968E-6</v>
      </c>
    </row>
    <row r="425" spans="15:20" x14ac:dyDescent="0.25">
      <c r="O425">
        <v>424</v>
      </c>
      <c r="P425">
        <v>2.2085266543984006E-2</v>
      </c>
      <c r="Q425">
        <v>5.92065581423848E-4</v>
      </c>
      <c r="R425">
        <v>424</v>
      </c>
      <c r="S425">
        <v>3.910315931455857E-3</v>
      </c>
      <c r="T425">
        <v>5.3702093553183565E-6</v>
      </c>
    </row>
    <row r="426" spans="15:20" x14ac:dyDescent="0.25">
      <c r="O426">
        <v>425</v>
      </c>
      <c r="P426">
        <v>2.2057998027824294E-2</v>
      </c>
      <c r="Q426">
        <v>6.2166886049504037E-4</v>
      </c>
      <c r="R426">
        <v>425</v>
      </c>
      <c r="S426">
        <v>3.9102269246363269E-3</v>
      </c>
      <c r="T426">
        <v>5.6387198230842742E-6</v>
      </c>
    </row>
    <row r="427" spans="15:20" x14ac:dyDescent="0.25">
      <c r="O427">
        <v>426</v>
      </c>
      <c r="P427">
        <v>2.2024103251187376E-2</v>
      </c>
      <c r="Q427">
        <v>6.5275230351979246E-4</v>
      </c>
    </row>
    <row r="428" spans="15:20" x14ac:dyDescent="0.25">
      <c r="O428">
        <v>427</v>
      </c>
      <c r="P428">
        <v>2.1993454397275795E-2</v>
      </c>
      <c r="Q428">
        <v>6.8538991869578211E-4</v>
      </c>
    </row>
    <row r="429" spans="15:20" x14ac:dyDescent="0.25">
      <c r="O429">
        <v>428</v>
      </c>
      <c r="P429">
        <v>2.1958420846692944E-2</v>
      </c>
      <c r="Q429">
        <v>7.1965941463057129E-4</v>
      </c>
    </row>
    <row r="430" spans="15:20" x14ac:dyDescent="0.25">
      <c r="O430">
        <v>429</v>
      </c>
      <c r="P430">
        <v>2.1926761961603855E-2</v>
      </c>
      <c r="Q430">
        <v>7.5564238536209992E-4</v>
      </c>
    </row>
    <row r="431" spans="15:20" x14ac:dyDescent="0.25">
      <c r="O431">
        <v>430</v>
      </c>
      <c r="P431">
        <v>2.188523185590377E-2</v>
      </c>
      <c r="Q431">
        <v>7.9342450463020496E-4</v>
      </c>
    </row>
    <row r="432" spans="15:20" x14ac:dyDescent="0.25">
      <c r="O432">
        <v>431</v>
      </c>
      <c r="P432">
        <v>2.1844468867729745E-2</v>
      </c>
      <c r="Q432">
        <v>8.3309572986171529E-4</v>
      </c>
    </row>
    <row r="433" spans="15:17" x14ac:dyDescent="0.25">
      <c r="O433">
        <v>432</v>
      </c>
      <c r="P433">
        <v>2.1800623742414257E-2</v>
      </c>
      <c r="Q433">
        <v>8.7475051635480113E-4</v>
      </c>
    </row>
    <row r="434" spans="15:17" x14ac:dyDescent="0.25">
      <c r="O434">
        <v>433</v>
      </c>
      <c r="P434">
        <v>2.1757236541637547E-2</v>
      </c>
      <c r="Q434">
        <v>9.1848804217254125E-4</v>
      </c>
    </row>
    <row r="435" spans="15:17" x14ac:dyDescent="0.25">
      <c r="O435">
        <v>434</v>
      </c>
      <c r="P435">
        <v>2.1701796202030138E-2</v>
      </c>
      <c r="Q435">
        <v>9.6441244428116838E-4</v>
      </c>
    </row>
    <row r="436" spans="15:17" x14ac:dyDescent="0.25">
      <c r="O436">
        <v>435</v>
      </c>
      <c r="P436">
        <v>2.1697870419799613E-2</v>
      </c>
      <c r="Q436">
        <v>1.0126330664952268E-3</v>
      </c>
    </row>
    <row r="437" spans="15:17" x14ac:dyDescent="0.25">
      <c r="O437">
        <v>436</v>
      </c>
      <c r="P437">
        <v>2.1646660402035882E-2</v>
      </c>
      <c r="Q437">
        <v>1.0632647198199883E-3</v>
      </c>
    </row>
    <row r="438" spans="15:17" x14ac:dyDescent="0.25">
      <c r="O438">
        <v>437</v>
      </c>
      <c r="P438">
        <v>2.1563488708392923E-2</v>
      </c>
      <c r="Q438">
        <v>1.1164279558109878E-3</v>
      </c>
    </row>
    <row r="439" spans="15:17" x14ac:dyDescent="0.25">
      <c r="O439">
        <v>438</v>
      </c>
      <c r="P439">
        <v>2.1497413069698063E-2</v>
      </c>
      <c r="Q439">
        <v>1.1722493536015371E-3</v>
      </c>
    </row>
    <row r="440" spans="15:17" x14ac:dyDescent="0.25">
      <c r="O440">
        <v>439</v>
      </c>
      <c r="P440">
        <v>2.1445938618216479E-2</v>
      </c>
      <c r="Q440">
        <v>1.2308618212816141E-3</v>
      </c>
    </row>
    <row r="441" spans="15:17" x14ac:dyDescent="0.25">
      <c r="O441">
        <v>440</v>
      </c>
      <c r="P441">
        <v>2.1397461825577328E-2</v>
      </c>
      <c r="Q441">
        <v>1.2924049123456949E-3</v>
      </c>
    </row>
    <row r="442" spans="15:17" x14ac:dyDescent="0.25">
      <c r="O442">
        <v>441</v>
      </c>
      <c r="P442">
        <v>2.1345811517429092E-2</v>
      </c>
      <c r="Q442">
        <v>1.3570251579629797E-3</v>
      </c>
    </row>
    <row r="443" spans="15:17" x14ac:dyDescent="0.25">
      <c r="O443">
        <v>442</v>
      </c>
      <c r="P443">
        <v>2.1303658870291588E-2</v>
      </c>
      <c r="Q443">
        <v>1.4248764158611288E-3</v>
      </c>
    </row>
    <row r="444" spans="15:17" x14ac:dyDescent="0.25">
      <c r="O444">
        <v>443</v>
      </c>
      <c r="P444">
        <v>2.1246018731454267E-2</v>
      </c>
      <c r="Q444">
        <v>1.4961202366541853E-3</v>
      </c>
    </row>
    <row r="445" spans="15:17" x14ac:dyDescent="0.25">
      <c r="O445">
        <v>444</v>
      </c>
      <c r="P445">
        <v>2.1171571511487096E-2</v>
      </c>
      <c r="Q445">
        <v>1.5709262484868945E-3</v>
      </c>
    </row>
    <row r="446" spans="15:17" x14ac:dyDescent="0.25">
      <c r="O446">
        <v>445</v>
      </c>
      <c r="P446">
        <v>2.1122874918463697E-2</v>
      </c>
      <c r="Q446">
        <v>1.6494725609112392E-3</v>
      </c>
    </row>
    <row r="447" spans="15:17" x14ac:dyDescent="0.25">
      <c r="O447">
        <v>446</v>
      </c>
      <c r="P447">
        <v>2.1013644914876953E-2</v>
      </c>
      <c r="Q447">
        <v>1.7319461889568012E-3</v>
      </c>
    </row>
    <row r="448" spans="15:17" x14ac:dyDescent="0.25">
      <c r="O448">
        <v>447</v>
      </c>
      <c r="P448">
        <v>2.0918833874767648E-2</v>
      </c>
      <c r="Q448">
        <v>1.8185434984046413E-3</v>
      </c>
    </row>
    <row r="449" spans="15:17" x14ac:dyDescent="0.25">
      <c r="O449">
        <v>448</v>
      </c>
      <c r="P449">
        <v>2.1001190626091969E-2</v>
      </c>
      <c r="Q449">
        <v>1.9094706733248734E-3</v>
      </c>
    </row>
    <row r="450" spans="15:17" x14ac:dyDescent="0.25">
      <c r="O450">
        <v>449</v>
      </c>
      <c r="P450">
        <v>2.0911108186914572E-2</v>
      </c>
      <c r="Q450">
        <v>1.9094706733248736E-4</v>
      </c>
    </row>
    <row r="451" spans="15:17" x14ac:dyDescent="0.25">
      <c r="O451">
        <v>450</v>
      </c>
      <c r="P451">
        <v>2.0902698889327866E-2</v>
      </c>
      <c r="Q451">
        <v>2.0049442069911173E-4</v>
      </c>
    </row>
    <row r="452" spans="15:17" x14ac:dyDescent="0.25">
      <c r="O452">
        <v>451</v>
      </c>
      <c r="P452">
        <v>2.0893518083532063E-2</v>
      </c>
      <c r="Q452">
        <v>2.1051914173406732E-4</v>
      </c>
    </row>
    <row r="453" spans="15:17" x14ac:dyDescent="0.25">
      <c r="O453">
        <v>452</v>
      </c>
      <c r="P453">
        <v>2.0883009710477695E-2</v>
      </c>
      <c r="Q453">
        <v>2.2104509882077069E-4</v>
      </c>
    </row>
    <row r="454" spans="15:17" x14ac:dyDescent="0.25">
      <c r="O454">
        <v>453</v>
      </c>
      <c r="P454">
        <v>2.0871742022877164E-2</v>
      </c>
      <c r="Q454">
        <v>2.3209735376180925E-4</v>
      </c>
    </row>
    <row r="455" spans="15:17" x14ac:dyDescent="0.25">
      <c r="O455">
        <v>454</v>
      </c>
      <c r="P455">
        <v>2.085989645795806E-2</v>
      </c>
      <c r="Q455">
        <v>2.4370222144989972E-4</v>
      </c>
    </row>
    <row r="456" spans="15:17" x14ac:dyDescent="0.25">
      <c r="O456">
        <v>455</v>
      </c>
      <c r="P456">
        <v>2.0848316251558772E-2</v>
      </c>
      <c r="Q456">
        <v>2.5588733252239471E-4</v>
      </c>
    </row>
    <row r="457" spans="15:17" x14ac:dyDescent="0.25">
      <c r="O457">
        <v>456</v>
      </c>
      <c r="P457">
        <v>2.0835843297767543E-2</v>
      </c>
      <c r="Q457">
        <v>2.6868169914851447E-4</v>
      </c>
    </row>
    <row r="458" spans="15:17" x14ac:dyDescent="0.25">
      <c r="O458">
        <v>457</v>
      </c>
      <c r="P458">
        <v>2.0822715151510237E-2</v>
      </c>
      <c r="Q458">
        <v>2.8211578410594022E-4</v>
      </c>
    </row>
    <row r="459" spans="15:17" x14ac:dyDescent="0.25">
      <c r="O459">
        <v>458</v>
      </c>
      <c r="P459">
        <v>2.0808773928427261E-2</v>
      </c>
      <c r="Q459">
        <v>2.9622157331123724E-4</v>
      </c>
    </row>
    <row r="460" spans="15:17" x14ac:dyDescent="0.25">
      <c r="O460">
        <v>459</v>
      </c>
      <c r="P460">
        <v>2.0794775915215783E-2</v>
      </c>
      <c r="Q460">
        <v>3.1103265197679909E-4</v>
      </c>
    </row>
    <row r="461" spans="15:17" x14ac:dyDescent="0.25">
      <c r="O461">
        <v>460</v>
      </c>
      <c r="P461">
        <v>2.0779853479959615E-2</v>
      </c>
      <c r="Q461">
        <v>3.2658428457563903E-4</v>
      </c>
    </row>
    <row r="462" spans="15:17" x14ac:dyDescent="0.25">
      <c r="O462">
        <v>461</v>
      </c>
      <c r="P462">
        <v>2.076441782242288E-2</v>
      </c>
      <c r="Q462">
        <v>3.4291349880442097E-4</v>
      </c>
    </row>
    <row r="463" spans="15:17" x14ac:dyDescent="0.25">
      <c r="O463">
        <v>462</v>
      </c>
      <c r="P463">
        <v>2.0746340338587212E-2</v>
      </c>
      <c r="Q463">
        <v>3.6005917374464202E-4</v>
      </c>
    </row>
    <row r="464" spans="15:17" x14ac:dyDescent="0.25">
      <c r="O464">
        <v>463</v>
      </c>
      <c r="P464">
        <v>2.0729389902346844E-2</v>
      </c>
      <c r="Q464">
        <v>3.7806213243187414E-4</v>
      </c>
    </row>
    <row r="465" spans="15:17" x14ac:dyDescent="0.25">
      <c r="O465">
        <v>464</v>
      </c>
      <c r="P465">
        <v>2.0712112032443865E-2</v>
      </c>
      <c r="Q465">
        <v>3.9696523905346788E-4</v>
      </c>
    </row>
    <row r="466" spans="15:17" x14ac:dyDescent="0.25">
      <c r="O466">
        <v>465</v>
      </c>
      <c r="P466">
        <v>2.0695345837773309E-2</v>
      </c>
      <c r="Q466">
        <v>4.1681350100614129E-4</v>
      </c>
    </row>
    <row r="467" spans="15:17" x14ac:dyDescent="0.25">
      <c r="O467">
        <v>466</v>
      </c>
      <c r="P467">
        <v>2.0675377472552828E-2</v>
      </c>
      <c r="Q467">
        <v>4.3765417605644839E-4</v>
      </c>
    </row>
    <row r="468" spans="15:17" x14ac:dyDescent="0.25">
      <c r="O468">
        <v>467</v>
      </c>
      <c r="P468">
        <v>2.0654372738154771E-2</v>
      </c>
      <c r="Q468">
        <v>4.5953688485927084E-4</v>
      </c>
    </row>
    <row r="469" spans="15:17" x14ac:dyDescent="0.25">
      <c r="O469">
        <v>468</v>
      </c>
      <c r="P469">
        <v>2.0631259084069486E-2</v>
      </c>
      <c r="Q469">
        <v>4.8251372910223443E-4</v>
      </c>
    </row>
    <row r="470" spans="15:17" x14ac:dyDescent="0.25">
      <c r="O470">
        <v>469</v>
      </c>
      <c r="P470">
        <v>2.0612996974442296E-2</v>
      </c>
      <c r="Q470">
        <v>5.0663941555734616E-4</v>
      </c>
    </row>
    <row r="471" spans="15:17" x14ac:dyDescent="0.25">
      <c r="O471">
        <v>470</v>
      </c>
      <c r="P471">
        <v>2.0582979868794923E-2</v>
      </c>
      <c r="Q471">
        <v>5.319713863352135E-4</v>
      </c>
    </row>
    <row r="472" spans="15:17" x14ac:dyDescent="0.25">
      <c r="O472">
        <v>471</v>
      </c>
      <c r="P472">
        <v>2.055617612335095E-2</v>
      </c>
      <c r="Q472">
        <v>5.5856995565197419E-4</v>
      </c>
    </row>
    <row r="473" spans="15:17" x14ac:dyDescent="0.25">
      <c r="O473">
        <v>472</v>
      </c>
      <c r="P473">
        <v>2.0534680814186551E-2</v>
      </c>
      <c r="Q473">
        <v>5.8649845343457295E-4</v>
      </c>
    </row>
    <row r="474" spans="15:17" x14ac:dyDescent="0.25">
      <c r="O474">
        <v>473</v>
      </c>
      <c r="P474">
        <v>2.0497638982413767E-2</v>
      </c>
      <c r="Q474">
        <v>6.1582337610630164E-4</v>
      </c>
    </row>
    <row r="475" spans="15:17" x14ac:dyDescent="0.25">
      <c r="O475">
        <v>474</v>
      </c>
      <c r="P475">
        <v>2.046751468622714E-2</v>
      </c>
      <c r="Q475">
        <v>6.466145449116167E-4</v>
      </c>
    </row>
    <row r="476" spans="15:17" x14ac:dyDescent="0.25">
      <c r="O476">
        <v>475</v>
      </c>
      <c r="P476">
        <v>2.0440345028615178E-2</v>
      </c>
      <c r="Q476">
        <v>6.7894527215719752E-4</v>
      </c>
    </row>
    <row r="477" spans="15:17" x14ac:dyDescent="0.25">
      <c r="O477">
        <v>476</v>
      </c>
      <c r="P477">
        <v>2.0410248386200154E-2</v>
      </c>
      <c r="Q477">
        <v>7.1289253576505745E-4</v>
      </c>
    </row>
    <row r="478" spans="15:17" x14ac:dyDescent="0.25">
      <c r="O478">
        <v>477</v>
      </c>
      <c r="P478">
        <v>2.0374736863009262E-2</v>
      </c>
      <c r="Q478">
        <v>7.485371625533103E-4</v>
      </c>
    </row>
    <row r="479" spans="15:17" x14ac:dyDescent="0.25">
      <c r="O479">
        <v>478</v>
      </c>
      <c r="P479">
        <v>2.0346954407452999E-2</v>
      </c>
      <c r="Q479">
        <v>7.8596402068097581E-4</v>
      </c>
    </row>
    <row r="480" spans="15:17" x14ac:dyDescent="0.25">
      <c r="O480">
        <v>479</v>
      </c>
      <c r="P480">
        <v>2.0321409527991507E-2</v>
      </c>
      <c r="Q480">
        <v>8.252622217150246E-4</v>
      </c>
    </row>
    <row r="481" spans="15:17" x14ac:dyDescent="0.25">
      <c r="O481">
        <v>480</v>
      </c>
      <c r="P481">
        <v>2.0274876783918649E-2</v>
      </c>
      <c r="Q481">
        <v>8.6652533280077591E-4</v>
      </c>
    </row>
    <row r="482" spans="15:17" x14ac:dyDescent="0.25">
      <c r="O482">
        <v>481</v>
      </c>
      <c r="P482">
        <v>2.023648990235824E-2</v>
      </c>
      <c r="Q482">
        <v>9.0985159944081474E-4</v>
      </c>
    </row>
    <row r="483" spans="15:17" x14ac:dyDescent="0.25">
      <c r="O483">
        <v>482</v>
      </c>
      <c r="P483">
        <v>2.0191905924754686E-2</v>
      </c>
      <c r="Q483">
        <v>9.5534417941285556E-4</v>
      </c>
    </row>
    <row r="484" spans="15:17" x14ac:dyDescent="0.25">
      <c r="O484">
        <v>483</v>
      </c>
      <c r="P484">
        <v>2.0187370334077189E-2</v>
      </c>
      <c r="Q484">
        <v>1.0031113883834984E-3</v>
      </c>
    </row>
    <row r="485" spans="15:17" x14ac:dyDescent="0.25">
      <c r="O485">
        <v>484</v>
      </c>
      <c r="P485">
        <v>2.0110930109185188E-2</v>
      </c>
      <c r="Q485">
        <v>1.0532669578026733E-3</v>
      </c>
    </row>
    <row r="486" spans="15:17" x14ac:dyDescent="0.25">
      <c r="O486">
        <v>485</v>
      </c>
      <c r="P486">
        <v>2.0059874325236177E-2</v>
      </c>
      <c r="Q486">
        <v>1.105930305692807E-3</v>
      </c>
    </row>
    <row r="487" spans="15:17" x14ac:dyDescent="0.25">
      <c r="O487">
        <v>486</v>
      </c>
      <c r="P487">
        <v>2.00100622757379E-2</v>
      </c>
      <c r="Q487">
        <v>1.1612268209774473E-3</v>
      </c>
    </row>
    <row r="488" spans="15:17" x14ac:dyDescent="0.25">
      <c r="O488">
        <v>487</v>
      </c>
      <c r="P488">
        <v>1.9958341794016822E-2</v>
      </c>
      <c r="Q488">
        <v>1.2192881620263197E-3</v>
      </c>
    </row>
    <row r="489" spans="15:17" x14ac:dyDescent="0.25">
      <c r="O489">
        <v>488</v>
      </c>
      <c r="P489">
        <v>1.9899865970502095E-2</v>
      </c>
      <c r="Q489">
        <v>1.2802525701276358E-3</v>
      </c>
    </row>
    <row r="490" spans="15:17" x14ac:dyDescent="0.25">
      <c r="O490">
        <v>489</v>
      </c>
      <c r="P490">
        <v>1.9842969346922007E-2</v>
      </c>
      <c r="Q490">
        <v>1.3442651986340177E-3</v>
      </c>
    </row>
    <row r="491" spans="15:17" x14ac:dyDescent="0.25">
      <c r="O491">
        <v>490</v>
      </c>
      <c r="P491">
        <v>1.9787457917748986E-2</v>
      </c>
      <c r="Q491">
        <v>1.4114784585657187E-3</v>
      </c>
    </row>
    <row r="492" spans="15:17" x14ac:dyDescent="0.25">
      <c r="O492">
        <v>491</v>
      </c>
      <c r="P492">
        <v>1.9738471172765309E-2</v>
      </c>
      <c r="Q492">
        <v>1.4820523814940048E-3</v>
      </c>
    </row>
    <row r="493" spans="15:17" x14ac:dyDescent="0.25">
      <c r="O493">
        <v>492</v>
      </c>
      <c r="P493">
        <v>1.9646019422028704E-2</v>
      </c>
      <c r="Q493">
        <v>1.5561550005687051E-3</v>
      </c>
    </row>
    <row r="494" spans="15:17" x14ac:dyDescent="0.25">
      <c r="O494">
        <v>493</v>
      </c>
      <c r="P494">
        <v>1.9589260984134074E-2</v>
      </c>
      <c r="Q494">
        <v>1.6339627505971403E-3</v>
      </c>
    </row>
    <row r="495" spans="15:17" x14ac:dyDescent="0.25">
      <c r="O495">
        <v>494</v>
      </c>
      <c r="P495">
        <v>1.9520234124037292E-2</v>
      </c>
      <c r="Q495">
        <v>1.7156608881269974E-3</v>
      </c>
    </row>
    <row r="496" spans="15:17" x14ac:dyDescent="0.25">
      <c r="O496">
        <v>495</v>
      </c>
      <c r="P496">
        <v>1.9426820208721805E-2</v>
      </c>
      <c r="Q496">
        <v>1.8014439325333474E-3</v>
      </c>
    </row>
    <row r="497" spans="15:17" x14ac:dyDescent="0.25">
      <c r="O497">
        <v>496</v>
      </c>
      <c r="P497">
        <v>1.9349625736671556E-2</v>
      </c>
      <c r="Q497">
        <v>1.8915161291600149E-3</v>
      </c>
    </row>
    <row r="498" spans="15:17" x14ac:dyDescent="0.25">
      <c r="O498">
        <v>497</v>
      </c>
      <c r="P498">
        <v>1.9262039660323624E-2</v>
      </c>
      <c r="Q498">
        <v>1.9860919356180159E-3</v>
      </c>
    </row>
    <row r="499" spans="15:17" x14ac:dyDescent="0.25">
      <c r="O499">
        <v>498</v>
      </c>
      <c r="P499">
        <v>1.9231860836397274E-2</v>
      </c>
      <c r="Q499">
        <v>2.0853965323989168E-3</v>
      </c>
    </row>
    <row r="500" spans="15:17" x14ac:dyDescent="0.25">
      <c r="O500">
        <v>499</v>
      </c>
      <c r="P500">
        <v>1.9118129806874308E-2</v>
      </c>
      <c r="Q500">
        <v>2.1896663590188627E-3</v>
      </c>
    </row>
    <row r="501" spans="15:17" x14ac:dyDescent="0.25">
      <c r="O501">
        <v>500</v>
      </c>
      <c r="P501">
        <v>1.9012413406076043E-2</v>
      </c>
      <c r="Q501">
        <v>2.2991496769698061E-3</v>
      </c>
    </row>
  </sheetData>
  <sortState xmlns:xlrd2="http://schemas.microsoft.com/office/spreadsheetml/2017/richdata2" ref="A2:H151">
    <sortCondition ref="F2:F151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Stomp</vt:lpstr>
      <vt:lpstr>Maze</vt:lpstr>
      <vt:lpstr>MazeII</vt:lpstr>
      <vt:lpstr>Sheet1</vt:lpstr>
      <vt:lpstr>MazeTrainProgress</vt:lpstr>
      <vt:lpstr>MazeNN</vt:lpstr>
      <vt:lpstr>MazeStateAction</vt:lpstr>
      <vt:lpstr>MazeStateValue</vt:lpstr>
      <vt:lpstr>MazeIITrainProgress</vt:lpstr>
      <vt:lpstr>MazeIINN</vt:lpstr>
      <vt:lpstr>MazeIIStateAction</vt:lpstr>
      <vt:lpstr>MazeIIStateValue</vt:lpstr>
      <vt:lpstr>StompTrainProgress</vt:lpstr>
      <vt:lpstr>StompNN</vt:lpstr>
      <vt:lpstr>StompStateAction</vt:lpstr>
      <vt:lpstr>StompStateValue</vt:lpstr>
      <vt:lpstr>Iris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2023-04-03T01:54:07Z</dcterms:created>
  <dcterms:modified xsi:type="dcterms:W3CDTF">2023-05-10T15:50:34Z</dcterms:modified>
</cp:coreProperties>
</file>