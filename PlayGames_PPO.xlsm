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ong\Desktop\MarioGame\"/>
    </mc:Choice>
  </mc:AlternateContent>
  <xr:revisionPtr revIDLastSave="0" documentId="13_ncr:1_{C4F2B690-055D-4033-9404-3F1D924A61A5}" xr6:coauthVersionLast="47" xr6:coauthVersionMax="47" xr10:uidLastSave="{00000000-0000-0000-0000-000000000000}"/>
  <bookViews>
    <workbookView xWindow="28680" yWindow="-120" windowWidth="29040" windowHeight="18240" activeTab="2" xr2:uid="{22A4D6E7-E073-48DE-BBED-EC8C08C3FD9A}"/>
  </bookViews>
  <sheets>
    <sheet name="Stomp" sheetId="8" r:id="rId1"/>
    <sheet name="Maze" sheetId="1" r:id="rId2"/>
    <sheet name="MazeII" sheetId="14" r:id="rId3"/>
    <sheet name="Sheet1" sheetId="19" r:id="rId4"/>
    <sheet name="MazeTrainProgress" sheetId="9" r:id="rId5"/>
    <sheet name="MazeNN" sheetId="2" r:id="rId6"/>
    <sheet name="MazeStateAction" sheetId="10" r:id="rId7"/>
    <sheet name="MazeStateValue" sheetId="5" r:id="rId8"/>
    <sheet name="MazeIITrainProgress" sheetId="15" r:id="rId9"/>
    <sheet name="MazeIINN" sheetId="16" r:id="rId10"/>
    <sheet name="MazeIIStateAction" sheetId="17" r:id="rId11"/>
    <sheet name="MazeIIStateValue" sheetId="18" r:id="rId12"/>
    <sheet name="StompTrainProgress" sheetId="4" r:id="rId13"/>
    <sheet name="StompNN" sheetId="11" r:id="rId14"/>
    <sheet name="StompStateAction" sheetId="6" r:id="rId15"/>
    <sheet name="StompStateValue" sheetId="12" r:id="rId16"/>
    <sheet name="Iris" sheetId="20" r:id="rId17"/>
  </sheets>
  <calcPr calcId="181029"/>
</workbook>
</file>

<file path=xl/calcChain.xml><?xml version="1.0" encoding="utf-8"?>
<calcChain xmlns="http://schemas.openxmlformats.org/spreadsheetml/2006/main">
  <c r="I2" i="20" l="1" a="1"/>
  <c r="I2" i="20" s="1"/>
  <c r="AH1" i="20" a="1"/>
  <c r="I1" i="20" a="1"/>
  <c r="I1" i="20" s="1"/>
  <c r="AH1" i="20" l="1"/>
  <c r="P5" i="9"/>
  <c r="AE9" i="17"/>
  <c r="AD9" i="17"/>
  <c r="AC9" i="17"/>
  <c r="AB9" i="17"/>
  <c r="AA9" i="17"/>
  <c r="Z9" i="17"/>
  <c r="Y9" i="17"/>
  <c r="X9" i="17"/>
  <c r="W9" i="17"/>
  <c r="V9" i="17"/>
  <c r="U9" i="17"/>
  <c r="T9" i="17"/>
  <c r="S9" i="17"/>
  <c r="AE8" i="17"/>
  <c r="AD8" i="17"/>
  <c r="AC8" i="17"/>
  <c r="AB8" i="17"/>
  <c r="AA8" i="17"/>
  <c r="Z8" i="17"/>
  <c r="Y8" i="17"/>
  <c r="X8" i="17"/>
  <c r="W8" i="17"/>
  <c r="V8" i="17"/>
  <c r="U8" i="17"/>
  <c r="T8" i="17"/>
  <c r="S8" i="17"/>
  <c r="AE7" i="17"/>
  <c r="AD7" i="17"/>
  <c r="AC7" i="17"/>
  <c r="AB7" i="17"/>
  <c r="AA7" i="17"/>
  <c r="Z7" i="17"/>
  <c r="Y7" i="17"/>
  <c r="X7" i="17"/>
  <c r="W7" i="17"/>
  <c r="V7" i="17"/>
  <c r="U7" i="17"/>
  <c r="T7" i="17"/>
  <c r="S7" i="17"/>
  <c r="AE6" i="17"/>
  <c r="AD6" i="17"/>
  <c r="AC6" i="17"/>
  <c r="AB6" i="17"/>
  <c r="AA6" i="17"/>
  <c r="Z6" i="17"/>
  <c r="Y6" i="17"/>
  <c r="X6" i="17"/>
  <c r="W6" i="17"/>
  <c r="V6" i="17"/>
  <c r="U6" i="17"/>
  <c r="T6" i="17"/>
  <c r="S6" i="17"/>
  <c r="AE5" i="17"/>
  <c r="AD5" i="17"/>
  <c r="AC5" i="17"/>
  <c r="AB5" i="17"/>
  <c r="AA5" i="17"/>
  <c r="Z5" i="17"/>
  <c r="Y5" i="17"/>
  <c r="X5" i="17"/>
  <c r="W5" i="17"/>
  <c r="V5" i="17"/>
  <c r="U5" i="17"/>
  <c r="T5" i="17"/>
  <c r="S5" i="17"/>
  <c r="AE4" i="17"/>
  <c r="AD4" i="17"/>
  <c r="AC4" i="17"/>
  <c r="AB4" i="17"/>
  <c r="AA4" i="17"/>
  <c r="Z4" i="17"/>
  <c r="Y4" i="17"/>
  <c r="X4" i="17"/>
  <c r="W4" i="17"/>
  <c r="V4" i="17"/>
  <c r="U4" i="17"/>
  <c r="T4" i="17"/>
  <c r="S4" i="17"/>
  <c r="AE3" i="17"/>
  <c r="AD3" i="17"/>
  <c r="AC3" i="17"/>
  <c r="AB3" i="17"/>
  <c r="AA3" i="17"/>
  <c r="Z3" i="17"/>
  <c r="Y3" i="17"/>
  <c r="X3" i="17"/>
  <c r="W3" i="17"/>
  <c r="V3" i="17"/>
  <c r="U3" i="17"/>
  <c r="T3" i="17"/>
  <c r="S3" i="17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501" i="4"/>
  <c r="S9" i="10"/>
  <c r="R9" i="10"/>
  <c r="Q9" i="10"/>
  <c r="P9" i="10"/>
  <c r="O9" i="10"/>
  <c r="N9" i="10"/>
  <c r="M9" i="10"/>
  <c r="S8" i="10"/>
  <c r="R8" i="10"/>
  <c r="Q8" i="10"/>
  <c r="P8" i="10"/>
  <c r="O8" i="10"/>
  <c r="N8" i="10"/>
  <c r="M8" i="10"/>
  <c r="S7" i="10"/>
  <c r="R7" i="10"/>
  <c r="Q7" i="10"/>
  <c r="P7" i="10"/>
  <c r="O7" i="10"/>
  <c r="N7" i="10"/>
  <c r="M7" i="10"/>
  <c r="S6" i="10"/>
  <c r="R6" i="10"/>
  <c r="Q6" i="10"/>
  <c r="P6" i="10"/>
  <c r="O6" i="10"/>
  <c r="N6" i="10"/>
  <c r="M6" i="10"/>
  <c r="S5" i="10"/>
  <c r="R5" i="10"/>
  <c r="Q5" i="10"/>
  <c r="P5" i="10"/>
  <c r="O5" i="10"/>
  <c r="N5" i="10"/>
  <c r="M5" i="10"/>
  <c r="S4" i="10"/>
  <c r="R4" i="10"/>
  <c r="Q4" i="10"/>
  <c r="P4" i="10"/>
  <c r="O4" i="10"/>
  <c r="N4" i="10"/>
  <c r="M4" i="10"/>
  <c r="S3" i="10"/>
  <c r="R3" i="10"/>
  <c r="Q3" i="10"/>
  <c r="P3" i="10"/>
  <c r="O3" i="10"/>
  <c r="N3" i="10"/>
  <c r="M3" i="10"/>
  <c r="E12" i="8" l="1"/>
  <c r="C12" i="8"/>
  <c r="F9" i="8"/>
  <c r="E9" i="8"/>
  <c r="C9" i="8"/>
  <c r="B9" i="8"/>
  <c r="E8" i="8"/>
  <c r="B8" i="8"/>
  <c r="E7" i="8"/>
  <c r="B7" i="8"/>
  <c r="F6" i="8"/>
  <c r="E6" i="8"/>
  <c r="C6" i="8"/>
  <c r="C8" i="8" s="1"/>
  <c r="B6" i="8"/>
  <c r="C7" i="8" l="1"/>
</calcChain>
</file>

<file path=xl/sharedStrings.xml><?xml version="1.0" encoding="utf-8"?>
<sst xmlns="http://schemas.openxmlformats.org/spreadsheetml/2006/main" count="589" uniqueCount="61">
  <si>
    <t>Mario</t>
  </si>
  <si>
    <t>x</t>
  </si>
  <si>
    <t>y</t>
  </si>
  <si>
    <t>Refresh Rate</t>
  </si>
  <si>
    <t>*this value depends on speed of your PC and Excel, display will be jerky if set too high</t>
  </si>
  <si>
    <t>SIGMOID</t>
  </si>
  <si>
    <t>RELU</t>
  </si>
  <si>
    <t>LINEAR</t>
  </si>
  <si>
    <t>Player</t>
  </si>
  <si>
    <t>Maze</t>
  </si>
  <si>
    <t>Princess</t>
  </si>
  <si>
    <t>SOFTMAX</t>
  </si>
  <si>
    <t>Cycle</t>
  </si>
  <si>
    <t>Score</t>
  </si>
  <si>
    <t>Steps</t>
  </si>
  <si>
    <t>WinRate</t>
  </si>
  <si>
    <t>Turtle</t>
  </si>
  <si>
    <t>Label</t>
  </si>
  <si>
    <t>M</t>
  </si>
  <si>
    <t>Game</t>
  </si>
  <si>
    <t>Trained</t>
  </si>
  <si>
    <t>Stomp</t>
  </si>
  <si>
    <t>↑</t>
  </si>
  <si>
    <t>→</t>
  </si>
  <si>
    <t>↓</t>
  </si>
  <si>
    <t>←</t>
  </si>
  <si>
    <t>Greedy Actions from trained pilicy</t>
  </si>
  <si>
    <t>tuttle pos</t>
  </si>
  <si>
    <t>speed</t>
  </si>
  <si>
    <t>playe rpos</t>
  </si>
  <si>
    <t>player spead</t>
  </si>
  <si>
    <t>Action</t>
  </si>
  <si>
    <t>rewards</t>
  </si>
  <si>
    <t>discounted rewards</t>
  </si>
  <si>
    <t>advantages</t>
  </si>
  <si>
    <t>Date</t>
  </si>
  <si>
    <t>prob</t>
  </si>
  <si>
    <t>Value Error</t>
  </si>
  <si>
    <t xml:space="preserve"> </t>
  </si>
  <si>
    <t>Value (Error)</t>
  </si>
  <si>
    <t>MazeII</t>
  </si>
  <si>
    <t>P</t>
  </si>
  <si>
    <t xml:space="preserve">With memory </t>
  </si>
  <si>
    <t>No Memory</t>
  </si>
  <si>
    <t>F1</t>
  </si>
  <si>
    <t>F2</t>
  </si>
  <si>
    <t>F3</t>
  </si>
  <si>
    <t>F4</t>
  </si>
  <si>
    <t>Class</t>
  </si>
  <si>
    <t>Iris-setosa</t>
  </si>
  <si>
    <t>Iris-versicolor</t>
  </si>
  <si>
    <t>Iris-virginica</t>
  </si>
  <si>
    <t>Accuracy</t>
  </si>
  <si>
    <t>Fitted Class</t>
  </si>
  <si>
    <t>None</t>
  </si>
  <si>
    <t>RMS</t>
  </si>
  <si>
    <t>ADAM</t>
  </si>
  <si>
    <t>Loss</t>
  </si>
  <si>
    <t>step size</t>
  </si>
  <si>
    <t>*use trained or a randomly initialized player</t>
  </si>
  <si>
    <t>y_fit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</si>
</sst>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%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i/>
      <sz val="10"/>
      <color rgb="FFFF0000"/>
      <name val="Arial Narrow"/>
      <family val="2"/>
    </font>
    <font>
      <sz val="8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4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57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1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1" fillId="2" borderId="0" xfId="0" applyFont="1" applyFill="1" applyAlignment="1">
      <alignment horizontal="right"/>
    </xf>
    <xf numFmtId="0" fontId="2" fillId="2" borderId="0" xfId="0" applyFont="1" applyFill="1"/>
    <xf numFmtId="0" fontId="1" fillId="0" borderId="0" xfId="0" applyFont="1"/>
    <xf numFmtId="2" fontId="1" fillId="0" borderId="0" xfId="0" applyNumberFormat="1" applyFont="1" applyAlignment="1">
      <alignment horizontal="center"/>
    </xf>
    <xf numFmtId="0" fontId="1" fillId="3" borderId="9" xfId="0" applyFon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5" fillId="0" borderId="0" xfId="0" applyFont="1"/>
    <xf numFmtId="0" fontId="1" fillId="2" borderId="10" xfId="0" applyFont="1" applyFill="1" applyBorder="1"/>
    <xf numFmtId="0" fontId="1" fillId="2" borderId="11" xfId="0" applyFont="1" applyFill="1" applyBorder="1"/>
    <xf numFmtId="0" fontId="0" fillId="2" borderId="11" xfId="0" applyFill="1" applyBorder="1"/>
    <xf numFmtId="0" fontId="0" fillId="2" borderId="12" xfId="0" applyFill="1" applyBorder="1"/>
    <xf numFmtId="0" fontId="6" fillId="2" borderId="1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2" fontId="1" fillId="5" borderId="0" xfId="0" applyNumberFormat="1" applyFont="1" applyFill="1" applyAlignment="1">
      <alignment horizontal="center" vertical="center"/>
    </xf>
    <xf numFmtId="0" fontId="1" fillId="4" borderId="2" xfId="0" applyFont="1" applyFill="1" applyBorder="1" applyAlignment="1">
      <alignment horizontal="centerContinuous"/>
    </xf>
    <xf numFmtId="0" fontId="0" fillId="4" borderId="2" xfId="0" applyFill="1" applyBorder="1" applyAlignment="1">
      <alignment horizontal="centerContinuous"/>
    </xf>
    <xf numFmtId="10" fontId="0" fillId="0" borderId="0" xfId="1" applyNumberFormat="1" applyFont="1"/>
    <xf numFmtId="0" fontId="6" fillId="2" borderId="3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165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63BE7B"/>
      <color rgb="FFFAFAFA"/>
      <color rgb="FFF9F9F9"/>
      <color rgb="FFF4F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32852143482067E-2"/>
          <c:y val="5.0925925925925923E-2"/>
          <c:w val="0.86534492563429577"/>
          <c:h val="0.85198308544765233"/>
        </c:manualLayout>
      </c:layout>
      <c:scatterChart>
        <c:scatterStyle val="lineMarker"/>
        <c:varyColors val="0"/>
        <c:ser>
          <c:idx val="0"/>
          <c:order val="0"/>
          <c:tx>
            <c:strRef>
              <c:f>Stomp!$B$3</c:f>
              <c:strCache>
                <c:ptCount val="1"/>
                <c:pt idx="0">
                  <c:v>Mario</c:v>
                </c:pt>
              </c:strCache>
            </c:strRef>
          </c:tx>
          <c:spPr>
            <a:ln w="2222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Stomp!$B$5:$B$9</c:f>
              <c:numCache>
                <c:formatCode>General</c:formatCode>
                <c:ptCount val="5"/>
                <c:pt idx="0">
                  <c:v>0</c:v>
                </c:pt>
                <c:pt idx="1">
                  <c:v>-4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</c:numCache>
            </c:numRef>
          </c:xVal>
          <c:yVal>
            <c:numRef>
              <c:f>Stomp!$C$5:$C$9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16</c:v>
                </c:pt>
                <c:pt idx="3">
                  <c:v>8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1E-41C7-B875-18EB7F5D84B1}"/>
            </c:ext>
          </c:extLst>
        </c:ser>
        <c:ser>
          <c:idx val="1"/>
          <c:order val="1"/>
          <c:tx>
            <c:strRef>
              <c:f>Stomp!$E$3</c:f>
              <c:strCache>
                <c:ptCount val="1"/>
                <c:pt idx="0">
                  <c:v>Turtle</c:v>
                </c:pt>
              </c:strCache>
            </c:strRef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Stomp!$E$5:$E$9</c:f>
              <c:numCache>
                <c:formatCode>General</c:formatCode>
                <c:ptCount val="5"/>
                <c:pt idx="0">
                  <c:v>30</c:v>
                </c:pt>
                <c:pt idx="1">
                  <c:v>40</c:v>
                </c:pt>
                <c:pt idx="2">
                  <c:v>42</c:v>
                </c:pt>
                <c:pt idx="3">
                  <c:v>28</c:v>
                </c:pt>
                <c:pt idx="4">
                  <c:v>30</c:v>
                </c:pt>
              </c:numCache>
            </c:numRef>
          </c:xVal>
          <c:yVal>
            <c:numRef>
              <c:f>Stomp!$F$5:$F$9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1E-41C7-B875-18EB7F5D84B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D57F971-201D-417B-8199-F4829A55F845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71E-41C7-B875-18EB7F5D84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ln>
                      <a:noFill/>
                    </a:ln>
                    <a:solidFill>
                      <a:srgbClr val="FF0000"/>
                    </a:solidFill>
                    <a:latin typeface="Bahnschrift SemiBold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Stomp!$H$5</c:f>
              <c:numCache>
                <c:formatCode>General</c:formatCode>
                <c:ptCount val="1"/>
                <c:pt idx="0">
                  <c:v>15</c:v>
                </c:pt>
              </c:numCache>
            </c:numRef>
          </c:xVal>
          <c:yVal>
            <c:numRef>
              <c:f>Stomp!$I$5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Stomp!$J$5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03-F71E-41C7-B875-18EB7F5D84B1}"/>
            </c:ext>
          </c:extLst>
        </c:ser>
        <c:ser>
          <c:idx val="3"/>
          <c:order val="3"/>
          <c:tx>
            <c:strRef>
              <c:f>Stomp!$G$12</c:f>
              <c:strCache>
                <c:ptCount val="1"/>
                <c:pt idx="0">
                  <c:v>Turtle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Stomp!$E$12</c:f>
              <c:numCache>
                <c:formatCode>General</c:formatCode>
                <c:ptCount val="1"/>
                <c:pt idx="0">
                  <c:v>35</c:v>
                </c:pt>
              </c:numCache>
            </c:numRef>
          </c:xVal>
          <c:yVal>
            <c:numRef>
              <c:f>Stomp!$F$12</c:f>
              <c:numCache>
                <c:formatCode>General</c:formatCode>
                <c:ptCount val="1"/>
                <c:pt idx="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1E-41C7-B875-18EB7F5D84B1}"/>
            </c:ext>
          </c:extLst>
        </c:ser>
        <c:ser>
          <c:idx val="4"/>
          <c:order val="4"/>
          <c:tx>
            <c:strRef>
              <c:f>Stomp!$D$12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B0F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Stomp!$B$12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Stomp!$C$12</c:f>
              <c:numCache>
                <c:formatCode>General</c:formatCode>
                <c:ptCount val="1"/>
                <c:pt idx="0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71E-41C7-B875-18EB7F5D8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027744"/>
        <c:axId val="996677344"/>
      </c:scatterChart>
      <c:valAx>
        <c:axId val="1152027744"/>
        <c:scaling>
          <c:orientation val="minMax"/>
          <c:max val="50"/>
          <c:min val="-2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96677344"/>
        <c:crosses val="autoZero"/>
        <c:crossBetween val="midCat"/>
      </c:valAx>
      <c:valAx>
        <c:axId val="996677344"/>
        <c:scaling>
          <c:orientation val="minMax"/>
          <c:max val="50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52027744"/>
        <c:crosses val="autoZero"/>
        <c:crossBetween val="midCat"/>
      </c:valAx>
      <c:spPr>
        <a:solidFill>
          <a:srgbClr val="F4F9F1"/>
        </a:solidFill>
        <a:ln>
          <a:solidFill>
            <a:schemeClr val="tx1"/>
          </a:solidFill>
        </a:ln>
        <a:effectLst>
          <a:innerShdw blurRad="114300">
            <a:prstClr val="black"/>
          </a:inn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Stomp!$AA$1</c:f>
              <c:strCache>
                <c:ptCount val="1"/>
                <c:pt idx="0">
                  <c:v>rewards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Stomp!$U$2:$U$44</c:f>
              <c:numCache>
                <c:formatCode>General</c:formatCode>
                <c:ptCount val="43"/>
              </c:numCache>
            </c:numRef>
          </c:xVal>
          <c:yVal>
            <c:numRef>
              <c:f>Stomp!$AA$2:$AA$44</c:f>
              <c:numCache>
                <c:formatCode>General</c:formatCode>
                <c:ptCount val="4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8-4918-90F4-2395D7A8B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72832"/>
        <c:axId val="453070912"/>
      </c:scatterChart>
      <c:scatterChart>
        <c:scatterStyle val="lineMarker"/>
        <c:varyColors val="0"/>
        <c:ser>
          <c:idx val="1"/>
          <c:order val="1"/>
          <c:tx>
            <c:strRef>
              <c:f>Stomp!$AC$1</c:f>
              <c:strCache>
                <c:ptCount val="1"/>
                <c:pt idx="0">
                  <c:v>advantages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Stomp!$U$2:$U$44</c:f>
              <c:numCache>
                <c:formatCode>General</c:formatCode>
                <c:ptCount val="43"/>
              </c:numCache>
            </c:numRef>
          </c:xVal>
          <c:yVal>
            <c:numRef>
              <c:f>Stomp!$AC$2:$AC$44</c:f>
              <c:numCache>
                <c:formatCode>General</c:formatCode>
                <c:ptCount val="4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8-4918-90F4-2395D7A8B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5072"/>
        <c:axId val="453069952"/>
      </c:scatterChart>
      <c:valAx>
        <c:axId val="453072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70912"/>
        <c:crosses val="autoZero"/>
        <c:crossBetween val="midCat"/>
      </c:valAx>
      <c:valAx>
        <c:axId val="45307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72832"/>
        <c:crosses val="autoZero"/>
        <c:crossBetween val="midCat"/>
      </c:valAx>
      <c:valAx>
        <c:axId val="453069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55072"/>
        <c:crosses val="max"/>
        <c:crossBetween val="midCat"/>
      </c:valAx>
      <c:valAx>
        <c:axId val="453055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3069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32852143482067E-2"/>
          <c:y val="5.0925925925925923E-2"/>
          <c:w val="0.86534492563429577"/>
          <c:h val="0.85198308544765233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Maze!$B$3</c:f>
              <c:strCache>
                <c:ptCount val="1"/>
                <c:pt idx="0">
                  <c:v>Mario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0DE2D6B-CA85-45DB-A4B2-A517568BD174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039C-4859-BE2A-909E8F8AE3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Maze!$B$5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Maze!$C$5</c:f>
              <c:numCache>
                <c:formatCode>General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Maze!$D$5</c15:f>
                <c15:dlblRangeCache>
                  <c:ptCount val="1"/>
                  <c:pt idx="0">
                    <c:v>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20B-4885-A21A-F07F1E6A3583}"/>
            </c:ext>
          </c:extLst>
        </c:ser>
        <c:ser>
          <c:idx val="1"/>
          <c:order val="1"/>
          <c:tx>
            <c:strRef>
              <c:f>Maze!$E$3</c:f>
              <c:strCache>
                <c:ptCount val="1"/>
                <c:pt idx="0">
                  <c:v>Maze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0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Maze!$E$5:$E$31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7</c:v>
                </c:pt>
              </c:numCache>
            </c:numRef>
          </c:xVal>
          <c:yVal>
            <c:numRef>
              <c:f>Maze!$F$5:$F$31</c:f>
              <c:numCache>
                <c:formatCode>General</c:formatCode>
                <c:ptCount val="27"/>
                <c:pt idx="0">
                  <c:v>5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4</c:v>
                </c:pt>
                <c:pt idx="11">
                  <c:v>6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0B-4885-A21A-F07F1E6A3583}"/>
            </c:ext>
          </c:extLst>
        </c:ser>
        <c:ser>
          <c:idx val="2"/>
          <c:order val="2"/>
          <c:tx>
            <c:strRef>
              <c:f>Maze!$H$3</c:f>
              <c:strCache>
                <c:ptCount val="1"/>
                <c:pt idx="0">
                  <c:v>Princess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noFill/>
              <a:ln w="44450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23AA2E4-2841-4BD4-B3AC-0D993F8F4649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39C-4859-BE2A-909E8F8AE3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Maze!$H$5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Maze!$I$5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Maze!$J$5</c15:f>
                <c15:dlblRangeCache>
                  <c:ptCount val="1"/>
                  <c:pt idx="0">
                    <c:v>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3BB-4D28-9BF5-0273255F7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027744"/>
        <c:axId val="996677344"/>
      </c:scatterChart>
      <c:valAx>
        <c:axId val="1152027744"/>
        <c:scaling>
          <c:orientation val="minMax"/>
          <c:max val="7.5"/>
          <c:min val="0.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96677344"/>
        <c:crosses val="autoZero"/>
        <c:crossBetween val="midCat"/>
      </c:valAx>
      <c:valAx>
        <c:axId val="996677344"/>
        <c:scaling>
          <c:orientation val="minMax"/>
          <c:max val="7.5"/>
          <c:min val="0.5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52027744"/>
        <c:crosses val="autoZero"/>
        <c:crossBetween val="midCat"/>
      </c:valAx>
      <c:spPr>
        <a:solidFill>
          <a:srgbClr val="F4F9F1"/>
        </a:solidFill>
        <a:ln>
          <a:solidFill>
            <a:schemeClr val="tx1"/>
          </a:solidFill>
        </a:ln>
        <a:effectLst>
          <a:innerShdw blurRad="114300">
            <a:prstClr val="black"/>
          </a:inn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32852143482067E-2"/>
          <c:y val="5.0925925925925923E-2"/>
          <c:w val="0.86534492563429577"/>
          <c:h val="0.85198308544765233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MazeII!$B$3</c:f>
              <c:strCache>
                <c:ptCount val="1"/>
                <c:pt idx="0">
                  <c:v>Mario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E3A61C-2386-4F6A-A7B2-E8B779154252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A71-4508-AF8E-14C2CF563E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71-4508-AF8E-14C2CF563E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A71-4508-AF8E-14C2CF563E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A71-4508-AF8E-14C2CF563E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A71-4508-AF8E-14C2CF563E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MazeII!$B$5:$B$9</c:f>
              <c:numCache>
                <c:formatCode>General</c:formatCode>
                <c:ptCount val="5"/>
                <c:pt idx="0">
                  <c:v>1</c:v>
                </c:pt>
              </c:numCache>
            </c:numRef>
          </c:xVal>
          <c:yVal>
            <c:numRef>
              <c:f>MazeII!$C$5:$C$9</c:f>
              <c:numCache>
                <c:formatCode>General</c:formatCode>
                <c:ptCount val="5"/>
                <c:pt idx="0">
                  <c:v>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MazeII!$D$5</c15:f>
                <c15:dlblRangeCache>
                  <c:ptCount val="1"/>
                  <c:pt idx="0">
                    <c:v>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712-4AA1-9C6F-D2772362DF01}"/>
            </c:ext>
          </c:extLst>
        </c:ser>
        <c:ser>
          <c:idx val="1"/>
          <c:order val="1"/>
          <c:tx>
            <c:strRef>
              <c:f>MazeII!$E$3</c:f>
              <c:strCache>
                <c:ptCount val="1"/>
                <c:pt idx="0">
                  <c:v>Maze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0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MazeII!$E$5:$E$31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9</c:v>
                </c:pt>
                <c:pt idx="18">
                  <c:v>10</c:v>
                </c:pt>
                <c:pt idx="19">
                  <c:v>11</c:v>
                </c:pt>
                <c:pt idx="20">
                  <c:v>12</c:v>
                </c:pt>
                <c:pt idx="21">
                  <c:v>13</c:v>
                </c:pt>
                <c:pt idx="22">
                  <c:v>9</c:v>
                </c:pt>
                <c:pt idx="23">
                  <c:v>10</c:v>
                </c:pt>
                <c:pt idx="24">
                  <c:v>11</c:v>
                </c:pt>
                <c:pt idx="25">
                  <c:v>12</c:v>
                </c:pt>
                <c:pt idx="26">
                  <c:v>13</c:v>
                </c:pt>
              </c:numCache>
            </c:numRef>
          </c:xVal>
          <c:yVal>
            <c:numRef>
              <c:f>MazeII!$F$5:$F$31</c:f>
              <c:numCache>
                <c:formatCode>General</c:formatCode>
                <c:ptCount val="27"/>
                <c:pt idx="0">
                  <c:v>5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4</c:v>
                </c:pt>
                <c:pt idx="11">
                  <c:v>6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  <c:pt idx="15">
                  <c:v>7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2-4AA1-9C6F-D2772362DF01}"/>
            </c:ext>
          </c:extLst>
        </c:ser>
        <c:ser>
          <c:idx val="2"/>
          <c:order val="2"/>
          <c:tx>
            <c:strRef>
              <c:f>MazeII!$H$3</c:f>
              <c:strCache>
                <c:ptCount val="1"/>
                <c:pt idx="0">
                  <c:v>Princess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noFill/>
              <a:ln w="44450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FC666B4-DA34-4A0E-B6EF-5557E6E95B77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BA71-4508-AF8E-14C2CF563E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71-4508-AF8E-14C2CF563E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A71-4508-AF8E-14C2CF563E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A71-4508-AF8E-14C2CF563E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A71-4508-AF8E-14C2CF563E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MazeII!$H$5:$H$9</c:f>
              <c:numCache>
                <c:formatCode>General</c:formatCode>
                <c:ptCount val="5"/>
                <c:pt idx="0">
                  <c:v>13</c:v>
                </c:pt>
              </c:numCache>
            </c:numRef>
          </c:xVal>
          <c:yVal>
            <c:numRef>
              <c:f>MazeII!$I$5:$I$9</c:f>
              <c:numCache>
                <c:formatCode>General</c:formatCode>
                <c:ptCount val="5"/>
                <c:pt idx="0">
                  <c:v>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MazeII!$J$5</c15:f>
                <c15:dlblRangeCache>
                  <c:ptCount val="1"/>
                  <c:pt idx="0">
                    <c:v>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1712-4AA1-9C6F-D2772362D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027744"/>
        <c:axId val="996677344"/>
      </c:scatterChart>
      <c:valAx>
        <c:axId val="1152027744"/>
        <c:scaling>
          <c:orientation val="minMax"/>
          <c:max val="13.5"/>
          <c:min val="0.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96677344"/>
        <c:crosses val="autoZero"/>
        <c:crossBetween val="midCat"/>
      </c:valAx>
      <c:valAx>
        <c:axId val="996677344"/>
        <c:scaling>
          <c:orientation val="minMax"/>
          <c:max val="7.5"/>
          <c:min val="0.5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52027744"/>
        <c:crosses val="autoZero"/>
        <c:crossBetween val="midCat"/>
      </c:valAx>
      <c:spPr>
        <a:solidFill>
          <a:srgbClr val="F4F9F1"/>
        </a:solidFill>
        <a:ln>
          <a:solidFill>
            <a:schemeClr val="tx1"/>
          </a:solidFill>
        </a:ln>
        <a:effectLst>
          <a:innerShdw blurRad="114300">
            <a:prstClr val="black"/>
          </a:inn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29166666666667"/>
          <c:y val="6.4675925925925928E-2"/>
          <c:w val="0.81180631313131313"/>
          <c:h val="0.73154537037037037"/>
        </c:manualLayout>
      </c:layout>
      <c:scatterChart>
        <c:scatterStyle val="lineMarker"/>
        <c:varyColors val="0"/>
        <c:ser>
          <c:idx val="2"/>
          <c:order val="0"/>
          <c:tx>
            <c:strRef>
              <c:f>Sheet1!$B$5</c:f>
              <c:strCache>
                <c:ptCount val="1"/>
                <c:pt idx="0">
                  <c:v>No Memory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Sheet1!$B$6:$B$55</c:f>
              <c:numCache>
                <c:formatCode>General</c:formatCode>
                <c:ptCount val="50"/>
                <c:pt idx="0">
                  <c:v>-72.997000000000071</c:v>
                </c:pt>
                <c:pt idx="1">
                  <c:v>-57.000999999999941</c:v>
                </c:pt>
                <c:pt idx="2">
                  <c:v>-48.777999999999935</c:v>
                </c:pt>
                <c:pt idx="3">
                  <c:v>-36.893999999999934</c:v>
                </c:pt>
                <c:pt idx="4">
                  <c:v>-28.066999999999947</c:v>
                </c:pt>
                <c:pt idx="5">
                  <c:v>-19.472999999999971</c:v>
                </c:pt>
                <c:pt idx="6">
                  <c:v>-10.707999999999988</c:v>
                </c:pt>
                <c:pt idx="7">
                  <c:v>-7.9189999999999916</c:v>
                </c:pt>
                <c:pt idx="8">
                  <c:v>-6.8579999999999934</c:v>
                </c:pt>
                <c:pt idx="9">
                  <c:v>-6.4549999999999832</c:v>
                </c:pt>
                <c:pt idx="10">
                  <c:v>-6.3249999999999762</c:v>
                </c:pt>
                <c:pt idx="11">
                  <c:v>-6.3689999999999714</c:v>
                </c:pt>
                <c:pt idx="12">
                  <c:v>-5.8519999999999675</c:v>
                </c:pt>
                <c:pt idx="13">
                  <c:v>-5.2649999999999659</c:v>
                </c:pt>
                <c:pt idx="14">
                  <c:v>-5.0049999999999644</c:v>
                </c:pt>
                <c:pt idx="15">
                  <c:v>-4.6579999999999622</c:v>
                </c:pt>
                <c:pt idx="16">
                  <c:v>-4.7179999999999618</c:v>
                </c:pt>
                <c:pt idx="17">
                  <c:v>-3.2019999999999591</c:v>
                </c:pt>
                <c:pt idx="18">
                  <c:v>-2.8549999999999573</c:v>
                </c:pt>
                <c:pt idx="19">
                  <c:v>-2.5849999999999569</c:v>
                </c:pt>
                <c:pt idx="20">
                  <c:v>-3.0799999999999579</c:v>
                </c:pt>
                <c:pt idx="21">
                  <c:v>-2.5419999999999567</c:v>
                </c:pt>
                <c:pt idx="22">
                  <c:v>-2.0459999999999554</c:v>
                </c:pt>
                <c:pt idx="23">
                  <c:v>-2.4499999999999567</c:v>
                </c:pt>
                <c:pt idx="24">
                  <c:v>-2.2099999999999556</c:v>
                </c:pt>
                <c:pt idx="25">
                  <c:v>-2.1049999999999547</c:v>
                </c:pt>
                <c:pt idx="26">
                  <c:v>-1.5059999999999525</c:v>
                </c:pt>
                <c:pt idx="27">
                  <c:v>-1.7319999999999545</c:v>
                </c:pt>
                <c:pt idx="28">
                  <c:v>-3.5149999999999593</c:v>
                </c:pt>
                <c:pt idx="29">
                  <c:v>-3.7699999999999556</c:v>
                </c:pt>
                <c:pt idx="30">
                  <c:v>-5.6749999999999625</c:v>
                </c:pt>
                <c:pt idx="31">
                  <c:v>-4.7649999999999606</c:v>
                </c:pt>
                <c:pt idx="32">
                  <c:v>-4.0879999999999583</c:v>
                </c:pt>
                <c:pt idx="33">
                  <c:v>-5.5579999999999616</c:v>
                </c:pt>
                <c:pt idx="34">
                  <c:v>-6.2769999999999619</c:v>
                </c:pt>
                <c:pt idx="35">
                  <c:v>-2.824999999999954</c:v>
                </c:pt>
                <c:pt idx="36">
                  <c:v>-5.1209999999999605</c:v>
                </c:pt>
                <c:pt idx="37">
                  <c:v>-5.6459999999999608</c:v>
                </c:pt>
                <c:pt idx="38">
                  <c:v>-1.9699999999999531</c:v>
                </c:pt>
                <c:pt idx="39">
                  <c:v>-4.8959999999999608</c:v>
                </c:pt>
                <c:pt idx="40">
                  <c:v>-2.9599999999999556</c:v>
                </c:pt>
                <c:pt idx="41">
                  <c:v>-1.9999999999999531</c:v>
                </c:pt>
                <c:pt idx="42">
                  <c:v>-3.5449999999999564</c:v>
                </c:pt>
                <c:pt idx="43">
                  <c:v>-3.4549999999999561</c:v>
                </c:pt>
                <c:pt idx="44">
                  <c:v>-2.2399999999999536</c:v>
                </c:pt>
                <c:pt idx="45">
                  <c:v>-1.3709999999999505</c:v>
                </c:pt>
                <c:pt idx="46">
                  <c:v>0.74500000000005562</c:v>
                </c:pt>
                <c:pt idx="47">
                  <c:v>0.52000000000005409</c:v>
                </c:pt>
                <c:pt idx="48">
                  <c:v>-1.1599999999999511</c:v>
                </c:pt>
                <c:pt idx="49">
                  <c:v>1.7350000000000589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7F-4A53-A801-0AD7CB51EC7B}"/>
            </c:ext>
          </c:extLst>
        </c:ser>
        <c:ser>
          <c:idx val="1"/>
          <c:order val="1"/>
          <c:tx>
            <c:strRef>
              <c:f>Sheet1!$F$5</c:f>
              <c:strCache>
                <c:ptCount val="1"/>
                <c:pt idx="0">
                  <c:v>With memory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Sheet1!$F$6:$F$55</c:f>
              <c:numCache>
                <c:formatCode>General</c:formatCode>
                <c:ptCount val="50"/>
                <c:pt idx="0">
                  <c:v>-71.258000000000052</c:v>
                </c:pt>
                <c:pt idx="1">
                  <c:v>-57.991999999999962</c:v>
                </c:pt>
                <c:pt idx="2">
                  <c:v>-45.920999999999943</c:v>
                </c:pt>
                <c:pt idx="3">
                  <c:v>-35.180999999999948</c:v>
                </c:pt>
                <c:pt idx="4">
                  <c:v>-23.431999999999952</c:v>
                </c:pt>
                <c:pt idx="5">
                  <c:v>-9.9979999999999869</c:v>
                </c:pt>
                <c:pt idx="6">
                  <c:v>-1.0161999999999802</c:v>
                </c:pt>
                <c:pt idx="7">
                  <c:v>4.5876000000000428</c:v>
                </c:pt>
                <c:pt idx="8">
                  <c:v>29.94800000000005</c:v>
                </c:pt>
                <c:pt idx="9">
                  <c:v>38.705200000000055</c:v>
                </c:pt>
                <c:pt idx="10">
                  <c:v>54.173800000000028</c:v>
                </c:pt>
                <c:pt idx="11">
                  <c:v>57.382000000000026</c:v>
                </c:pt>
                <c:pt idx="12">
                  <c:v>60.468600000000016</c:v>
                </c:pt>
                <c:pt idx="13">
                  <c:v>67.551000000000002</c:v>
                </c:pt>
                <c:pt idx="14">
                  <c:v>64.918000000000006</c:v>
                </c:pt>
                <c:pt idx="15">
                  <c:v>66.058199999999985</c:v>
                </c:pt>
                <c:pt idx="16">
                  <c:v>63.839999999999989</c:v>
                </c:pt>
                <c:pt idx="17">
                  <c:v>61.837399999999988</c:v>
                </c:pt>
                <c:pt idx="18">
                  <c:v>65.527600000000007</c:v>
                </c:pt>
                <c:pt idx="19">
                  <c:v>65.363599999999991</c:v>
                </c:pt>
                <c:pt idx="20">
                  <c:v>65.470399999999984</c:v>
                </c:pt>
                <c:pt idx="21">
                  <c:v>65.845199999999977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7F-4A53-A801-0AD7CB51E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468175"/>
        <c:axId val="1714456175"/>
      </c:scatterChart>
      <c:valAx>
        <c:axId val="1714468175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number of training</a:t>
                </a:r>
                <a:r>
                  <a:rPr lang="en-HK" baseline="0"/>
                  <a:t> cycles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.36435833333333334"/>
              <c:y val="0.90776759259259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56175"/>
        <c:crosses val="autoZero"/>
        <c:crossBetween val="midCat"/>
      </c:valAx>
      <c:valAx>
        <c:axId val="17144561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Averge</a:t>
                </a:r>
                <a:r>
                  <a:rPr lang="en-HK" baseline="0"/>
                  <a:t> scores of 50 games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"/>
              <c:y val="0.10759814814814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8175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41179267676767678"/>
          <c:y val="0.65185694444444442"/>
          <c:w val="0.54240530303030299"/>
          <c:h val="0.10119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84217171717172"/>
          <c:y val="6.4675925925925928E-2"/>
          <c:w val="0.83425580808080813"/>
          <c:h val="0.73154537037037037"/>
        </c:manualLayout>
      </c:layout>
      <c:scatterChart>
        <c:scatterStyle val="lineMarker"/>
        <c:varyColors val="0"/>
        <c:ser>
          <c:idx val="2"/>
          <c:order val="0"/>
          <c:tx>
            <c:strRef>
              <c:f>Sheet1!$D$5</c:f>
              <c:strCache>
                <c:ptCount val="1"/>
                <c:pt idx="0">
                  <c:v>No Memory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Sheet1!$D$6:$D$55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11-4DA3-84AC-CB6A15510755}"/>
            </c:ext>
          </c:extLst>
        </c:ser>
        <c:ser>
          <c:idx val="1"/>
          <c:order val="1"/>
          <c:tx>
            <c:strRef>
              <c:f>Sheet1!$H$5</c:f>
              <c:strCache>
                <c:ptCount val="1"/>
                <c:pt idx="0">
                  <c:v>With memory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Sheet1!$H$6:$H$55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0.02</c:v>
                </c:pt>
                <c:pt idx="6">
                  <c:v>0.06</c:v>
                </c:pt>
                <c:pt idx="7">
                  <c:v>0.08</c:v>
                </c:pt>
                <c:pt idx="8">
                  <c:v>0.44</c:v>
                </c:pt>
                <c:pt idx="9">
                  <c:v>0.57999999999999996</c:v>
                </c:pt>
                <c:pt idx="10">
                  <c:v>0.82</c:v>
                </c:pt>
                <c:pt idx="11">
                  <c:v>0.86</c:v>
                </c:pt>
                <c:pt idx="12">
                  <c:v>0.92</c:v>
                </c:pt>
                <c:pt idx="13">
                  <c:v>1</c:v>
                </c:pt>
                <c:pt idx="14">
                  <c:v>0.98</c:v>
                </c:pt>
                <c:pt idx="15">
                  <c:v>1</c:v>
                </c:pt>
                <c:pt idx="16">
                  <c:v>0.98</c:v>
                </c:pt>
                <c:pt idx="17">
                  <c:v>0.96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11-4DA3-84AC-CB6A15510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468175"/>
        <c:axId val="1714456175"/>
      </c:scatterChart>
      <c:valAx>
        <c:axId val="1714468175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number of training</a:t>
                </a:r>
                <a:r>
                  <a:rPr lang="en-HK" baseline="0"/>
                  <a:t> cycles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.36435833333333334"/>
              <c:y val="0.90776759259259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56175"/>
        <c:crosses val="autoZero"/>
        <c:crossBetween val="midCat"/>
      </c:valAx>
      <c:valAx>
        <c:axId val="17144561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Win Rate</a:t>
                </a:r>
                <a:r>
                  <a:rPr lang="en-HK" baseline="0"/>
                  <a:t> of 50 games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"/>
              <c:y val="0.142875925925925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8175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41179267676767678"/>
          <c:y val="0.65185694444444442"/>
          <c:w val="0.54240530303030299"/>
          <c:h val="0.10119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MazeTrainProgress!$B$1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MazeTrainProgress!$B$2:$B$5001</c:f>
              <c:numCache>
                <c:formatCode>General</c:formatCode>
                <c:ptCount val="5000"/>
                <c:pt idx="0">
                  <c:v>-38.233999999999973</c:v>
                </c:pt>
                <c:pt idx="1">
                  <c:v>-30.683999999999973</c:v>
                </c:pt>
                <c:pt idx="2">
                  <c:v>-26.289999999999974</c:v>
                </c:pt>
                <c:pt idx="3">
                  <c:v>-21.312999999999985</c:v>
                </c:pt>
                <c:pt idx="4">
                  <c:v>-16.735799999999987</c:v>
                </c:pt>
                <c:pt idx="5">
                  <c:v>-12.224799999999993</c:v>
                </c:pt>
                <c:pt idx="6">
                  <c:v>-1.4323999999999992</c:v>
                </c:pt>
                <c:pt idx="7">
                  <c:v>10.003199999999998</c:v>
                </c:pt>
                <c:pt idx="8">
                  <c:v>16.388199999999998</c:v>
                </c:pt>
                <c:pt idx="9">
                  <c:v>18.454600000000006</c:v>
                </c:pt>
                <c:pt idx="10">
                  <c:v>19.359199999999998</c:v>
                </c:pt>
                <c:pt idx="11">
                  <c:v>19.936</c:v>
                </c:pt>
                <c:pt idx="12">
                  <c:v>20.005400000000005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90-427D-A35D-DD38DB379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tx>
            <c:strRef>
              <c:f>MazeTrainProgress!$D$1</c:f>
              <c:strCache>
                <c:ptCount val="1"/>
                <c:pt idx="0">
                  <c:v>WinRate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MazeTrainProgress!$A$2:$A$5001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MazeTrainProgress!$D$2:$D$5001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0.02</c:v>
                </c:pt>
                <c:pt idx="5">
                  <c:v>0.04</c:v>
                </c:pt>
                <c:pt idx="6">
                  <c:v>0.4</c:v>
                </c:pt>
                <c:pt idx="7">
                  <c:v>0.88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90-427D-A35D-DD38DB379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4527"/>
        <c:axId val="1583762207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1583762207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83754527"/>
        <c:crosses val="max"/>
        <c:crossBetween val="midCat"/>
      </c:valAx>
      <c:valAx>
        <c:axId val="158375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3762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MazeTrainProgress!$G$1</c:f>
              <c:strCache>
                <c:ptCount val="1"/>
                <c:pt idx="0">
                  <c:v>Value (Error)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MazeTrainProgress!$G$2:$G$5001</c:f>
              <c:numCache>
                <c:formatCode>General</c:formatCode>
                <c:ptCount val="5000"/>
                <c:pt idx="0">
                  <c:v>0.24525608241601562</c:v>
                </c:pt>
                <c:pt idx="1">
                  <c:v>0.24806937662720405</c:v>
                </c:pt>
                <c:pt idx="2">
                  <c:v>0.25811513252049734</c:v>
                </c:pt>
                <c:pt idx="3">
                  <c:v>0.25900017521269442</c:v>
                </c:pt>
                <c:pt idx="4">
                  <c:v>0.27161798918649177</c:v>
                </c:pt>
                <c:pt idx="5">
                  <c:v>0.27637845422936502</c:v>
                </c:pt>
                <c:pt idx="6">
                  <c:v>0.29016291248708687</c:v>
                </c:pt>
                <c:pt idx="7">
                  <c:v>0.28784896783543618</c:v>
                </c:pt>
                <c:pt idx="8">
                  <c:v>0.29488560002377157</c:v>
                </c:pt>
                <c:pt idx="9">
                  <c:v>0.29722031973107166</c:v>
                </c:pt>
                <c:pt idx="10">
                  <c:v>0.29818833730360628</c:v>
                </c:pt>
                <c:pt idx="11">
                  <c:v>0.29262886265092752</c:v>
                </c:pt>
                <c:pt idx="12">
                  <c:v>0.29514327358970061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75-4F85-AFAA-0059906E4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MazeIITrainProgress!$B$1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MazeIITrainProgress!$A$2:$A$5001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MazeIITrainProgress!$B$2:$B$5001</c:f>
              <c:numCache>
                <c:formatCode>General</c:formatCode>
                <c:ptCount val="5000"/>
                <c:pt idx="0">
                  <c:v>-71.258000000000052</c:v>
                </c:pt>
                <c:pt idx="1">
                  <c:v>-57.991999999999962</c:v>
                </c:pt>
                <c:pt idx="2">
                  <c:v>-45.920999999999943</c:v>
                </c:pt>
                <c:pt idx="3">
                  <c:v>-35.180999999999948</c:v>
                </c:pt>
                <c:pt idx="4">
                  <c:v>-23.431999999999952</c:v>
                </c:pt>
                <c:pt idx="5">
                  <c:v>-9.9979999999999869</c:v>
                </c:pt>
                <c:pt idx="6">
                  <c:v>-1.0161999999999802</c:v>
                </c:pt>
                <c:pt idx="7">
                  <c:v>4.5876000000000428</c:v>
                </c:pt>
                <c:pt idx="8">
                  <c:v>29.94800000000005</c:v>
                </c:pt>
                <c:pt idx="9">
                  <c:v>38.705200000000055</c:v>
                </c:pt>
                <c:pt idx="10">
                  <c:v>54.173800000000028</c:v>
                </c:pt>
                <c:pt idx="11">
                  <c:v>57.382000000000026</c:v>
                </c:pt>
                <c:pt idx="12">
                  <c:v>60.468600000000016</c:v>
                </c:pt>
                <c:pt idx="13">
                  <c:v>67.551000000000002</c:v>
                </c:pt>
                <c:pt idx="14">
                  <c:v>64.918000000000006</c:v>
                </c:pt>
                <c:pt idx="15">
                  <c:v>66.058199999999985</c:v>
                </c:pt>
                <c:pt idx="16">
                  <c:v>63.839999999999989</c:v>
                </c:pt>
                <c:pt idx="17">
                  <c:v>61.837399999999988</c:v>
                </c:pt>
                <c:pt idx="18">
                  <c:v>65.527600000000007</c:v>
                </c:pt>
                <c:pt idx="19">
                  <c:v>65.363599999999991</c:v>
                </c:pt>
                <c:pt idx="20">
                  <c:v>65.470399999999984</c:v>
                </c:pt>
                <c:pt idx="21">
                  <c:v>65.845199999999977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87-4AC9-80F7-549280EAC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tx>
            <c:strRef>
              <c:f>MazeIITrainProgress!$D$1</c:f>
              <c:strCache>
                <c:ptCount val="1"/>
                <c:pt idx="0">
                  <c:v>WinRate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MazeIITrainProgress!$A$2:$A$5001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MazeIITrainProgress!$D$2:$D$5001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0.02</c:v>
                </c:pt>
                <c:pt idx="6">
                  <c:v>0.06</c:v>
                </c:pt>
                <c:pt idx="7">
                  <c:v>0.08</c:v>
                </c:pt>
                <c:pt idx="8">
                  <c:v>0.44</c:v>
                </c:pt>
                <c:pt idx="9">
                  <c:v>0.57999999999999996</c:v>
                </c:pt>
                <c:pt idx="10">
                  <c:v>0.82</c:v>
                </c:pt>
                <c:pt idx="11">
                  <c:v>0.86</c:v>
                </c:pt>
                <c:pt idx="12">
                  <c:v>0.92</c:v>
                </c:pt>
                <c:pt idx="13">
                  <c:v>1</c:v>
                </c:pt>
                <c:pt idx="14">
                  <c:v>0.98</c:v>
                </c:pt>
                <c:pt idx="15">
                  <c:v>1</c:v>
                </c:pt>
                <c:pt idx="16">
                  <c:v>0.98</c:v>
                </c:pt>
                <c:pt idx="17">
                  <c:v>0.96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87-4AC9-80F7-549280EAC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4527"/>
        <c:axId val="1583762207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1583762207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83754527"/>
        <c:crosses val="max"/>
        <c:crossBetween val="midCat"/>
      </c:valAx>
      <c:valAx>
        <c:axId val="158375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3762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MazeIITrainProgress!$G$1</c:f>
              <c:strCache>
                <c:ptCount val="1"/>
                <c:pt idx="0">
                  <c:v>Value (Error)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MazeIITrainProgress!$F$2:$F$5001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MazeIITrainProgress!$G$2:$G$5001</c:f>
              <c:numCache>
                <c:formatCode>General</c:formatCode>
                <c:ptCount val="5000"/>
                <c:pt idx="0">
                  <c:v>1.8076285164275065</c:v>
                </c:pt>
                <c:pt idx="1">
                  <c:v>1.8032872480047606</c:v>
                </c:pt>
                <c:pt idx="2">
                  <c:v>1.7314562263136164</c:v>
                </c:pt>
                <c:pt idx="3">
                  <c:v>1.7046564498113039</c:v>
                </c:pt>
                <c:pt idx="4">
                  <c:v>1.6224562729656504</c:v>
                </c:pt>
                <c:pt idx="5">
                  <c:v>1.6634067137915416</c:v>
                </c:pt>
                <c:pt idx="6">
                  <c:v>1.5786757619212841</c:v>
                </c:pt>
                <c:pt idx="7">
                  <c:v>1.5528679716563114</c:v>
                </c:pt>
                <c:pt idx="8">
                  <c:v>1.5153901873357503</c:v>
                </c:pt>
                <c:pt idx="9">
                  <c:v>1.4608099230767126</c:v>
                </c:pt>
                <c:pt idx="10">
                  <c:v>1.3962009820430306</c:v>
                </c:pt>
                <c:pt idx="11">
                  <c:v>1.3102722744778239</c:v>
                </c:pt>
                <c:pt idx="12">
                  <c:v>1.2553937409016163</c:v>
                </c:pt>
                <c:pt idx="13">
                  <c:v>1.2598203862513997</c:v>
                </c:pt>
                <c:pt idx="14">
                  <c:v>1.2106417539141157</c:v>
                </c:pt>
                <c:pt idx="15">
                  <c:v>1.152820732274334</c:v>
                </c:pt>
                <c:pt idx="16">
                  <c:v>1.100625891601535</c:v>
                </c:pt>
                <c:pt idx="17">
                  <c:v>1.0809085395088587</c:v>
                </c:pt>
                <c:pt idx="18">
                  <c:v>1.2761264878610914</c:v>
                </c:pt>
                <c:pt idx="19">
                  <c:v>1.2836528828650562</c:v>
                </c:pt>
                <c:pt idx="20">
                  <c:v>1.2148217964722186</c:v>
                </c:pt>
                <c:pt idx="21">
                  <c:v>1.1894439323035004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E6-4BA7-8B49-30A76233E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StompTrainProgress!$B$1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</c:numCache>
            </c:numRef>
          </c:xVal>
          <c:yVal>
            <c:numRef>
              <c:f>StompTrainProgress!$B$2:$B$5001</c:f>
              <c:numCache>
                <c:formatCode>General</c:formatCode>
                <c:ptCount val="5000"/>
                <c:pt idx="0">
                  <c:v>-28.150174296379092</c:v>
                </c:pt>
                <c:pt idx="1">
                  <c:v>-24.406170118570344</c:v>
                </c:pt>
                <c:pt idx="2">
                  <c:v>-21.445352877378468</c:v>
                </c:pt>
                <c:pt idx="3">
                  <c:v>-14.30245124042035</c:v>
                </c:pt>
                <c:pt idx="4">
                  <c:v>-11.698168813705445</c:v>
                </c:pt>
                <c:pt idx="5">
                  <c:v>-10.639500792503357</c:v>
                </c:pt>
                <c:pt idx="6">
                  <c:v>-6.2435189300775589</c:v>
                </c:pt>
                <c:pt idx="7">
                  <c:v>-5.8972371306419298</c:v>
                </c:pt>
                <c:pt idx="8">
                  <c:v>-4.3717705470323569</c:v>
                </c:pt>
                <c:pt idx="9">
                  <c:v>-5.6346131252050391</c:v>
                </c:pt>
                <c:pt idx="10">
                  <c:v>-6.8636987048387503</c:v>
                </c:pt>
                <c:pt idx="11">
                  <c:v>-7.0773496582508049</c:v>
                </c:pt>
                <c:pt idx="12">
                  <c:v>-6.2996338722705811</c:v>
                </c:pt>
                <c:pt idx="13">
                  <c:v>-6.3863029209375428</c:v>
                </c:pt>
                <c:pt idx="14">
                  <c:v>-5.4168999438285743</c:v>
                </c:pt>
                <c:pt idx="15">
                  <c:v>-7.0181673291921634</c:v>
                </c:pt>
                <c:pt idx="16">
                  <c:v>-7.5701835293769868</c:v>
                </c:pt>
                <c:pt idx="17">
                  <c:v>-7.1296413855552672</c:v>
                </c:pt>
                <c:pt idx="18">
                  <c:v>-7.7043755719661746</c:v>
                </c:pt>
                <c:pt idx="19">
                  <c:v>-8.19691684269905</c:v>
                </c:pt>
                <c:pt idx="20">
                  <c:v>-7.3059137203693414</c:v>
                </c:pt>
                <c:pt idx="21">
                  <c:v>-8.4480647680759446</c:v>
                </c:pt>
                <c:pt idx="22">
                  <c:v>-7.7410595899820365</c:v>
                </c:pt>
                <c:pt idx="23">
                  <c:v>-8.4117763223648083</c:v>
                </c:pt>
                <c:pt idx="24">
                  <c:v>-8.5325178326368345</c:v>
                </c:pt>
                <c:pt idx="25">
                  <c:v>-7.8647960129976253</c:v>
                </c:pt>
                <c:pt idx="26">
                  <c:v>-8.1263297199010847</c:v>
                </c:pt>
                <c:pt idx="27">
                  <c:v>-6.2779277497530011</c:v>
                </c:pt>
                <c:pt idx="28">
                  <c:v>-7.2632529110908486</c:v>
                </c:pt>
                <c:pt idx="29">
                  <c:v>-6.4878300784826264</c:v>
                </c:pt>
                <c:pt idx="30">
                  <c:v>-7.0302702319622146</c:v>
                </c:pt>
                <c:pt idx="31">
                  <c:v>-7.9113638243675233</c:v>
                </c:pt>
                <c:pt idx="32">
                  <c:v>-8.232914300322534</c:v>
                </c:pt>
                <c:pt idx="33">
                  <c:v>-8.175858159422873</c:v>
                </c:pt>
                <c:pt idx="34">
                  <c:v>-9.1464405338764188</c:v>
                </c:pt>
                <c:pt idx="35">
                  <c:v>-6.5753470337390887</c:v>
                </c:pt>
                <c:pt idx="36">
                  <c:v>-8.7865559476614035</c:v>
                </c:pt>
                <c:pt idx="37">
                  <c:v>-7.6747264053821667</c:v>
                </c:pt>
                <c:pt idx="38">
                  <c:v>-5.1123987705707528</c:v>
                </c:pt>
                <c:pt idx="39">
                  <c:v>-7.9075799950361292</c:v>
                </c:pt>
                <c:pt idx="40">
                  <c:v>-5.2951562763452555</c:v>
                </c:pt>
                <c:pt idx="41">
                  <c:v>-6.9210989224910744</c:v>
                </c:pt>
                <c:pt idx="42">
                  <c:v>-6.947567244052899</c:v>
                </c:pt>
                <c:pt idx="43">
                  <c:v>-5.581122915148736</c:v>
                </c:pt>
                <c:pt idx="44">
                  <c:v>-5.3639056435823447</c:v>
                </c:pt>
                <c:pt idx="45">
                  <c:v>-8.0576528285741844</c:v>
                </c:pt>
                <c:pt idx="46">
                  <c:v>-5.7100666055679348</c:v>
                </c:pt>
                <c:pt idx="47">
                  <c:v>-6.6155203665494966</c:v>
                </c:pt>
                <c:pt idx="48">
                  <c:v>-5.6245567148923943</c:v>
                </c:pt>
                <c:pt idx="49">
                  <c:v>-6.1703789321184175</c:v>
                </c:pt>
                <c:pt idx="50">
                  <c:v>-5.6355282485485017</c:v>
                </c:pt>
                <c:pt idx="51">
                  <c:v>-5.155676820874211</c:v>
                </c:pt>
                <c:pt idx="52">
                  <c:v>-6.2039231261014871</c:v>
                </c:pt>
                <c:pt idx="53">
                  <c:v>-4.4398757650852234</c:v>
                </c:pt>
                <c:pt idx="54">
                  <c:v>-4.8138148097991911</c:v>
                </c:pt>
                <c:pt idx="55">
                  <c:v>-2.3731584115028306</c:v>
                </c:pt>
                <c:pt idx="56">
                  <c:v>-2.1513293449878668</c:v>
                </c:pt>
                <c:pt idx="57">
                  <c:v>-3.0342768470048793</c:v>
                </c:pt>
                <c:pt idx="58">
                  <c:v>-3.9813573868274794</c:v>
                </c:pt>
                <c:pt idx="59">
                  <c:v>-1.6956693792343105</c:v>
                </c:pt>
                <c:pt idx="60">
                  <c:v>-2.0370226864814729</c:v>
                </c:pt>
                <c:pt idx="61">
                  <c:v>-2.8702817240953475</c:v>
                </c:pt>
                <c:pt idx="62">
                  <c:v>0.39557017862796684</c:v>
                </c:pt>
                <c:pt idx="63">
                  <c:v>-1.8439279434680969</c:v>
                </c:pt>
                <c:pt idx="64">
                  <c:v>0.16030333411694012</c:v>
                </c:pt>
                <c:pt idx="65">
                  <c:v>-3.3111734669208506</c:v>
                </c:pt>
                <c:pt idx="66">
                  <c:v>-0.48489091002942414</c:v>
                </c:pt>
                <c:pt idx="67">
                  <c:v>-1.2422715457677851</c:v>
                </c:pt>
                <c:pt idx="68">
                  <c:v>0.78949371421337944</c:v>
                </c:pt>
                <c:pt idx="69">
                  <c:v>-0.86417751002312782</c:v>
                </c:pt>
                <c:pt idx="70">
                  <c:v>9.0464037775996611E-2</c:v>
                </c:pt>
                <c:pt idx="71">
                  <c:v>2.2815598245859205</c:v>
                </c:pt>
                <c:pt idx="72">
                  <c:v>0.89249649512768603</c:v>
                </c:pt>
                <c:pt idx="73">
                  <c:v>0.55763345885277393</c:v>
                </c:pt>
                <c:pt idx="74">
                  <c:v>-0.56552616083621654</c:v>
                </c:pt>
                <c:pt idx="75">
                  <c:v>-1.3624474960565609</c:v>
                </c:pt>
                <c:pt idx="76">
                  <c:v>1.4365997714996142</c:v>
                </c:pt>
                <c:pt idx="77">
                  <c:v>0.80215666973590938</c:v>
                </c:pt>
                <c:pt idx="78">
                  <c:v>0.1371258206367543</c:v>
                </c:pt>
                <c:pt idx="79">
                  <c:v>2.5460901095867206</c:v>
                </c:pt>
                <c:pt idx="80">
                  <c:v>2.2219892159700403</c:v>
                </c:pt>
                <c:pt idx="81">
                  <c:v>2.3673331120014134</c:v>
                </c:pt>
                <c:pt idx="82">
                  <c:v>2.9861768342256578</c:v>
                </c:pt>
                <c:pt idx="83">
                  <c:v>0.97795546948910128</c:v>
                </c:pt>
                <c:pt idx="84">
                  <c:v>1.4930485129356363</c:v>
                </c:pt>
                <c:pt idx="85">
                  <c:v>3.3656622703075425</c:v>
                </c:pt>
                <c:pt idx="86">
                  <c:v>3.1573844723701465</c:v>
                </c:pt>
                <c:pt idx="87">
                  <c:v>3.2040901094675052</c:v>
                </c:pt>
                <c:pt idx="88">
                  <c:v>3.1047858864069093</c:v>
                </c:pt>
                <c:pt idx="89">
                  <c:v>4.5098116874694805</c:v>
                </c:pt>
                <c:pt idx="90">
                  <c:v>2.9098587023019769</c:v>
                </c:pt>
                <c:pt idx="91">
                  <c:v>4.3415258949994913</c:v>
                </c:pt>
                <c:pt idx="92">
                  <c:v>3.221728698611257</c:v>
                </c:pt>
                <c:pt idx="93">
                  <c:v>4.0653055576086237</c:v>
                </c:pt>
                <c:pt idx="94">
                  <c:v>3.1328183947801636</c:v>
                </c:pt>
                <c:pt idx="95">
                  <c:v>4.4250968495607275</c:v>
                </c:pt>
                <c:pt idx="96">
                  <c:v>4.4557783430814819</c:v>
                </c:pt>
                <c:pt idx="97">
                  <c:v>3.6248031394481672</c:v>
                </c:pt>
                <c:pt idx="98">
                  <c:v>4.4805485982894782</c:v>
                </c:pt>
                <c:pt idx="99">
                  <c:v>3.716137512803066</c:v>
                </c:pt>
                <c:pt idx="100">
                  <c:v>3.6387366638183614</c:v>
                </c:pt>
                <c:pt idx="101">
                  <c:v>2.0954478194713544</c:v>
                </c:pt>
                <c:pt idx="102">
                  <c:v>4.4053174310922705</c:v>
                </c:pt>
                <c:pt idx="103">
                  <c:v>3.8286909850835786</c:v>
                </c:pt>
                <c:pt idx="104">
                  <c:v>4.823693702220921</c:v>
                </c:pt>
                <c:pt idx="105">
                  <c:v>3.7154294291734864</c:v>
                </c:pt>
                <c:pt idx="106">
                  <c:v>3.732146315693853</c:v>
                </c:pt>
                <c:pt idx="107">
                  <c:v>4.150951037049281</c:v>
                </c:pt>
                <c:pt idx="108">
                  <c:v>4.1887515786886427</c:v>
                </c:pt>
                <c:pt idx="109">
                  <c:v>4.0288197968006187</c:v>
                </c:pt>
                <c:pt idx="110">
                  <c:v>4.5737262437343356</c:v>
                </c:pt>
                <c:pt idx="111">
                  <c:v>3.9658625226020776</c:v>
                </c:pt>
                <c:pt idx="112">
                  <c:v>4.5752890038490301</c:v>
                </c:pt>
                <c:pt idx="113">
                  <c:v>4.0331039822101671</c:v>
                </c:pt>
                <c:pt idx="114">
                  <c:v>5.176521173834808</c:v>
                </c:pt>
                <c:pt idx="115">
                  <c:v>5.5710882264375581</c:v>
                </c:pt>
                <c:pt idx="116">
                  <c:v>3.7221824636459373</c:v>
                </c:pt>
                <c:pt idx="117">
                  <c:v>4.1250687946081301</c:v>
                </c:pt>
                <c:pt idx="118">
                  <c:v>5.7573014144897448</c:v>
                </c:pt>
                <c:pt idx="119">
                  <c:v>5.1167025004625302</c:v>
                </c:pt>
                <c:pt idx="120">
                  <c:v>4.6337473948001922</c:v>
                </c:pt>
                <c:pt idx="121">
                  <c:v>4.1642280344963183</c:v>
                </c:pt>
                <c:pt idx="122">
                  <c:v>4.5954856474399568</c:v>
                </c:pt>
                <c:pt idx="123">
                  <c:v>4.9706315021514964</c:v>
                </c:pt>
                <c:pt idx="124">
                  <c:v>4.6325855040550259</c:v>
                </c:pt>
                <c:pt idx="125">
                  <c:v>4.3154147725105476</c:v>
                </c:pt>
                <c:pt idx="126">
                  <c:v>4.4855844970941696</c:v>
                </c:pt>
                <c:pt idx="127">
                  <c:v>3.8714463881254169</c:v>
                </c:pt>
                <c:pt idx="128">
                  <c:v>5.4908922693729405</c:v>
                </c:pt>
                <c:pt idx="129">
                  <c:v>5.5490994056463148</c:v>
                </c:pt>
                <c:pt idx="130">
                  <c:v>4.0108017524480859</c:v>
                </c:pt>
                <c:pt idx="131">
                  <c:v>4.9501352875232678</c:v>
                </c:pt>
                <c:pt idx="132">
                  <c:v>4.8593337421417271</c:v>
                </c:pt>
                <c:pt idx="133">
                  <c:v>4.6752051405906858</c:v>
                </c:pt>
                <c:pt idx="134">
                  <c:v>5.3459240270853137</c:v>
                </c:pt>
                <c:pt idx="135">
                  <c:v>5.4830455811023766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6F-4703-BFBC-49609F794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tx>
            <c:strRef>
              <c:f>StompTrainProgress!$D$1</c:f>
              <c:strCache>
                <c:ptCount val="1"/>
                <c:pt idx="0">
                  <c:v>WinRate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</c:numCache>
            </c:numRef>
          </c:xVal>
          <c:yVal>
            <c:numRef>
              <c:f>StompTrainProgress!$D$2:$D$5001</c:f>
              <c:numCache>
                <c:formatCode>General</c:formatCode>
                <c:ptCount val="5000"/>
                <c:pt idx="0">
                  <c:v>0.28000000000000003</c:v>
                </c:pt>
                <c:pt idx="1">
                  <c:v>0.36</c:v>
                </c:pt>
                <c:pt idx="2">
                  <c:v>0.24</c:v>
                </c:pt>
                <c:pt idx="3">
                  <c:v>0.5</c:v>
                </c:pt>
                <c:pt idx="4">
                  <c:v>0.38</c:v>
                </c:pt>
                <c:pt idx="5">
                  <c:v>0.28000000000000003</c:v>
                </c:pt>
                <c:pt idx="6">
                  <c:v>0.44</c:v>
                </c:pt>
                <c:pt idx="7">
                  <c:v>0.42</c:v>
                </c:pt>
                <c:pt idx="8">
                  <c:v>0.46</c:v>
                </c:pt>
                <c:pt idx="9">
                  <c:v>0.34</c:v>
                </c:pt>
                <c:pt idx="10">
                  <c:v>0.26</c:v>
                </c:pt>
                <c:pt idx="11">
                  <c:v>0.24</c:v>
                </c:pt>
                <c:pt idx="12">
                  <c:v>0.26</c:v>
                </c:pt>
                <c:pt idx="13">
                  <c:v>0.26</c:v>
                </c:pt>
                <c:pt idx="14">
                  <c:v>0.3</c:v>
                </c:pt>
                <c:pt idx="15">
                  <c:v>0.22</c:v>
                </c:pt>
                <c:pt idx="16">
                  <c:v>0.16</c:v>
                </c:pt>
                <c:pt idx="17">
                  <c:v>0.2</c:v>
                </c:pt>
                <c:pt idx="18">
                  <c:v>0.16</c:v>
                </c:pt>
                <c:pt idx="19">
                  <c:v>0.12</c:v>
                </c:pt>
                <c:pt idx="20">
                  <c:v>0.16</c:v>
                </c:pt>
                <c:pt idx="21">
                  <c:v>0.1</c:v>
                </c:pt>
                <c:pt idx="22">
                  <c:v>0.16</c:v>
                </c:pt>
                <c:pt idx="23">
                  <c:v>0.1</c:v>
                </c:pt>
                <c:pt idx="24">
                  <c:v>0.1</c:v>
                </c:pt>
                <c:pt idx="25">
                  <c:v>0.14000000000000001</c:v>
                </c:pt>
                <c:pt idx="26">
                  <c:v>0.14000000000000001</c:v>
                </c:pt>
                <c:pt idx="27">
                  <c:v>0.24</c:v>
                </c:pt>
                <c:pt idx="28">
                  <c:v>0.18</c:v>
                </c:pt>
                <c:pt idx="29">
                  <c:v>0.24</c:v>
                </c:pt>
                <c:pt idx="30">
                  <c:v>0.2</c:v>
                </c:pt>
                <c:pt idx="31">
                  <c:v>0.16</c:v>
                </c:pt>
                <c:pt idx="32">
                  <c:v>0.12</c:v>
                </c:pt>
                <c:pt idx="33">
                  <c:v>0.12</c:v>
                </c:pt>
                <c:pt idx="34">
                  <c:v>0.06</c:v>
                </c:pt>
                <c:pt idx="35">
                  <c:v>0.26</c:v>
                </c:pt>
                <c:pt idx="36">
                  <c:v>0.08</c:v>
                </c:pt>
                <c:pt idx="37">
                  <c:v>0.16</c:v>
                </c:pt>
                <c:pt idx="38">
                  <c:v>0.3</c:v>
                </c:pt>
                <c:pt idx="39">
                  <c:v>0.16</c:v>
                </c:pt>
                <c:pt idx="40">
                  <c:v>0.28000000000000003</c:v>
                </c:pt>
                <c:pt idx="41">
                  <c:v>0.2</c:v>
                </c:pt>
                <c:pt idx="42">
                  <c:v>0.22</c:v>
                </c:pt>
                <c:pt idx="43">
                  <c:v>0.3</c:v>
                </c:pt>
                <c:pt idx="44">
                  <c:v>0.32</c:v>
                </c:pt>
                <c:pt idx="45">
                  <c:v>0.14000000000000001</c:v>
                </c:pt>
                <c:pt idx="46">
                  <c:v>0.3</c:v>
                </c:pt>
                <c:pt idx="47">
                  <c:v>0.24</c:v>
                </c:pt>
                <c:pt idx="48">
                  <c:v>0.28000000000000003</c:v>
                </c:pt>
                <c:pt idx="49">
                  <c:v>0.26</c:v>
                </c:pt>
                <c:pt idx="50">
                  <c:v>0.28000000000000003</c:v>
                </c:pt>
                <c:pt idx="51">
                  <c:v>0.32</c:v>
                </c:pt>
                <c:pt idx="52">
                  <c:v>0.28000000000000003</c:v>
                </c:pt>
                <c:pt idx="53">
                  <c:v>0.36</c:v>
                </c:pt>
                <c:pt idx="54">
                  <c:v>0.36</c:v>
                </c:pt>
                <c:pt idx="55">
                  <c:v>0.5</c:v>
                </c:pt>
                <c:pt idx="56">
                  <c:v>0.52</c:v>
                </c:pt>
                <c:pt idx="57">
                  <c:v>0.46</c:v>
                </c:pt>
                <c:pt idx="58">
                  <c:v>0.4</c:v>
                </c:pt>
                <c:pt idx="59">
                  <c:v>0.54</c:v>
                </c:pt>
                <c:pt idx="60">
                  <c:v>0.54</c:v>
                </c:pt>
                <c:pt idx="61">
                  <c:v>0.48</c:v>
                </c:pt>
                <c:pt idx="62">
                  <c:v>0.68</c:v>
                </c:pt>
                <c:pt idx="63">
                  <c:v>0.52</c:v>
                </c:pt>
                <c:pt idx="64">
                  <c:v>0.66</c:v>
                </c:pt>
                <c:pt idx="65">
                  <c:v>0.46</c:v>
                </c:pt>
                <c:pt idx="66">
                  <c:v>0.6</c:v>
                </c:pt>
                <c:pt idx="67">
                  <c:v>0.6</c:v>
                </c:pt>
                <c:pt idx="68">
                  <c:v>0.72</c:v>
                </c:pt>
                <c:pt idx="69">
                  <c:v>0.6</c:v>
                </c:pt>
                <c:pt idx="70">
                  <c:v>0.66</c:v>
                </c:pt>
                <c:pt idx="71">
                  <c:v>0.8</c:v>
                </c:pt>
                <c:pt idx="72">
                  <c:v>0.72</c:v>
                </c:pt>
                <c:pt idx="73">
                  <c:v>0.7</c:v>
                </c:pt>
                <c:pt idx="74">
                  <c:v>0.6</c:v>
                </c:pt>
                <c:pt idx="75">
                  <c:v>0.6</c:v>
                </c:pt>
                <c:pt idx="76">
                  <c:v>0.72</c:v>
                </c:pt>
                <c:pt idx="77">
                  <c:v>0.7</c:v>
                </c:pt>
                <c:pt idx="78">
                  <c:v>0.7</c:v>
                </c:pt>
                <c:pt idx="79">
                  <c:v>0.78</c:v>
                </c:pt>
                <c:pt idx="80">
                  <c:v>0.76</c:v>
                </c:pt>
                <c:pt idx="81">
                  <c:v>0.78</c:v>
                </c:pt>
                <c:pt idx="82">
                  <c:v>0.82</c:v>
                </c:pt>
                <c:pt idx="83">
                  <c:v>0.72</c:v>
                </c:pt>
                <c:pt idx="84">
                  <c:v>0.76</c:v>
                </c:pt>
                <c:pt idx="85">
                  <c:v>0.86</c:v>
                </c:pt>
                <c:pt idx="86">
                  <c:v>0.86</c:v>
                </c:pt>
                <c:pt idx="87">
                  <c:v>0.84</c:v>
                </c:pt>
                <c:pt idx="88">
                  <c:v>0.88</c:v>
                </c:pt>
                <c:pt idx="89">
                  <c:v>0.94</c:v>
                </c:pt>
                <c:pt idx="90">
                  <c:v>0.82</c:v>
                </c:pt>
                <c:pt idx="91">
                  <c:v>0.9</c:v>
                </c:pt>
                <c:pt idx="92">
                  <c:v>0.86</c:v>
                </c:pt>
                <c:pt idx="93">
                  <c:v>0.88</c:v>
                </c:pt>
                <c:pt idx="94">
                  <c:v>0.86</c:v>
                </c:pt>
                <c:pt idx="95">
                  <c:v>0.9</c:v>
                </c:pt>
                <c:pt idx="96">
                  <c:v>0.94</c:v>
                </c:pt>
                <c:pt idx="97">
                  <c:v>0.88</c:v>
                </c:pt>
                <c:pt idx="98">
                  <c:v>0.92</c:v>
                </c:pt>
                <c:pt idx="99">
                  <c:v>0.92</c:v>
                </c:pt>
                <c:pt idx="100">
                  <c:v>0.9</c:v>
                </c:pt>
                <c:pt idx="101">
                  <c:v>0.82</c:v>
                </c:pt>
                <c:pt idx="102">
                  <c:v>0.9</c:v>
                </c:pt>
                <c:pt idx="103">
                  <c:v>0.88</c:v>
                </c:pt>
                <c:pt idx="104">
                  <c:v>0.92</c:v>
                </c:pt>
                <c:pt idx="105">
                  <c:v>0.9</c:v>
                </c:pt>
                <c:pt idx="106">
                  <c:v>0.9</c:v>
                </c:pt>
                <c:pt idx="107">
                  <c:v>0.9</c:v>
                </c:pt>
                <c:pt idx="108">
                  <c:v>0.94</c:v>
                </c:pt>
                <c:pt idx="109">
                  <c:v>0.9</c:v>
                </c:pt>
                <c:pt idx="110">
                  <c:v>0.96</c:v>
                </c:pt>
                <c:pt idx="111">
                  <c:v>0.88</c:v>
                </c:pt>
                <c:pt idx="112">
                  <c:v>0.94</c:v>
                </c:pt>
                <c:pt idx="113">
                  <c:v>0.88</c:v>
                </c:pt>
                <c:pt idx="114">
                  <c:v>0.94</c:v>
                </c:pt>
                <c:pt idx="115">
                  <c:v>0.98</c:v>
                </c:pt>
                <c:pt idx="116">
                  <c:v>0.9</c:v>
                </c:pt>
                <c:pt idx="117">
                  <c:v>0.9</c:v>
                </c:pt>
                <c:pt idx="118">
                  <c:v>0.98</c:v>
                </c:pt>
                <c:pt idx="119">
                  <c:v>0.98</c:v>
                </c:pt>
                <c:pt idx="120">
                  <c:v>0.94</c:v>
                </c:pt>
                <c:pt idx="121">
                  <c:v>0.94</c:v>
                </c:pt>
                <c:pt idx="122">
                  <c:v>0.94</c:v>
                </c:pt>
                <c:pt idx="123">
                  <c:v>1</c:v>
                </c:pt>
                <c:pt idx="124">
                  <c:v>0.96</c:v>
                </c:pt>
                <c:pt idx="125">
                  <c:v>0.94</c:v>
                </c:pt>
                <c:pt idx="126">
                  <c:v>0.94</c:v>
                </c:pt>
                <c:pt idx="127">
                  <c:v>0.92</c:v>
                </c:pt>
                <c:pt idx="128">
                  <c:v>1</c:v>
                </c:pt>
                <c:pt idx="129">
                  <c:v>0.98</c:v>
                </c:pt>
                <c:pt idx="130">
                  <c:v>0.94</c:v>
                </c:pt>
                <c:pt idx="131">
                  <c:v>0.98</c:v>
                </c:pt>
                <c:pt idx="132">
                  <c:v>0.96</c:v>
                </c:pt>
                <c:pt idx="133">
                  <c:v>0.96</c:v>
                </c:pt>
                <c:pt idx="134">
                  <c:v>1</c:v>
                </c:pt>
                <c:pt idx="13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6F-4703-BFBC-49609F794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4527"/>
        <c:axId val="1583762207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1583762207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83754527"/>
        <c:crosses val="max"/>
        <c:crossBetween val="midCat"/>
      </c:valAx>
      <c:valAx>
        <c:axId val="158375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3762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StompTrainProgress!$G$1</c:f>
              <c:strCache>
                <c:ptCount val="1"/>
                <c:pt idx="0">
                  <c:v>Value Error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StompTrainProgress!$G$2:$G$5001</c:f>
              <c:numCache>
                <c:formatCode>General</c:formatCode>
                <c:ptCount val="5000"/>
                <c:pt idx="0">
                  <c:v>0.83365434898246549</c:v>
                </c:pt>
                <c:pt idx="1">
                  <c:v>0.78266811410658488</c:v>
                </c:pt>
                <c:pt idx="2">
                  <c:v>0.7337576664247436</c:v>
                </c:pt>
                <c:pt idx="3">
                  <c:v>0.68446379277821057</c:v>
                </c:pt>
                <c:pt idx="4">
                  <c:v>0.65760728940622404</c:v>
                </c:pt>
                <c:pt idx="5">
                  <c:v>0.63181705095780616</c:v>
                </c:pt>
                <c:pt idx="6">
                  <c:v>0.59957884062536437</c:v>
                </c:pt>
                <c:pt idx="7">
                  <c:v>0.5748318267890199</c:v>
                </c:pt>
                <c:pt idx="8">
                  <c:v>0.54104917260634378</c:v>
                </c:pt>
                <c:pt idx="9">
                  <c:v>0.51016470882467813</c:v>
                </c:pt>
                <c:pt idx="10">
                  <c:v>0.48260326033207956</c:v>
                </c:pt>
                <c:pt idx="11">
                  <c:v>0.45368277447359379</c:v>
                </c:pt>
                <c:pt idx="12">
                  <c:v>0.43409058290734098</c:v>
                </c:pt>
                <c:pt idx="13">
                  <c:v>0.43195291844127665</c:v>
                </c:pt>
                <c:pt idx="14">
                  <c:v>0.41308289145344007</c:v>
                </c:pt>
                <c:pt idx="15">
                  <c:v>0.38609063526856696</c:v>
                </c:pt>
                <c:pt idx="16">
                  <c:v>0.37700967523809337</c:v>
                </c:pt>
                <c:pt idx="17">
                  <c:v>0.36710119756142218</c:v>
                </c:pt>
                <c:pt idx="18">
                  <c:v>0.34202591064138688</c:v>
                </c:pt>
                <c:pt idx="19">
                  <c:v>0.34245146755804984</c:v>
                </c:pt>
                <c:pt idx="20">
                  <c:v>0.33875687854302694</c:v>
                </c:pt>
                <c:pt idx="21">
                  <c:v>0.36166502155256025</c:v>
                </c:pt>
                <c:pt idx="22">
                  <c:v>0.3665179806132145</c:v>
                </c:pt>
                <c:pt idx="23">
                  <c:v>0.34004447760542483</c:v>
                </c:pt>
                <c:pt idx="24">
                  <c:v>0.35733644124371972</c:v>
                </c:pt>
                <c:pt idx="25">
                  <c:v>0.36345207978871302</c:v>
                </c:pt>
                <c:pt idx="26">
                  <c:v>0.35406120093161209</c:v>
                </c:pt>
                <c:pt idx="27">
                  <c:v>0.32763036793006095</c:v>
                </c:pt>
                <c:pt idx="28">
                  <c:v>0.3164367657745818</c:v>
                </c:pt>
                <c:pt idx="29">
                  <c:v>0.30043076139815872</c:v>
                </c:pt>
                <c:pt idx="30">
                  <c:v>0.28813679657672947</c:v>
                </c:pt>
                <c:pt idx="31">
                  <c:v>0.29648383245561272</c:v>
                </c:pt>
                <c:pt idx="32">
                  <c:v>0.28204597236244466</c:v>
                </c:pt>
                <c:pt idx="33">
                  <c:v>0.29344990303624074</c:v>
                </c:pt>
                <c:pt idx="34">
                  <c:v>0.29404920672455387</c:v>
                </c:pt>
                <c:pt idx="35">
                  <c:v>0.27803399499228004</c:v>
                </c:pt>
                <c:pt idx="36">
                  <c:v>0.26896421107338619</c:v>
                </c:pt>
                <c:pt idx="37">
                  <c:v>0.2485239457394163</c:v>
                </c:pt>
                <c:pt idx="38">
                  <c:v>0.2445475501709225</c:v>
                </c:pt>
                <c:pt idx="39">
                  <c:v>0.24100727010020792</c:v>
                </c:pt>
                <c:pt idx="40">
                  <c:v>0.23556783966617792</c:v>
                </c:pt>
                <c:pt idx="41">
                  <c:v>0.23965301832669078</c:v>
                </c:pt>
                <c:pt idx="42">
                  <c:v>0.25242603666242147</c:v>
                </c:pt>
                <c:pt idx="43">
                  <c:v>0.24517725105572663</c:v>
                </c:pt>
                <c:pt idx="44">
                  <c:v>0.26348650923866296</c:v>
                </c:pt>
                <c:pt idx="45">
                  <c:v>0.27367246968698866</c:v>
                </c:pt>
                <c:pt idx="46">
                  <c:v>0.26384155938311038</c:v>
                </c:pt>
                <c:pt idx="47">
                  <c:v>0.27251759161428918</c:v>
                </c:pt>
                <c:pt idx="48">
                  <c:v>0.25161342883238769</c:v>
                </c:pt>
                <c:pt idx="49">
                  <c:v>0.23861422204539157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AC-43C5-94C6-3779D7DA5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StompTrainProgress!$H$2:$H$5001</c:f>
              <c:numCache>
                <c:formatCode>0.00%</c:formatCode>
                <c:ptCount val="5000"/>
                <c:pt idx="1">
                  <c:v>-6.1159921900620973E-2</c:v>
                </c:pt>
                <c:pt idx="2">
                  <c:v>-6.2491938537284755E-2</c:v>
                </c:pt>
                <c:pt idx="3">
                  <c:v>-6.7180045813652514E-2</c:v>
                </c:pt>
                <c:pt idx="4">
                  <c:v>-3.9237288597804537E-2</c:v>
                </c:pt>
                <c:pt idx="5">
                  <c:v>-3.921829770424954E-2</c:v>
                </c:pt>
                <c:pt idx="6">
                  <c:v>-5.1024596888561508E-2</c:v>
                </c:pt>
                <c:pt idx="7">
                  <c:v>-4.1273994610172018E-2</c:v>
                </c:pt>
                <c:pt idx="8">
                  <c:v>-5.8769630713358785E-2</c:v>
                </c:pt>
                <c:pt idx="9">
                  <c:v>-5.7082545072361747E-2</c:v>
                </c:pt>
                <c:pt idx="10">
                  <c:v>-5.4024608162518466E-2</c:v>
                </c:pt>
                <c:pt idx="11">
                  <c:v>-5.9926005967273356E-2</c:v>
                </c:pt>
                <c:pt idx="12">
                  <c:v>-4.318478167698904E-2</c:v>
                </c:pt>
                <c:pt idx="13">
                  <c:v>-4.9244663446675911E-3</c:v>
                </c:pt>
                <c:pt idx="14">
                  <c:v>-4.3685379082354613E-2</c:v>
                </c:pt>
                <c:pt idx="15">
                  <c:v>-6.5343437705445359E-2</c:v>
                </c:pt>
                <c:pt idx="16">
                  <c:v>-2.3520280475481683E-2</c:v>
                </c:pt>
                <c:pt idx="17">
                  <c:v>-2.6281759666814061E-2</c:v>
                </c:pt>
                <c:pt idx="18">
                  <c:v>-6.8306197546086148E-2</c:v>
                </c:pt>
                <c:pt idx="19">
                  <c:v>1.2442242047245259E-3</c:v>
                </c:pt>
                <c:pt idx="20">
                  <c:v>-1.0788649969492739E-2</c:v>
                </c:pt>
                <c:pt idx="21">
                  <c:v>6.7624141266326057E-2</c:v>
                </c:pt>
                <c:pt idx="22">
                  <c:v>1.3418381019600415E-2</c:v>
                </c:pt>
                <c:pt idx="23">
                  <c:v>-7.2229752448972173E-2</c:v>
                </c:pt>
                <c:pt idx="24">
                  <c:v>5.08520642948357E-2</c:v>
                </c:pt>
                <c:pt idx="25">
                  <c:v>1.7114511253617605E-2</c:v>
                </c:pt>
                <c:pt idx="26">
                  <c:v>-2.5838011059285099E-2</c:v>
                </c:pt>
                <c:pt idx="27">
                  <c:v>-7.4650464190953031E-2</c:v>
                </c:pt>
                <c:pt idx="28">
                  <c:v>-3.4165337682826293E-2</c:v>
                </c:pt>
                <c:pt idx="29">
                  <c:v>-5.0581999652420863E-2</c:v>
                </c:pt>
                <c:pt idx="30">
                  <c:v>-4.0921125267649093E-2</c:v>
                </c:pt>
                <c:pt idx="31">
                  <c:v>2.8969003536000897E-2</c:v>
                </c:pt>
                <c:pt idx="32">
                  <c:v>-4.8696955829217362E-2</c:v>
                </c:pt>
                <c:pt idx="33">
                  <c:v>4.0432879002935733E-2</c:v>
                </c:pt>
                <c:pt idx="34">
                  <c:v>2.0422691645568913E-3</c:v>
                </c:pt>
                <c:pt idx="35">
                  <c:v>-5.4464393598163428E-2</c:v>
                </c:pt>
                <c:pt idx="36">
                  <c:v>-3.2621132963059719E-2</c:v>
                </c:pt>
                <c:pt idx="37">
                  <c:v>-7.5996227350830767E-2</c:v>
                </c:pt>
                <c:pt idx="38">
                  <c:v>-1.6000050042112052E-2</c:v>
                </c:pt>
                <c:pt idx="39">
                  <c:v>-1.4476857642778099E-2</c:v>
                </c:pt>
                <c:pt idx="40">
                  <c:v>-2.2569569921141182E-2</c:v>
                </c:pt>
                <c:pt idx="41">
                  <c:v>1.7341835228025817E-2</c:v>
                </c:pt>
                <c:pt idx="42">
                  <c:v>5.3297965637631721E-2</c:v>
                </c:pt>
                <c:pt idx="43">
                  <c:v>-2.8716473556128861E-2</c:v>
                </c:pt>
                <c:pt idx="44">
                  <c:v>7.4677638745426642E-2</c:v>
                </c:pt>
                <c:pt idx="45">
                  <c:v>3.8658375632808516E-2</c:v>
                </c:pt>
                <c:pt idx="46">
                  <c:v>-3.5922174835935565E-2</c:v>
                </c:pt>
                <c:pt idx="47">
                  <c:v>3.2883493606785393E-2</c:v>
                </c:pt>
                <c:pt idx="48">
                  <c:v>-7.670757200690527E-2</c:v>
                </c:pt>
                <c:pt idx="49">
                  <c:v>-5.1663406231213294E-2</c:v>
                </c:pt>
                <c:pt idx="50">
                  <c:v>-1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AC-43C5-94C6-3779D7DA5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74272"/>
        <c:axId val="453061792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453061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3074272"/>
        <c:crosses val="max"/>
        <c:crossBetween val="midCat"/>
      </c:valAx>
      <c:valAx>
        <c:axId val="45307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3061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21588484848484848"/>
          <c:h val="0.189184259259259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44652777777778E-2"/>
          <c:y val="6.4675925925925928E-2"/>
          <c:w val="0.86511365740740742"/>
          <c:h val="0.83283194444444442"/>
        </c:manualLayout>
      </c:layout>
      <c:scatterChart>
        <c:scatterStyle val="lineMarker"/>
        <c:varyColors val="0"/>
        <c:ser>
          <c:idx val="0"/>
          <c:order val="0"/>
          <c:tx>
            <c:strRef>
              <c:f>Iris!$L$1</c:f>
              <c:strCache>
                <c:ptCount val="1"/>
                <c:pt idx="0">
                  <c:v>None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Iris!$L$2:$L$601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</c:numCache>
            </c:numRef>
          </c:xVal>
          <c:yVal>
            <c:numRef>
              <c:f>Iris!$M$2:$M$601</c:f>
              <c:numCache>
                <c:formatCode>General</c:formatCode>
                <c:ptCount val="600"/>
                <c:pt idx="0">
                  <c:v>2.4640251352694005</c:v>
                </c:pt>
                <c:pt idx="1">
                  <c:v>6.4154415130609974E-2</c:v>
                </c:pt>
                <c:pt idx="2">
                  <c:v>6.2719890256238101E-2</c:v>
                </c:pt>
                <c:pt idx="3">
                  <c:v>6.1426359537810608E-2</c:v>
                </c:pt>
                <c:pt idx="4">
                  <c:v>6.0226994222635624E-2</c:v>
                </c:pt>
                <c:pt idx="5">
                  <c:v>5.9053588681095538E-2</c:v>
                </c:pt>
                <c:pt idx="6">
                  <c:v>5.7933960701357118E-2</c:v>
                </c:pt>
                <c:pt idx="7">
                  <c:v>5.6856686435959765E-2</c:v>
                </c:pt>
                <c:pt idx="8">
                  <c:v>5.5856327684397508E-2</c:v>
                </c:pt>
                <c:pt idx="9">
                  <c:v>5.484387409889422E-2</c:v>
                </c:pt>
                <c:pt idx="10">
                  <c:v>5.3924237367810927E-2</c:v>
                </c:pt>
                <c:pt idx="11">
                  <c:v>5.2943425929285623E-2</c:v>
                </c:pt>
                <c:pt idx="12">
                  <c:v>5.2057476878444205E-2</c:v>
                </c:pt>
                <c:pt idx="13">
                  <c:v>5.1230090042917231E-2</c:v>
                </c:pt>
                <c:pt idx="14">
                  <c:v>5.0394916332020701E-2</c:v>
                </c:pt>
                <c:pt idx="15">
                  <c:v>4.9670145758466976E-2</c:v>
                </c:pt>
                <c:pt idx="16">
                  <c:v>4.8947961845673536E-2</c:v>
                </c:pt>
                <c:pt idx="17">
                  <c:v>4.8182571871580253E-2</c:v>
                </c:pt>
                <c:pt idx="18">
                  <c:v>4.754475629177126E-2</c:v>
                </c:pt>
                <c:pt idx="19">
                  <c:v>4.6844571570672705E-2</c:v>
                </c:pt>
                <c:pt idx="20">
                  <c:v>4.6451022317494504E-2</c:v>
                </c:pt>
                <c:pt idx="21">
                  <c:v>4.5643968833212541E-2</c:v>
                </c:pt>
                <c:pt idx="22">
                  <c:v>4.5102412038917454E-2</c:v>
                </c:pt>
                <c:pt idx="23">
                  <c:v>4.4580844003712441E-2</c:v>
                </c:pt>
                <c:pt idx="24">
                  <c:v>4.4110009207683792E-2</c:v>
                </c:pt>
                <c:pt idx="25">
                  <c:v>4.3630176828625793E-2</c:v>
                </c:pt>
                <c:pt idx="26">
                  <c:v>4.3401919676134978E-2</c:v>
                </c:pt>
                <c:pt idx="27">
                  <c:v>4.2903059148554107E-2</c:v>
                </c:pt>
                <c:pt idx="28">
                  <c:v>4.2796307085029343E-2</c:v>
                </c:pt>
                <c:pt idx="29">
                  <c:v>4.2208471136226146E-2</c:v>
                </c:pt>
                <c:pt idx="30">
                  <c:v>4.2156624067214425E-2</c:v>
                </c:pt>
                <c:pt idx="31">
                  <c:v>4.1372172672709158E-2</c:v>
                </c:pt>
                <c:pt idx="32">
                  <c:v>4.1998437447593802E-2</c:v>
                </c:pt>
                <c:pt idx="33">
                  <c:v>4.1326604953220887E-2</c:v>
                </c:pt>
                <c:pt idx="34">
                  <c:v>4.1294151907002578E-2</c:v>
                </c:pt>
                <c:pt idx="35">
                  <c:v>4.1258030769843482E-2</c:v>
                </c:pt>
                <c:pt idx="36">
                  <c:v>4.122004209448786E-2</c:v>
                </c:pt>
                <c:pt idx="37">
                  <c:v>4.1182708968266327E-2</c:v>
                </c:pt>
                <c:pt idx="38">
                  <c:v>4.1140867791749351E-2</c:v>
                </c:pt>
                <c:pt idx="39">
                  <c:v>4.1099703572893762E-2</c:v>
                </c:pt>
                <c:pt idx="40">
                  <c:v>4.1056745163434882E-2</c:v>
                </c:pt>
                <c:pt idx="41">
                  <c:v>4.101414785871757E-2</c:v>
                </c:pt>
                <c:pt idx="42">
                  <c:v>4.0966261218874478E-2</c:v>
                </c:pt>
                <c:pt idx="43">
                  <c:v>4.0920129609084435E-2</c:v>
                </c:pt>
                <c:pt idx="44">
                  <c:v>4.0869367212268276E-2</c:v>
                </c:pt>
                <c:pt idx="45">
                  <c:v>4.0818009323940342E-2</c:v>
                </c:pt>
                <c:pt idx="46">
                  <c:v>4.0769346415486185E-2</c:v>
                </c:pt>
                <c:pt idx="47">
                  <c:v>4.0710530966737032E-2</c:v>
                </c:pt>
                <c:pt idx="48">
                  <c:v>4.0653862647323409E-2</c:v>
                </c:pt>
                <c:pt idx="49">
                  <c:v>4.0595204672208417E-2</c:v>
                </c:pt>
                <c:pt idx="50">
                  <c:v>4.0537358654605012E-2</c:v>
                </c:pt>
                <c:pt idx="51">
                  <c:v>4.048238749512216E-2</c:v>
                </c:pt>
                <c:pt idx="52">
                  <c:v>4.0421094371476361E-2</c:v>
                </c:pt>
                <c:pt idx="53">
                  <c:v>4.0357913075872789E-2</c:v>
                </c:pt>
                <c:pt idx="54">
                  <c:v>4.0280539792362194E-2</c:v>
                </c:pt>
                <c:pt idx="55">
                  <c:v>4.0201055708204807E-2</c:v>
                </c:pt>
                <c:pt idx="56">
                  <c:v>4.0133058468654281E-2</c:v>
                </c:pt>
                <c:pt idx="57">
                  <c:v>4.0052246135761777E-2</c:v>
                </c:pt>
                <c:pt idx="58">
                  <c:v>3.9978251351865106E-2</c:v>
                </c:pt>
                <c:pt idx="59">
                  <c:v>3.9908502782565955E-2</c:v>
                </c:pt>
                <c:pt idx="60">
                  <c:v>3.991028887720216E-2</c:v>
                </c:pt>
                <c:pt idx="61">
                  <c:v>3.9893724146883372E-2</c:v>
                </c:pt>
                <c:pt idx="62">
                  <c:v>3.9881886941660796E-2</c:v>
                </c:pt>
                <c:pt idx="63">
                  <c:v>3.9870692790630935E-2</c:v>
                </c:pt>
                <c:pt idx="64">
                  <c:v>3.9859740108987074E-2</c:v>
                </c:pt>
                <c:pt idx="65">
                  <c:v>3.9849132420073645E-2</c:v>
                </c:pt>
                <c:pt idx="66">
                  <c:v>3.9838391033768718E-2</c:v>
                </c:pt>
                <c:pt idx="67">
                  <c:v>3.9827218029935947E-2</c:v>
                </c:pt>
                <c:pt idx="68">
                  <c:v>3.9815654817581828E-2</c:v>
                </c:pt>
                <c:pt idx="69">
                  <c:v>3.9803646738264586E-2</c:v>
                </c:pt>
                <c:pt idx="70">
                  <c:v>3.9790993413409095E-2</c:v>
                </c:pt>
                <c:pt idx="71">
                  <c:v>3.9777766327732958E-2</c:v>
                </c:pt>
                <c:pt idx="72">
                  <c:v>3.9764389158569204E-2</c:v>
                </c:pt>
                <c:pt idx="73">
                  <c:v>3.9749388999307605E-2</c:v>
                </c:pt>
                <c:pt idx="74">
                  <c:v>3.9734324447058697E-2</c:v>
                </c:pt>
                <c:pt idx="75">
                  <c:v>3.9718866236806566E-2</c:v>
                </c:pt>
                <c:pt idx="76">
                  <c:v>3.9701903191381942E-2</c:v>
                </c:pt>
                <c:pt idx="77">
                  <c:v>3.9684880975751742E-2</c:v>
                </c:pt>
                <c:pt idx="78">
                  <c:v>3.9666317876874024E-2</c:v>
                </c:pt>
                <c:pt idx="79">
                  <c:v>3.9647300077865467E-2</c:v>
                </c:pt>
                <c:pt idx="80">
                  <c:v>3.9627371082656147E-2</c:v>
                </c:pt>
                <c:pt idx="81">
                  <c:v>3.9607278056738054E-2</c:v>
                </c:pt>
                <c:pt idx="82">
                  <c:v>3.958511205092663E-2</c:v>
                </c:pt>
                <c:pt idx="83">
                  <c:v>3.9562149067439947E-2</c:v>
                </c:pt>
                <c:pt idx="84">
                  <c:v>3.9540346280593976E-2</c:v>
                </c:pt>
                <c:pt idx="85">
                  <c:v>3.9514139635322146E-2</c:v>
                </c:pt>
                <c:pt idx="86">
                  <c:v>3.9488422767939693E-2</c:v>
                </c:pt>
                <c:pt idx="87">
                  <c:v>3.9463388772349506E-2</c:v>
                </c:pt>
                <c:pt idx="88">
                  <c:v>3.9432655738482987E-2</c:v>
                </c:pt>
                <c:pt idx="89">
                  <c:v>3.9407719758124668E-2</c:v>
                </c:pt>
                <c:pt idx="90">
                  <c:v>3.9372786612920221E-2</c:v>
                </c:pt>
                <c:pt idx="91">
                  <c:v>3.9341469241831371E-2</c:v>
                </c:pt>
                <c:pt idx="92">
                  <c:v>3.9306850906688992E-2</c:v>
                </c:pt>
                <c:pt idx="93">
                  <c:v>3.9271946778694847E-2</c:v>
                </c:pt>
                <c:pt idx="94">
                  <c:v>3.9243708941727323E-2</c:v>
                </c:pt>
                <c:pt idx="95">
                  <c:v>3.9199127238621026E-2</c:v>
                </c:pt>
                <c:pt idx="96">
                  <c:v>3.9161707467277922E-2</c:v>
                </c:pt>
                <c:pt idx="97">
                  <c:v>3.911716996038006E-2</c:v>
                </c:pt>
                <c:pt idx="98">
                  <c:v>3.9079977381980602E-2</c:v>
                </c:pt>
                <c:pt idx="99">
                  <c:v>3.902998438497788E-2</c:v>
                </c:pt>
                <c:pt idx="100">
                  <c:v>3.8984584674448895E-2</c:v>
                </c:pt>
                <c:pt idx="101">
                  <c:v>3.8934092066727106E-2</c:v>
                </c:pt>
                <c:pt idx="102">
                  <c:v>3.8883261169898257E-2</c:v>
                </c:pt>
                <c:pt idx="103">
                  <c:v>3.8834617931428839E-2</c:v>
                </c:pt>
                <c:pt idx="104">
                  <c:v>3.8775964768771591E-2</c:v>
                </c:pt>
                <c:pt idx="105">
                  <c:v>3.8719112825463267E-2</c:v>
                </c:pt>
                <c:pt idx="106">
                  <c:v>3.8682394276915284E-2</c:v>
                </c:pt>
                <c:pt idx="107">
                  <c:v>3.8600674883329765E-2</c:v>
                </c:pt>
                <c:pt idx="108">
                  <c:v>3.8556303554676971E-2</c:v>
                </c:pt>
                <c:pt idx="109">
                  <c:v>3.8486569614050122E-2</c:v>
                </c:pt>
                <c:pt idx="110">
                  <c:v>3.8493549169855291E-2</c:v>
                </c:pt>
                <c:pt idx="111">
                  <c:v>3.847039641119622E-2</c:v>
                </c:pt>
                <c:pt idx="112">
                  <c:v>3.8457931272412468E-2</c:v>
                </c:pt>
                <c:pt idx="113">
                  <c:v>3.8448192468229378E-2</c:v>
                </c:pt>
                <c:pt idx="114">
                  <c:v>3.8438647736024262E-2</c:v>
                </c:pt>
                <c:pt idx="115">
                  <c:v>3.8429428444522455E-2</c:v>
                </c:pt>
                <c:pt idx="116">
                  <c:v>3.8420450221033943E-2</c:v>
                </c:pt>
                <c:pt idx="117">
                  <c:v>3.8411271184330069E-2</c:v>
                </c:pt>
                <c:pt idx="118">
                  <c:v>3.8401493182071748E-2</c:v>
                </c:pt>
                <c:pt idx="119">
                  <c:v>3.839107331336658E-2</c:v>
                </c:pt>
                <c:pt idx="120">
                  <c:v>3.8380371452503455E-2</c:v>
                </c:pt>
                <c:pt idx="121">
                  <c:v>3.8369461108316003E-2</c:v>
                </c:pt>
                <c:pt idx="122">
                  <c:v>3.8357829640485779E-2</c:v>
                </c:pt>
                <c:pt idx="123">
                  <c:v>3.834575172497063E-2</c:v>
                </c:pt>
                <c:pt idx="124">
                  <c:v>3.8332413594788319E-2</c:v>
                </c:pt>
                <c:pt idx="125">
                  <c:v>3.8318873420913273E-2</c:v>
                </c:pt>
                <c:pt idx="126">
                  <c:v>3.8304711980800425E-2</c:v>
                </c:pt>
                <c:pt idx="127">
                  <c:v>3.8290079063348963E-2</c:v>
                </c:pt>
                <c:pt idx="128">
                  <c:v>3.8274864978885784E-2</c:v>
                </c:pt>
                <c:pt idx="129">
                  <c:v>3.8258151951106739E-2</c:v>
                </c:pt>
                <c:pt idx="130">
                  <c:v>3.8241189915100907E-2</c:v>
                </c:pt>
                <c:pt idx="131">
                  <c:v>3.8223767882779411E-2</c:v>
                </c:pt>
                <c:pt idx="132">
                  <c:v>3.8204696534470818E-2</c:v>
                </c:pt>
                <c:pt idx="133">
                  <c:v>3.8186017209744669E-2</c:v>
                </c:pt>
                <c:pt idx="134">
                  <c:v>3.8165486690594427E-2</c:v>
                </c:pt>
                <c:pt idx="135">
                  <c:v>3.8146854790151785E-2</c:v>
                </c:pt>
                <c:pt idx="136">
                  <c:v>3.8122193318064053E-2</c:v>
                </c:pt>
                <c:pt idx="137">
                  <c:v>3.8101033069020511E-2</c:v>
                </c:pt>
                <c:pt idx="138">
                  <c:v>3.8072703897875211E-2</c:v>
                </c:pt>
                <c:pt idx="139">
                  <c:v>3.8046951002834048E-2</c:v>
                </c:pt>
                <c:pt idx="140">
                  <c:v>3.8022619741534001E-2</c:v>
                </c:pt>
                <c:pt idx="141">
                  <c:v>3.7992310712117804E-2</c:v>
                </c:pt>
                <c:pt idx="142">
                  <c:v>3.7967275023377309E-2</c:v>
                </c:pt>
                <c:pt idx="143">
                  <c:v>3.793398781465919E-2</c:v>
                </c:pt>
                <c:pt idx="144">
                  <c:v>3.7901046039332136E-2</c:v>
                </c:pt>
                <c:pt idx="145">
                  <c:v>3.7873486811772751E-2</c:v>
                </c:pt>
                <c:pt idx="146">
                  <c:v>3.7831102943652307E-2</c:v>
                </c:pt>
                <c:pt idx="147">
                  <c:v>3.7796475280106663E-2</c:v>
                </c:pt>
                <c:pt idx="148">
                  <c:v>3.7756189817562361E-2</c:v>
                </c:pt>
                <c:pt idx="149">
                  <c:v>3.7730394269007803E-2</c:v>
                </c:pt>
                <c:pt idx="150">
                  <c:v>3.7674909609547384E-2</c:v>
                </c:pt>
                <c:pt idx="151">
                  <c:v>3.7635230990356816E-2</c:v>
                </c:pt>
                <c:pt idx="152">
                  <c:v>3.758540609663371E-2</c:v>
                </c:pt>
                <c:pt idx="153">
                  <c:v>3.7549652364819525E-2</c:v>
                </c:pt>
                <c:pt idx="154">
                  <c:v>3.7488615864654504E-2</c:v>
                </c:pt>
                <c:pt idx="155">
                  <c:v>3.7444378275232656E-2</c:v>
                </c:pt>
                <c:pt idx="156">
                  <c:v>3.7384254546432211E-2</c:v>
                </c:pt>
                <c:pt idx="157">
                  <c:v>3.7333518905734546E-2</c:v>
                </c:pt>
                <c:pt idx="158">
                  <c:v>3.7303781426966297E-2</c:v>
                </c:pt>
                <c:pt idx="159">
                  <c:v>3.7217279123736874E-2</c:v>
                </c:pt>
                <c:pt idx="160">
                  <c:v>3.7149734442705078E-2</c:v>
                </c:pt>
                <c:pt idx="161">
                  <c:v>3.7144314430902138E-2</c:v>
                </c:pt>
                <c:pt idx="162">
                  <c:v>3.7022912651749035E-2</c:v>
                </c:pt>
                <c:pt idx="163">
                  <c:v>3.6964928276319406E-2</c:v>
                </c:pt>
                <c:pt idx="164">
                  <c:v>3.7027323579835361E-2</c:v>
                </c:pt>
                <c:pt idx="165">
                  <c:v>3.6945299911769071E-2</c:v>
                </c:pt>
                <c:pt idx="166">
                  <c:v>3.6933313849217955E-2</c:v>
                </c:pt>
                <c:pt idx="167">
                  <c:v>3.6923263301506658E-2</c:v>
                </c:pt>
                <c:pt idx="168">
                  <c:v>3.691440876823996E-2</c:v>
                </c:pt>
                <c:pt idx="169">
                  <c:v>3.6905425258882053E-2</c:v>
                </c:pt>
                <c:pt idx="170">
                  <c:v>3.6895603259127815E-2</c:v>
                </c:pt>
                <c:pt idx="171">
                  <c:v>3.6885809123223486E-2</c:v>
                </c:pt>
                <c:pt idx="172">
                  <c:v>3.6875751293007485E-2</c:v>
                </c:pt>
                <c:pt idx="173">
                  <c:v>3.6865050941295892E-2</c:v>
                </c:pt>
                <c:pt idx="174">
                  <c:v>3.6854103030323757E-2</c:v>
                </c:pt>
                <c:pt idx="175">
                  <c:v>3.6842248988584299E-2</c:v>
                </c:pt>
                <c:pt idx="176">
                  <c:v>3.6830321526940886E-2</c:v>
                </c:pt>
                <c:pt idx="177">
                  <c:v>3.6817268162187743E-2</c:v>
                </c:pt>
                <c:pt idx="178">
                  <c:v>3.6806811754000343E-2</c:v>
                </c:pt>
                <c:pt idx="179">
                  <c:v>3.6789848198337742E-2</c:v>
                </c:pt>
                <c:pt idx="180">
                  <c:v>3.6775193936163353E-2</c:v>
                </c:pt>
                <c:pt idx="181">
                  <c:v>3.6759810259946506E-2</c:v>
                </c:pt>
                <c:pt idx="182">
                  <c:v>3.6747552328956205E-2</c:v>
                </c:pt>
                <c:pt idx="183">
                  <c:v>3.6727457035665531E-2</c:v>
                </c:pt>
                <c:pt idx="184">
                  <c:v>3.6709536434889507E-2</c:v>
                </c:pt>
                <c:pt idx="185">
                  <c:v>3.669093497243088E-2</c:v>
                </c:pt>
                <c:pt idx="186">
                  <c:v>3.6673753206906655E-2</c:v>
                </c:pt>
                <c:pt idx="187">
                  <c:v>3.6652114560337415E-2</c:v>
                </c:pt>
                <c:pt idx="188">
                  <c:v>3.6631499468774489E-2</c:v>
                </c:pt>
                <c:pt idx="189">
                  <c:v>3.6608829863324116E-2</c:v>
                </c:pt>
                <c:pt idx="190">
                  <c:v>3.6585617150451055E-2</c:v>
                </c:pt>
                <c:pt idx="191">
                  <c:v>3.6564210789688648E-2</c:v>
                </c:pt>
                <c:pt idx="192">
                  <c:v>3.6538922178511117E-2</c:v>
                </c:pt>
                <c:pt idx="193">
                  <c:v>3.65114761580543E-2</c:v>
                </c:pt>
                <c:pt idx="194">
                  <c:v>3.6483544515557728E-2</c:v>
                </c:pt>
                <c:pt idx="195">
                  <c:v>3.647306383307166E-2</c:v>
                </c:pt>
                <c:pt idx="196">
                  <c:v>3.6429309500638093E-2</c:v>
                </c:pt>
                <c:pt idx="197">
                  <c:v>3.6396447347270926E-2</c:v>
                </c:pt>
                <c:pt idx="198">
                  <c:v>3.6362306402825076E-2</c:v>
                </c:pt>
                <c:pt idx="199">
                  <c:v>3.6331141913618081E-2</c:v>
                </c:pt>
                <c:pt idx="200">
                  <c:v>3.6293991369033982E-2</c:v>
                </c:pt>
                <c:pt idx="201">
                  <c:v>3.6264613372737307E-2</c:v>
                </c:pt>
                <c:pt idx="202">
                  <c:v>3.6267294491319359E-2</c:v>
                </c:pt>
                <c:pt idx="203">
                  <c:v>3.6257647463529677E-2</c:v>
                </c:pt>
                <c:pt idx="204">
                  <c:v>3.625196602313463E-2</c:v>
                </c:pt>
                <c:pt idx="205">
                  <c:v>3.6246956432519913E-2</c:v>
                </c:pt>
                <c:pt idx="206">
                  <c:v>3.6241880075269385E-2</c:v>
                </c:pt>
                <c:pt idx="207">
                  <c:v>3.6236972551505757E-2</c:v>
                </c:pt>
                <c:pt idx="208">
                  <c:v>3.6232180393814324E-2</c:v>
                </c:pt>
                <c:pt idx="209">
                  <c:v>3.6227200812404721E-2</c:v>
                </c:pt>
                <c:pt idx="210">
                  <c:v>3.622186387110133E-2</c:v>
                </c:pt>
                <c:pt idx="211">
                  <c:v>3.6216332076538758E-2</c:v>
                </c:pt>
                <c:pt idx="212">
                  <c:v>3.6210534620604487E-2</c:v>
                </c:pt>
                <c:pt idx="213">
                  <c:v>3.6204469881085381E-2</c:v>
                </c:pt>
                <c:pt idx="214">
                  <c:v>3.6198197593010108E-2</c:v>
                </c:pt>
                <c:pt idx="215">
                  <c:v>3.6191591844708992E-2</c:v>
                </c:pt>
                <c:pt idx="216">
                  <c:v>3.6184503653716428E-2</c:v>
                </c:pt>
                <c:pt idx="217">
                  <c:v>3.6177114382854238E-2</c:v>
                </c:pt>
                <c:pt idx="218">
                  <c:v>3.616944731908802E-2</c:v>
                </c:pt>
                <c:pt idx="219">
                  <c:v>3.6161832179765943E-2</c:v>
                </c:pt>
                <c:pt idx="220">
                  <c:v>3.6153262946919708E-2</c:v>
                </c:pt>
                <c:pt idx="221">
                  <c:v>3.6144668570457616E-2</c:v>
                </c:pt>
                <c:pt idx="222">
                  <c:v>3.6135694004228947E-2</c:v>
                </c:pt>
                <c:pt idx="223">
                  <c:v>3.6125335978449018E-2</c:v>
                </c:pt>
                <c:pt idx="224">
                  <c:v>3.6115680294230665E-2</c:v>
                </c:pt>
                <c:pt idx="225">
                  <c:v>3.610595763762272E-2</c:v>
                </c:pt>
                <c:pt idx="226">
                  <c:v>3.6093726222533713E-2</c:v>
                </c:pt>
                <c:pt idx="227">
                  <c:v>3.6082065927385949E-2</c:v>
                </c:pt>
                <c:pt idx="228">
                  <c:v>3.6075049038334417E-2</c:v>
                </c:pt>
                <c:pt idx="229">
                  <c:v>3.6057883864872062E-2</c:v>
                </c:pt>
                <c:pt idx="230">
                  <c:v>3.60517595712588E-2</c:v>
                </c:pt>
                <c:pt idx="231">
                  <c:v>3.6030924742092199E-2</c:v>
                </c:pt>
                <c:pt idx="232">
                  <c:v>3.6019065755405359E-2</c:v>
                </c:pt>
                <c:pt idx="233">
                  <c:v>3.6000298670130826E-2</c:v>
                </c:pt>
                <c:pt idx="234">
                  <c:v>3.5984336489725814E-2</c:v>
                </c:pt>
                <c:pt idx="235">
                  <c:v>3.5967607339434313E-2</c:v>
                </c:pt>
                <c:pt idx="236">
                  <c:v>3.5950644420461322E-2</c:v>
                </c:pt>
                <c:pt idx="237">
                  <c:v>3.5934478915851706E-2</c:v>
                </c:pt>
                <c:pt idx="238">
                  <c:v>3.5920756126663421E-2</c:v>
                </c:pt>
                <c:pt idx="239">
                  <c:v>3.5893913873957503E-2</c:v>
                </c:pt>
                <c:pt idx="240">
                  <c:v>3.5895970496575502E-2</c:v>
                </c:pt>
                <c:pt idx="241">
                  <c:v>3.5891753126457024E-2</c:v>
                </c:pt>
                <c:pt idx="242">
                  <c:v>3.5889511256486921E-2</c:v>
                </c:pt>
                <c:pt idx="243">
                  <c:v>3.5887282359427529E-2</c:v>
                </c:pt>
                <c:pt idx="244">
                  <c:v>3.5884797516210411E-2</c:v>
                </c:pt>
                <c:pt idx="245">
                  <c:v>3.5882297664929154E-2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6A-432D-93A6-32384E6C8B77}"/>
            </c:ext>
          </c:extLst>
        </c:ser>
        <c:ser>
          <c:idx val="1"/>
          <c:order val="1"/>
          <c:tx>
            <c:strRef>
              <c:f>Iris!$O$1</c:f>
              <c:strCache>
                <c:ptCount val="1"/>
                <c:pt idx="0">
                  <c:v>RMS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Iris!$O$2:$O$501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xVal>
          <c:yVal>
            <c:numRef>
              <c:f>Iris!$P$2:$P$501</c:f>
              <c:numCache>
                <c:formatCode>General</c:formatCode>
                <c:ptCount val="500"/>
                <c:pt idx="0">
                  <c:v>6.5803724123416396E-2</c:v>
                </c:pt>
                <c:pt idx="1">
                  <c:v>6.2315518361333484E-2</c:v>
                </c:pt>
                <c:pt idx="2">
                  <c:v>5.9295233081324845E-2</c:v>
                </c:pt>
                <c:pt idx="3">
                  <c:v>5.6527237902257763E-2</c:v>
                </c:pt>
                <c:pt idx="4">
                  <c:v>5.39684855116958E-2</c:v>
                </c:pt>
                <c:pt idx="5">
                  <c:v>5.1626698434370503E-2</c:v>
                </c:pt>
                <c:pt idx="6">
                  <c:v>4.9480241678261101E-2</c:v>
                </c:pt>
                <c:pt idx="7">
                  <c:v>4.7568060842002935E-2</c:v>
                </c:pt>
                <c:pt idx="8">
                  <c:v>4.5877523496263201E-2</c:v>
                </c:pt>
                <c:pt idx="9">
                  <c:v>4.4444322201799176E-2</c:v>
                </c:pt>
                <c:pt idx="10">
                  <c:v>4.3166472474573177E-2</c:v>
                </c:pt>
                <c:pt idx="11">
                  <c:v>4.2106826031377872E-2</c:v>
                </c:pt>
                <c:pt idx="12">
                  <c:v>4.1203477239601126E-2</c:v>
                </c:pt>
                <c:pt idx="13">
                  <c:v>4.044272190955614E-2</c:v>
                </c:pt>
                <c:pt idx="14">
                  <c:v>3.9760997877515615E-2</c:v>
                </c:pt>
                <c:pt idx="15">
                  <c:v>3.917552786244393E-2</c:v>
                </c:pt>
                <c:pt idx="16">
                  <c:v>3.8604116823008301E-2</c:v>
                </c:pt>
                <c:pt idx="17">
                  <c:v>3.8125130508341327E-2</c:v>
                </c:pt>
                <c:pt idx="18">
                  <c:v>3.7688891130507905E-2</c:v>
                </c:pt>
                <c:pt idx="19">
                  <c:v>3.7274628033709206E-2</c:v>
                </c:pt>
                <c:pt idx="20">
                  <c:v>3.6827149570248012E-2</c:v>
                </c:pt>
                <c:pt idx="21">
                  <c:v>3.6341470291855367E-2</c:v>
                </c:pt>
                <c:pt idx="22">
                  <c:v>3.5993885592307158E-2</c:v>
                </c:pt>
                <c:pt idx="23">
                  <c:v>3.5554729441850473E-2</c:v>
                </c:pt>
                <c:pt idx="24">
                  <c:v>3.5188943363523142E-2</c:v>
                </c:pt>
                <c:pt idx="25">
                  <c:v>3.4868586947240848E-2</c:v>
                </c:pt>
                <c:pt idx="26">
                  <c:v>3.4581687068362642E-2</c:v>
                </c:pt>
                <c:pt idx="27">
                  <c:v>3.4521403033109146E-2</c:v>
                </c:pt>
                <c:pt idx="28">
                  <c:v>3.3766115249037658E-2</c:v>
                </c:pt>
                <c:pt idx="29">
                  <c:v>3.355178368205354E-2</c:v>
                </c:pt>
                <c:pt idx="30">
                  <c:v>3.3348896722311179E-2</c:v>
                </c:pt>
                <c:pt idx="31">
                  <c:v>3.2952437738353553E-2</c:v>
                </c:pt>
                <c:pt idx="32">
                  <c:v>3.2773365311903051E-2</c:v>
                </c:pt>
                <c:pt idx="33">
                  <c:v>3.2280825872183519E-2</c:v>
                </c:pt>
                <c:pt idx="34">
                  <c:v>3.3220606224880815E-2</c:v>
                </c:pt>
                <c:pt idx="35">
                  <c:v>3.2238739613761301E-2</c:v>
                </c:pt>
                <c:pt idx="36">
                  <c:v>3.2205750146929418E-2</c:v>
                </c:pt>
                <c:pt idx="37">
                  <c:v>3.2170636997921803E-2</c:v>
                </c:pt>
                <c:pt idx="38">
                  <c:v>3.2131468548902573E-2</c:v>
                </c:pt>
                <c:pt idx="39">
                  <c:v>3.2097834244918431E-2</c:v>
                </c:pt>
                <c:pt idx="40">
                  <c:v>3.2049709642114628E-2</c:v>
                </c:pt>
                <c:pt idx="41">
                  <c:v>3.2004988208315543E-2</c:v>
                </c:pt>
                <c:pt idx="42">
                  <c:v>3.1965124429797924E-2</c:v>
                </c:pt>
                <c:pt idx="43">
                  <c:v>3.1912823756873369E-2</c:v>
                </c:pt>
                <c:pt idx="44">
                  <c:v>3.186547638034172E-2</c:v>
                </c:pt>
                <c:pt idx="45">
                  <c:v>3.1805988115943783E-2</c:v>
                </c:pt>
                <c:pt idx="46">
                  <c:v>3.1750975915192318E-2</c:v>
                </c:pt>
                <c:pt idx="47">
                  <c:v>3.1694955933541873E-2</c:v>
                </c:pt>
                <c:pt idx="48">
                  <c:v>3.1644262045819549E-2</c:v>
                </c:pt>
                <c:pt idx="49">
                  <c:v>3.1578636721611167E-2</c:v>
                </c:pt>
                <c:pt idx="50">
                  <c:v>3.1496100879364865E-2</c:v>
                </c:pt>
                <c:pt idx="51">
                  <c:v>3.1424476032181625E-2</c:v>
                </c:pt>
                <c:pt idx="52">
                  <c:v>3.1364819414419827E-2</c:v>
                </c:pt>
                <c:pt idx="53">
                  <c:v>3.1309580492453082E-2</c:v>
                </c:pt>
                <c:pt idx="54">
                  <c:v>3.121091532628777E-2</c:v>
                </c:pt>
                <c:pt idx="55">
                  <c:v>3.1116711474893491E-2</c:v>
                </c:pt>
                <c:pt idx="56">
                  <c:v>3.1026578112074706E-2</c:v>
                </c:pt>
                <c:pt idx="57">
                  <c:v>3.0967092455659664E-2</c:v>
                </c:pt>
                <c:pt idx="58">
                  <c:v>3.0836429282220169E-2</c:v>
                </c:pt>
                <c:pt idx="59">
                  <c:v>3.0990990732581852E-2</c:v>
                </c:pt>
                <c:pt idx="60">
                  <c:v>3.0822492455514963E-2</c:v>
                </c:pt>
                <c:pt idx="61">
                  <c:v>3.0810991529062901E-2</c:v>
                </c:pt>
                <c:pt idx="62">
                  <c:v>3.0798875659791163E-2</c:v>
                </c:pt>
                <c:pt idx="63">
                  <c:v>3.0787175792580654E-2</c:v>
                </c:pt>
                <c:pt idx="64">
                  <c:v>3.077476685788582E-2</c:v>
                </c:pt>
                <c:pt idx="65">
                  <c:v>3.0762162677934329E-2</c:v>
                </c:pt>
                <c:pt idx="66">
                  <c:v>3.074864820426336E-2</c:v>
                </c:pt>
                <c:pt idx="67">
                  <c:v>3.0735321676822164E-2</c:v>
                </c:pt>
                <c:pt idx="68">
                  <c:v>3.0720542095939867E-2</c:v>
                </c:pt>
                <c:pt idx="69">
                  <c:v>3.070447098247088E-2</c:v>
                </c:pt>
                <c:pt idx="70">
                  <c:v>3.0687932839131866E-2</c:v>
                </c:pt>
                <c:pt idx="71">
                  <c:v>3.0671073563310426E-2</c:v>
                </c:pt>
                <c:pt idx="72">
                  <c:v>3.0654187653839971E-2</c:v>
                </c:pt>
                <c:pt idx="73">
                  <c:v>3.063588444933768E-2</c:v>
                </c:pt>
                <c:pt idx="74">
                  <c:v>3.0617437780147409E-2</c:v>
                </c:pt>
                <c:pt idx="75">
                  <c:v>3.059692001605821E-2</c:v>
                </c:pt>
                <c:pt idx="76">
                  <c:v>3.0575001269535679E-2</c:v>
                </c:pt>
                <c:pt idx="77">
                  <c:v>3.0550781297341286E-2</c:v>
                </c:pt>
                <c:pt idx="78">
                  <c:v>3.053071518654172E-2</c:v>
                </c:pt>
                <c:pt idx="79">
                  <c:v>3.0504573084130016E-2</c:v>
                </c:pt>
                <c:pt idx="80">
                  <c:v>3.0480706784418422E-2</c:v>
                </c:pt>
                <c:pt idx="81">
                  <c:v>3.0453376082421754E-2</c:v>
                </c:pt>
                <c:pt idx="82">
                  <c:v>3.0424500148316925E-2</c:v>
                </c:pt>
                <c:pt idx="83">
                  <c:v>3.0397531145667359E-2</c:v>
                </c:pt>
                <c:pt idx="84">
                  <c:v>3.0364671183207178E-2</c:v>
                </c:pt>
                <c:pt idx="85">
                  <c:v>3.0330351893100769E-2</c:v>
                </c:pt>
                <c:pt idx="86">
                  <c:v>3.0297162886212495E-2</c:v>
                </c:pt>
                <c:pt idx="87">
                  <c:v>3.025609338836811E-2</c:v>
                </c:pt>
                <c:pt idx="88">
                  <c:v>3.0215251703200205E-2</c:v>
                </c:pt>
                <c:pt idx="89">
                  <c:v>3.0179179684028529E-2</c:v>
                </c:pt>
                <c:pt idx="90">
                  <c:v>3.0131503116032569E-2</c:v>
                </c:pt>
                <c:pt idx="91">
                  <c:v>3.0088462373003215E-2</c:v>
                </c:pt>
                <c:pt idx="92">
                  <c:v>3.0046422044807439E-2</c:v>
                </c:pt>
                <c:pt idx="93">
                  <c:v>2.9992286817293396E-2</c:v>
                </c:pt>
                <c:pt idx="94">
                  <c:v>2.995827803349823E-2</c:v>
                </c:pt>
                <c:pt idx="95">
                  <c:v>2.9900892198784758E-2</c:v>
                </c:pt>
                <c:pt idx="96">
                  <c:v>2.9837531895762989E-2</c:v>
                </c:pt>
                <c:pt idx="97">
                  <c:v>2.9770766381071949E-2</c:v>
                </c:pt>
                <c:pt idx="98">
                  <c:v>2.970148288891513E-2</c:v>
                </c:pt>
                <c:pt idx="99">
                  <c:v>2.9638860641484428E-2</c:v>
                </c:pt>
                <c:pt idx="100">
                  <c:v>2.9591787130993925E-2</c:v>
                </c:pt>
                <c:pt idx="101">
                  <c:v>2.9506799863718715E-2</c:v>
                </c:pt>
                <c:pt idx="102">
                  <c:v>2.9441196029497164E-2</c:v>
                </c:pt>
                <c:pt idx="103">
                  <c:v>2.9360286356076848E-2</c:v>
                </c:pt>
                <c:pt idx="104">
                  <c:v>2.9289664480424828E-2</c:v>
                </c:pt>
                <c:pt idx="105">
                  <c:v>2.9221397689465394E-2</c:v>
                </c:pt>
                <c:pt idx="106">
                  <c:v>2.9119274368258504E-2</c:v>
                </c:pt>
                <c:pt idx="107">
                  <c:v>2.9014022690186221E-2</c:v>
                </c:pt>
                <c:pt idx="108">
                  <c:v>2.8927270627353761E-2</c:v>
                </c:pt>
                <c:pt idx="109">
                  <c:v>2.8830455798661114E-2</c:v>
                </c:pt>
                <c:pt idx="110">
                  <c:v>2.8746738701518167E-2</c:v>
                </c:pt>
                <c:pt idx="111">
                  <c:v>2.8612361075231321E-2</c:v>
                </c:pt>
                <c:pt idx="112">
                  <c:v>2.851446685008615E-2</c:v>
                </c:pt>
                <c:pt idx="113">
                  <c:v>2.8520048790099881E-2</c:v>
                </c:pt>
                <c:pt idx="114">
                  <c:v>2.8494532337080221E-2</c:v>
                </c:pt>
                <c:pt idx="115">
                  <c:v>2.847933329417407E-2</c:v>
                </c:pt>
                <c:pt idx="116">
                  <c:v>2.8464036251233463E-2</c:v>
                </c:pt>
                <c:pt idx="117">
                  <c:v>2.8448767930261357E-2</c:v>
                </c:pt>
                <c:pt idx="118">
                  <c:v>2.8432273219836605E-2</c:v>
                </c:pt>
                <c:pt idx="119">
                  <c:v>2.8414204832869282E-2</c:v>
                </c:pt>
                <c:pt idx="120">
                  <c:v>2.8395091929937045E-2</c:v>
                </c:pt>
                <c:pt idx="121">
                  <c:v>2.8376072532444559E-2</c:v>
                </c:pt>
                <c:pt idx="122">
                  <c:v>2.8357329790534614E-2</c:v>
                </c:pt>
                <c:pt idx="123">
                  <c:v>2.833643013307709E-2</c:v>
                </c:pt>
                <c:pt idx="124">
                  <c:v>2.8314501774192476E-2</c:v>
                </c:pt>
                <c:pt idx="125">
                  <c:v>2.8292663363376429E-2</c:v>
                </c:pt>
                <c:pt idx="126">
                  <c:v>2.8269751764849242E-2</c:v>
                </c:pt>
                <c:pt idx="127">
                  <c:v>2.8248097803809803E-2</c:v>
                </c:pt>
                <c:pt idx="128">
                  <c:v>2.8221402693036128E-2</c:v>
                </c:pt>
                <c:pt idx="129">
                  <c:v>2.8196542840665448E-2</c:v>
                </c:pt>
                <c:pt idx="130">
                  <c:v>2.8166689333815911E-2</c:v>
                </c:pt>
                <c:pt idx="131">
                  <c:v>2.8135285710116243E-2</c:v>
                </c:pt>
                <c:pt idx="132">
                  <c:v>2.8104840307800239E-2</c:v>
                </c:pt>
                <c:pt idx="133">
                  <c:v>2.8072800901137909E-2</c:v>
                </c:pt>
                <c:pt idx="134">
                  <c:v>2.8036950896268269E-2</c:v>
                </c:pt>
                <c:pt idx="135">
                  <c:v>2.8000166170297922E-2</c:v>
                </c:pt>
                <c:pt idx="136">
                  <c:v>2.796198895184069E-2</c:v>
                </c:pt>
                <c:pt idx="137">
                  <c:v>2.7923583611132549E-2</c:v>
                </c:pt>
                <c:pt idx="138">
                  <c:v>2.7881390534414057E-2</c:v>
                </c:pt>
                <c:pt idx="139">
                  <c:v>2.7844462282207945E-2</c:v>
                </c:pt>
                <c:pt idx="140">
                  <c:v>2.7798167277862298E-2</c:v>
                </c:pt>
                <c:pt idx="141">
                  <c:v>2.7759403121441685E-2</c:v>
                </c:pt>
                <c:pt idx="142">
                  <c:v>2.7710529831341438E-2</c:v>
                </c:pt>
                <c:pt idx="143">
                  <c:v>2.7652906939906255E-2</c:v>
                </c:pt>
                <c:pt idx="144">
                  <c:v>2.7595685317967616E-2</c:v>
                </c:pt>
                <c:pt idx="145">
                  <c:v>2.7550576435705007E-2</c:v>
                </c:pt>
                <c:pt idx="146">
                  <c:v>2.7472320672698457E-2</c:v>
                </c:pt>
                <c:pt idx="147">
                  <c:v>2.7405578539959514E-2</c:v>
                </c:pt>
                <c:pt idx="148">
                  <c:v>2.7330904374175232E-2</c:v>
                </c:pt>
                <c:pt idx="149">
                  <c:v>2.7281003848313022E-2</c:v>
                </c:pt>
                <c:pt idx="150">
                  <c:v>2.7187226591700406E-2</c:v>
                </c:pt>
                <c:pt idx="151">
                  <c:v>2.7114595561778563E-2</c:v>
                </c:pt>
                <c:pt idx="152">
                  <c:v>2.7027263271178451E-2</c:v>
                </c:pt>
                <c:pt idx="153">
                  <c:v>2.6938873835231823E-2</c:v>
                </c:pt>
                <c:pt idx="154">
                  <c:v>2.6869608855036031E-2</c:v>
                </c:pt>
                <c:pt idx="155">
                  <c:v>2.6719944587049543E-2</c:v>
                </c:pt>
                <c:pt idx="156">
                  <c:v>2.663894306854293E-2</c:v>
                </c:pt>
                <c:pt idx="157">
                  <c:v>2.6496091125300623E-2</c:v>
                </c:pt>
                <c:pt idx="158">
                  <c:v>2.6384252145119375E-2</c:v>
                </c:pt>
                <c:pt idx="159">
                  <c:v>2.627429323534718E-2</c:v>
                </c:pt>
                <c:pt idx="160">
                  <c:v>2.6173846376047159E-2</c:v>
                </c:pt>
                <c:pt idx="161">
                  <c:v>2.6065270795828644E-2</c:v>
                </c:pt>
                <c:pt idx="162">
                  <c:v>2.5907133182123111E-2</c:v>
                </c:pt>
                <c:pt idx="163">
                  <c:v>2.5757694625238726E-2</c:v>
                </c:pt>
                <c:pt idx="164">
                  <c:v>2.559535617992174E-2</c:v>
                </c:pt>
                <c:pt idx="165">
                  <c:v>2.5729302774872943E-2</c:v>
                </c:pt>
                <c:pt idx="166">
                  <c:v>2.5566060818864991E-2</c:v>
                </c:pt>
                <c:pt idx="167">
                  <c:v>2.5544930349880514E-2</c:v>
                </c:pt>
                <c:pt idx="168">
                  <c:v>2.5524989387201758E-2</c:v>
                </c:pt>
                <c:pt idx="169">
                  <c:v>2.5505015004445176E-2</c:v>
                </c:pt>
                <c:pt idx="170">
                  <c:v>2.5483745155868816E-2</c:v>
                </c:pt>
                <c:pt idx="171">
                  <c:v>2.5460866947866256E-2</c:v>
                </c:pt>
                <c:pt idx="172">
                  <c:v>2.5437805560370518E-2</c:v>
                </c:pt>
                <c:pt idx="173">
                  <c:v>2.5415477521503676E-2</c:v>
                </c:pt>
                <c:pt idx="174">
                  <c:v>2.5389395918821108E-2</c:v>
                </c:pt>
                <c:pt idx="175">
                  <c:v>2.5362897201320612E-2</c:v>
                </c:pt>
                <c:pt idx="176">
                  <c:v>2.5334335688944082E-2</c:v>
                </c:pt>
                <c:pt idx="177">
                  <c:v>2.5303786019533352E-2</c:v>
                </c:pt>
                <c:pt idx="178">
                  <c:v>2.5271331156126529E-2</c:v>
                </c:pt>
                <c:pt idx="179">
                  <c:v>2.5236620554634638E-2</c:v>
                </c:pt>
                <c:pt idx="180">
                  <c:v>2.5201990427023483E-2</c:v>
                </c:pt>
                <c:pt idx="181">
                  <c:v>2.516048709265524E-2</c:v>
                </c:pt>
                <c:pt idx="182">
                  <c:v>2.5124765811137591E-2</c:v>
                </c:pt>
                <c:pt idx="183">
                  <c:v>2.5085757096357682E-2</c:v>
                </c:pt>
                <c:pt idx="184">
                  <c:v>2.5043869583918771E-2</c:v>
                </c:pt>
                <c:pt idx="185">
                  <c:v>2.5000587932564829E-2</c:v>
                </c:pt>
                <c:pt idx="186">
                  <c:v>2.4962189437599733E-2</c:v>
                </c:pt>
                <c:pt idx="187">
                  <c:v>2.4913820821748339E-2</c:v>
                </c:pt>
                <c:pt idx="188">
                  <c:v>2.4863783490868679E-2</c:v>
                </c:pt>
                <c:pt idx="189">
                  <c:v>2.4812298689313422E-2</c:v>
                </c:pt>
                <c:pt idx="190">
                  <c:v>2.4778302250972509E-2</c:v>
                </c:pt>
                <c:pt idx="191">
                  <c:v>2.4709720929987557E-2</c:v>
                </c:pt>
                <c:pt idx="192">
                  <c:v>2.4652414026454364E-2</c:v>
                </c:pt>
                <c:pt idx="193">
                  <c:v>2.4595768612840248E-2</c:v>
                </c:pt>
                <c:pt idx="194">
                  <c:v>2.4533075108381933E-2</c:v>
                </c:pt>
                <c:pt idx="195">
                  <c:v>2.4462597630116458E-2</c:v>
                </c:pt>
                <c:pt idx="196">
                  <c:v>2.4394004011399902E-2</c:v>
                </c:pt>
                <c:pt idx="197">
                  <c:v>2.432739132073676E-2</c:v>
                </c:pt>
                <c:pt idx="198">
                  <c:v>2.4250478111413565E-2</c:v>
                </c:pt>
                <c:pt idx="199">
                  <c:v>2.41826303413928E-2</c:v>
                </c:pt>
                <c:pt idx="200">
                  <c:v>2.4164688336874303E-2</c:v>
                </c:pt>
                <c:pt idx="201">
                  <c:v>2.401534382304997E-2</c:v>
                </c:pt>
                <c:pt idx="202">
                  <c:v>2.3935156424357989E-2</c:v>
                </c:pt>
                <c:pt idx="203">
                  <c:v>2.3837313689243734E-2</c:v>
                </c:pt>
                <c:pt idx="204">
                  <c:v>2.3735500653071246E-2</c:v>
                </c:pt>
                <c:pt idx="205">
                  <c:v>2.3648498240301834E-2</c:v>
                </c:pt>
                <c:pt idx="206">
                  <c:v>2.3581417387380253E-2</c:v>
                </c:pt>
                <c:pt idx="207">
                  <c:v>2.3477565120883604E-2</c:v>
                </c:pt>
                <c:pt idx="208">
                  <c:v>2.3340722707471086E-2</c:v>
                </c:pt>
                <c:pt idx="209">
                  <c:v>2.3224410064175853E-2</c:v>
                </c:pt>
                <c:pt idx="210">
                  <c:v>2.3181904922362159E-2</c:v>
                </c:pt>
                <c:pt idx="211">
                  <c:v>2.3000388823475864E-2</c:v>
                </c:pt>
                <c:pt idx="212">
                  <c:v>2.3092496712024287E-2</c:v>
                </c:pt>
                <c:pt idx="213">
                  <c:v>2.2976571840421282E-2</c:v>
                </c:pt>
                <c:pt idx="214">
                  <c:v>2.2961229884065588E-2</c:v>
                </c:pt>
                <c:pt idx="215">
                  <c:v>2.2944192034689097E-2</c:v>
                </c:pt>
                <c:pt idx="216">
                  <c:v>2.2928034176707499E-2</c:v>
                </c:pt>
                <c:pt idx="217">
                  <c:v>2.2910168677804883E-2</c:v>
                </c:pt>
                <c:pt idx="218">
                  <c:v>2.2893097726084544E-2</c:v>
                </c:pt>
                <c:pt idx="219">
                  <c:v>2.2873781325315878E-2</c:v>
                </c:pt>
                <c:pt idx="220">
                  <c:v>2.2852770731974427E-2</c:v>
                </c:pt>
                <c:pt idx="221">
                  <c:v>2.2831403433207907E-2</c:v>
                </c:pt>
                <c:pt idx="222">
                  <c:v>2.2808927723709387E-2</c:v>
                </c:pt>
                <c:pt idx="223">
                  <c:v>2.2787118802256701E-2</c:v>
                </c:pt>
                <c:pt idx="224">
                  <c:v>2.2761033666386658E-2</c:v>
                </c:pt>
                <c:pt idx="225">
                  <c:v>2.2737184287706644E-2</c:v>
                </c:pt>
                <c:pt idx="226">
                  <c:v>2.2706257206634165E-2</c:v>
                </c:pt>
                <c:pt idx="227">
                  <c:v>2.2675509854225586E-2</c:v>
                </c:pt>
                <c:pt idx="228">
                  <c:v>2.2641540559230445E-2</c:v>
                </c:pt>
                <c:pt idx="229">
                  <c:v>2.2609819090842375E-2</c:v>
                </c:pt>
                <c:pt idx="230">
                  <c:v>2.2573190445654992E-2</c:v>
                </c:pt>
                <c:pt idx="231">
                  <c:v>2.2534891391130525E-2</c:v>
                </c:pt>
                <c:pt idx="232">
                  <c:v>2.2500571861192743E-2</c:v>
                </c:pt>
                <c:pt idx="233">
                  <c:v>2.2458337750707467E-2</c:v>
                </c:pt>
                <c:pt idx="234">
                  <c:v>2.2422277792292652E-2</c:v>
                </c:pt>
                <c:pt idx="235">
                  <c:v>2.2383657684752166E-2</c:v>
                </c:pt>
                <c:pt idx="236">
                  <c:v>2.2336138478257495E-2</c:v>
                </c:pt>
                <c:pt idx="237">
                  <c:v>2.2305244231160298E-2</c:v>
                </c:pt>
                <c:pt idx="238">
                  <c:v>2.2247115181587746E-2</c:v>
                </c:pt>
                <c:pt idx="239">
                  <c:v>2.2221582863567055E-2</c:v>
                </c:pt>
                <c:pt idx="240">
                  <c:v>2.2166946738440774E-2</c:v>
                </c:pt>
                <c:pt idx="241">
                  <c:v>2.2111356189272558E-2</c:v>
                </c:pt>
                <c:pt idx="242">
                  <c:v>2.2081904056697705E-2</c:v>
                </c:pt>
                <c:pt idx="243">
                  <c:v>2.2005686634234304E-2</c:v>
                </c:pt>
                <c:pt idx="244">
                  <c:v>2.1954050201957429E-2</c:v>
                </c:pt>
                <c:pt idx="245">
                  <c:v>2.1889280874400424E-2</c:v>
                </c:pt>
                <c:pt idx="246">
                  <c:v>2.1805651011999373E-2</c:v>
                </c:pt>
                <c:pt idx="247">
                  <c:v>2.1729619103823393E-2</c:v>
                </c:pt>
                <c:pt idx="248">
                  <c:v>2.1666027159288202E-2</c:v>
                </c:pt>
                <c:pt idx="249">
                  <c:v>2.1605733056303669E-2</c:v>
                </c:pt>
                <c:pt idx="250">
                  <c:v>2.1503704624453942E-2</c:v>
                </c:pt>
                <c:pt idx="251">
                  <c:v>2.1417450193380261E-2</c:v>
                </c:pt>
                <c:pt idx="252">
                  <c:v>2.1313070697208968E-2</c:v>
                </c:pt>
                <c:pt idx="253">
                  <c:v>2.127958921203996E-2</c:v>
                </c:pt>
                <c:pt idx="254">
                  <c:v>2.1127524038427433E-2</c:v>
                </c:pt>
                <c:pt idx="255">
                  <c:v>2.1061161376355404E-2</c:v>
                </c:pt>
                <c:pt idx="256">
                  <c:v>2.095262226821942E-2</c:v>
                </c:pt>
                <c:pt idx="257">
                  <c:v>2.0840330105354857E-2</c:v>
                </c:pt>
                <c:pt idx="258">
                  <c:v>2.074964972303105E-2</c:v>
                </c:pt>
                <c:pt idx="259">
                  <c:v>2.0643744651940348E-2</c:v>
                </c:pt>
                <c:pt idx="260">
                  <c:v>2.0558369072080109E-2</c:v>
                </c:pt>
                <c:pt idx="261">
                  <c:v>2.0461735576500103E-2</c:v>
                </c:pt>
                <c:pt idx="262">
                  <c:v>2.0304730301430887E-2</c:v>
                </c:pt>
                <c:pt idx="263">
                  <c:v>2.0262187718906831E-2</c:v>
                </c:pt>
                <c:pt idx="264">
                  <c:v>2.0021502043282353E-2</c:v>
                </c:pt>
                <c:pt idx="265">
                  <c:v>1.9904801280449476E-2</c:v>
                </c:pt>
                <c:pt idx="266">
                  <c:v>1.9760274692360556E-2</c:v>
                </c:pt>
                <c:pt idx="267">
                  <c:v>2.032337800278608E-2</c:v>
                </c:pt>
                <c:pt idx="268">
                  <c:v>1.9741452917297571E-2</c:v>
                </c:pt>
                <c:pt idx="269">
                  <c:v>1.9726077421029015E-2</c:v>
                </c:pt>
                <c:pt idx="270">
                  <c:v>1.9710421794536727E-2</c:v>
                </c:pt>
                <c:pt idx="271">
                  <c:v>1.9690951927728344E-2</c:v>
                </c:pt>
                <c:pt idx="272">
                  <c:v>1.967148084787021E-2</c:v>
                </c:pt>
                <c:pt idx="273">
                  <c:v>1.9649499481234158E-2</c:v>
                </c:pt>
                <c:pt idx="274">
                  <c:v>1.962565214442381E-2</c:v>
                </c:pt>
                <c:pt idx="275">
                  <c:v>1.9601797295044104E-2</c:v>
                </c:pt>
                <c:pt idx="276">
                  <c:v>1.9574755545518366E-2</c:v>
                </c:pt>
                <c:pt idx="277">
                  <c:v>1.9550074586719146E-2</c:v>
                </c:pt>
                <c:pt idx="278">
                  <c:v>1.9523440751056068E-2</c:v>
                </c:pt>
                <c:pt idx="279">
                  <c:v>1.9491643714637456E-2</c:v>
                </c:pt>
                <c:pt idx="280">
                  <c:v>1.9457737507277816E-2</c:v>
                </c:pt>
                <c:pt idx="281">
                  <c:v>1.9422712466864094E-2</c:v>
                </c:pt>
                <c:pt idx="282">
                  <c:v>1.9401830965815114E-2</c:v>
                </c:pt>
                <c:pt idx="283">
                  <c:v>1.9357826253154454E-2</c:v>
                </c:pt>
                <c:pt idx="284">
                  <c:v>1.9313666728751722E-2</c:v>
                </c:pt>
                <c:pt idx="285">
                  <c:v>1.9271505451150715E-2</c:v>
                </c:pt>
                <c:pt idx="286">
                  <c:v>1.9238601324547182E-2</c:v>
                </c:pt>
                <c:pt idx="287">
                  <c:v>1.9190413869937993E-2</c:v>
                </c:pt>
                <c:pt idx="288">
                  <c:v>1.9145416162046416E-2</c:v>
                </c:pt>
                <c:pt idx="289">
                  <c:v>1.9096223806908532E-2</c:v>
                </c:pt>
                <c:pt idx="290">
                  <c:v>1.9081393136117054E-2</c:v>
                </c:pt>
                <c:pt idx="291">
                  <c:v>1.8999612073967005E-2</c:v>
                </c:pt>
                <c:pt idx="292">
                  <c:v>1.894473403415313E-2</c:v>
                </c:pt>
                <c:pt idx="293">
                  <c:v>1.8898518615682477E-2</c:v>
                </c:pt>
                <c:pt idx="294">
                  <c:v>1.8848298107458375E-2</c:v>
                </c:pt>
                <c:pt idx="295">
                  <c:v>1.8793384596218734E-2</c:v>
                </c:pt>
                <c:pt idx="296">
                  <c:v>1.8729477614592944E-2</c:v>
                </c:pt>
                <c:pt idx="297">
                  <c:v>1.866070968393594E-2</c:v>
                </c:pt>
                <c:pt idx="298">
                  <c:v>1.862431005095511E-2</c:v>
                </c:pt>
                <c:pt idx="299">
                  <c:v>1.8538418808607213E-2</c:v>
                </c:pt>
                <c:pt idx="300">
                  <c:v>1.8441842388533615E-2</c:v>
                </c:pt>
                <c:pt idx="301">
                  <c:v>1.8431659097798463E-2</c:v>
                </c:pt>
                <c:pt idx="302">
                  <c:v>1.8298051030484316E-2</c:v>
                </c:pt>
                <c:pt idx="303">
                  <c:v>1.8283268997922698E-2</c:v>
                </c:pt>
                <c:pt idx="304">
                  <c:v>1.8135439758257065E-2</c:v>
                </c:pt>
                <c:pt idx="305">
                  <c:v>1.8068820155745877E-2</c:v>
                </c:pt>
                <c:pt idx="306">
                  <c:v>1.7975089029264223E-2</c:v>
                </c:pt>
                <c:pt idx="307">
                  <c:v>1.7917645383149525E-2</c:v>
                </c:pt>
                <c:pt idx="308">
                  <c:v>1.7792801789595115E-2</c:v>
                </c:pt>
                <c:pt idx="309">
                  <c:v>1.7806836595905796E-2</c:v>
                </c:pt>
                <c:pt idx="310">
                  <c:v>1.7780098558931149E-2</c:v>
                </c:pt>
                <c:pt idx="311">
                  <c:v>1.7766724806754522E-2</c:v>
                </c:pt>
                <c:pt idx="312">
                  <c:v>1.7756108069363657E-2</c:v>
                </c:pt>
                <c:pt idx="313">
                  <c:v>1.7745385717960197E-2</c:v>
                </c:pt>
                <c:pt idx="314">
                  <c:v>1.7731465180702365E-2</c:v>
                </c:pt>
                <c:pt idx="315">
                  <c:v>1.7716191888673391E-2</c:v>
                </c:pt>
                <c:pt idx="316">
                  <c:v>1.7701784604557225E-2</c:v>
                </c:pt>
                <c:pt idx="317">
                  <c:v>1.7687313406817055E-2</c:v>
                </c:pt>
                <c:pt idx="318">
                  <c:v>1.7670951425645978E-2</c:v>
                </c:pt>
                <c:pt idx="319">
                  <c:v>1.765336065401913E-2</c:v>
                </c:pt>
                <c:pt idx="320">
                  <c:v>1.7633776610480507E-2</c:v>
                </c:pt>
                <c:pt idx="321">
                  <c:v>1.7613934062991225E-2</c:v>
                </c:pt>
                <c:pt idx="322">
                  <c:v>1.759260352775259E-2</c:v>
                </c:pt>
                <c:pt idx="323">
                  <c:v>1.7569274519458271E-2</c:v>
                </c:pt>
                <c:pt idx="324">
                  <c:v>1.7547490205937027E-2</c:v>
                </c:pt>
                <c:pt idx="325">
                  <c:v>1.7524899782563278E-2</c:v>
                </c:pt>
                <c:pt idx="326">
                  <c:v>1.7497127919534006E-2</c:v>
                </c:pt>
                <c:pt idx="327">
                  <c:v>1.7480501760879504E-2</c:v>
                </c:pt>
                <c:pt idx="328">
                  <c:v>1.7444150428726338E-2</c:v>
                </c:pt>
                <c:pt idx="329">
                  <c:v>1.7417422693811163E-2</c:v>
                </c:pt>
                <c:pt idx="330">
                  <c:v>1.7388253514629394E-2</c:v>
                </c:pt>
                <c:pt idx="331">
                  <c:v>1.7360240434129471E-2</c:v>
                </c:pt>
                <c:pt idx="332">
                  <c:v>1.7333923391316796E-2</c:v>
                </c:pt>
                <c:pt idx="333">
                  <c:v>1.7304001957716284E-2</c:v>
                </c:pt>
                <c:pt idx="334">
                  <c:v>1.726969152638673E-2</c:v>
                </c:pt>
                <c:pt idx="335">
                  <c:v>1.7235982569462877E-2</c:v>
                </c:pt>
                <c:pt idx="336">
                  <c:v>1.7215266767640732E-2</c:v>
                </c:pt>
                <c:pt idx="337">
                  <c:v>1.717321983439157E-2</c:v>
                </c:pt>
                <c:pt idx="338">
                  <c:v>1.712476276299792E-2</c:v>
                </c:pt>
                <c:pt idx="339">
                  <c:v>1.7098254106898695E-2</c:v>
                </c:pt>
                <c:pt idx="340">
                  <c:v>1.7034349969384289E-2</c:v>
                </c:pt>
                <c:pt idx="341">
                  <c:v>1.6989284599570161E-2</c:v>
                </c:pt>
                <c:pt idx="342">
                  <c:v>1.6947248891946813E-2</c:v>
                </c:pt>
                <c:pt idx="343">
                  <c:v>1.6982088996277647E-2</c:v>
                </c:pt>
                <c:pt idx="344">
                  <c:v>1.6941304525378856E-2</c:v>
                </c:pt>
                <c:pt idx="345">
                  <c:v>1.6934317479037165E-2</c:v>
                </c:pt>
                <c:pt idx="346">
                  <c:v>1.6928060096603019E-2</c:v>
                </c:pt>
                <c:pt idx="347">
                  <c:v>1.692209107811754E-2</c:v>
                </c:pt>
                <c:pt idx="348">
                  <c:v>1.6915879763407533E-2</c:v>
                </c:pt>
                <c:pt idx="349">
                  <c:v>1.6909373973599182E-2</c:v>
                </c:pt>
                <c:pt idx="350">
                  <c:v>1.6902604657672671E-2</c:v>
                </c:pt>
                <c:pt idx="351">
                  <c:v>1.6895064414054878E-2</c:v>
                </c:pt>
                <c:pt idx="352">
                  <c:v>1.6887020438399611E-2</c:v>
                </c:pt>
                <c:pt idx="353">
                  <c:v>1.6878153738315905E-2</c:v>
                </c:pt>
                <c:pt idx="354">
                  <c:v>1.6869655619992124E-2</c:v>
                </c:pt>
                <c:pt idx="355">
                  <c:v>1.6860912706582683E-2</c:v>
                </c:pt>
                <c:pt idx="356">
                  <c:v>1.6851491271480962E-2</c:v>
                </c:pt>
                <c:pt idx="357">
                  <c:v>1.6842299206097817E-2</c:v>
                </c:pt>
                <c:pt idx="358">
                  <c:v>1.68332862020425E-2</c:v>
                </c:pt>
                <c:pt idx="359">
                  <c:v>1.6823883917158132E-2</c:v>
                </c:pt>
                <c:pt idx="360">
                  <c:v>1.6814176805237672E-2</c:v>
                </c:pt>
                <c:pt idx="361">
                  <c:v>1.6801908123569836E-2</c:v>
                </c:pt>
                <c:pt idx="362">
                  <c:v>1.6789957705934111E-2</c:v>
                </c:pt>
                <c:pt idx="363">
                  <c:v>1.6777670939624307E-2</c:v>
                </c:pt>
                <c:pt idx="364">
                  <c:v>1.6763658154400705E-2</c:v>
                </c:pt>
                <c:pt idx="365">
                  <c:v>1.6749577151709272E-2</c:v>
                </c:pt>
                <c:pt idx="366">
                  <c:v>1.6734252254140661E-2</c:v>
                </c:pt>
                <c:pt idx="367">
                  <c:v>1.6720924931403987E-2</c:v>
                </c:pt>
                <c:pt idx="368">
                  <c:v>1.6707361235251569E-2</c:v>
                </c:pt>
                <c:pt idx="369">
                  <c:v>1.6689796705861105E-2</c:v>
                </c:pt>
                <c:pt idx="370">
                  <c:v>1.6673042053653525E-2</c:v>
                </c:pt>
                <c:pt idx="371">
                  <c:v>1.6654824154364745E-2</c:v>
                </c:pt>
                <c:pt idx="372">
                  <c:v>1.6638291495785804E-2</c:v>
                </c:pt>
                <c:pt idx="373">
                  <c:v>1.6617112548805942E-2</c:v>
                </c:pt>
                <c:pt idx="374">
                  <c:v>1.6598058881229758E-2</c:v>
                </c:pt>
                <c:pt idx="375">
                  <c:v>1.6578885556073498E-2</c:v>
                </c:pt>
                <c:pt idx="376">
                  <c:v>1.6554816078272555E-2</c:v>
                </c:pt>
                <c:pt idx="377">
                  <c:v>1.6531159715688901E-2</c:v>
                </c:pt>
                <c:pt idx="378">
                  <c:v>1.6505954956416539E-2</c:v>
                </c:pt>
                <c:pt idx="379">
                  <c:v>1.647849365215065E-2</c:v>
                </c:pt>
                <c:pt idx="380">
                  <c:v>1.6456881332716361E-2</c:v>
                </c:pt>
                <c:pt idx="381">
                  <c:v>1.6419088251248434E-2</c:v>
                </c:pt>
                <c:pt idx="382">
                  <c:v>1.6398625039162656E-2</c:v>
                </c:pt>
                <c:pt idx="383">
                  <c:v>1.63581287109291E-2</c:v>
                </c:pt>
                <c:pt idx="384">
                  <c:v>1.6323235933836829E-2</c:v>
                </c:pt>
                <c:pt idx="385">
                  <c:v>1.6301728187942125E-2</c:v>
                </c:pt>
                <c:pt idx="386">
                  <c:v>1.6294573839283618E-2</c:v>
                </c:pt>
                <c:pt idx="387">
                  <c:v>1.6292174918508536E-2</c:v>
                </c:pt>
                <c:pt idx="388">
                  <c:v>1.618529584347396E-2</c:v>
                </c:pt>
                <c:pt idx="389">
                  <c:v>1.6141137515183743E-2</c:v>
                </c:pt>
                <c:pt idx="390">
                  <c:v>1.6098113122981355E-2</c:v>
                </c:pt>
                <c:pt idx="391">
                  <c:v>1.6060518820255807E-2</c:v>
                </c:pt>
                <c:pt idx="392">
                  <c:v>1.6015003321825341E-2</c:v>
                </c:pt>
                <c:pt idx="393">
                  <c:v>1.609781573446099E-2</c:v>
                </c:pt>
                <c:pt idx="394">
                  <c:v>1.6006529398396595E-2</c:v>
                </c:pt>
                <c:pt idx="395">
                  <c:v>1.5998533258579181E-2</c:v>
                </c:pt>
                <c:pt idx="396">
                  <c:v>1.5991068212107776E-2</c:v>
                </c:pt>
                <c:pt idx="397">
                  <c:v>1.5984056045840626E-2</c:v>
                </c:pt>
                <c:pt idx="398">
                  <c:v>1.5977244530135156E-2</c:v>
                </c:pt>
                <c:pt idx="399">
                  <c:v>1.5970164126566606E-2</c:v>
                </c:pt>
                <c:pt idx="400">
                  <c:v>1.5963084974490692E-2</c:v>
                </c:pt>
                <c:pt idx="401">
                  <c:v>1.5956082407356059E-2</c:v>
                </c:pt>
                <c:pt idx="402">
                  <c:v>1.5948926790558347E-2</c:v>
                </c:pt>
                <c:pt idx="403">
                  <c:v>1.594121000434329E-2</c:v>
                </c:pt>
                <c:pt idx="404">
                  <c:v>1.5933736486965878E-2</c:v>
                </c:pt>
                <c:pt idx="405">
                  <c:v>1.5925344459684635E-2</c:v>
                </c:pt>
                <c:pt idx="406">
                  <c:v>1.5916891129838136E-2</c:v>
                </c:pt>
                <c:pt idx="407">
                  <c:v>1.5907526033062037E-2</c:v>
                </c:pt>
                <c:pt idx="408">
                  <c:v>1.5898364572660625E-2</c:v>
                </c:pt>
                <c:pt idx="409">
                  <c:v>1.5886967477719872E-2</c:v>
                </c:pt>
                <c:pt idx="410">
                  <c:v>1.5877119744190118E-2</c:v>
                </c:pt>
                <c:pt idx="411">
                  <c:v>1.586581818653407E-2</c:v>
                </c:pt>
                <c:pt idx="412">
                  <c:v>1.5854585092468024E-2</c:v>
                </c:pt>
                <c:pt idx="413">
                  <c:v>1.5843830531045142E-2</c:v>
                </c:pt>
                <c:pt idx="414">
                  <c:v>1.5833116606554079E-2</c:v>
                </c:pt>
                <c:pt idx="415">
                  <c:v>1.5817954829380997E-2</c:v>
                </c:pt>
                <c:pt idx="416">
                  <c:v>1.5804558353176599E-2</c:v>
                </c:pt>
                <c:pt idx="417">
                  <c:v>1.579109352028326E-2</c:v>
                </c:pt>
                <c:pt idx="418">
                  <c:v>1.5780539829304937E-2</c:v>
                </c:pt>
                <c:pt idx="419">
                  <c:v>1.5767066798903644E-2</c:v>
                </c:pt>
                <c:pt idx="420">
                  <c:v>1.5746223659030091E-2</c:v>
                </c:pt>
                <c:pt idx="421">
                  <c:v>1.5729461539063287E-2</c:v>
                </c:pt>
                <c:pt idx="422">
                  <c:v>1.5709971994917398E-2</c:v>
                </c:pt>
                <c:pt idx="423">
                  <c:v>1.5690882326972848E-2</c:v>
                </c:pt>
                <c:pt idx="424">
                  <c:v>1.5670570865416528E-2</c:v>
                </c:pt>
                <c:pt idx="425">
                  <c:v>1.5648908312425845E-2</c:v>
                </c:pt>
                <c:pt idx="426">
                  <c:v>1.5627294015824758E-2</c:v>
                </c:pt>
                <c:pt idx="427">
                  <c:v>1.5604126410562934E-2</c:v>
                </c:pt>
                <c:pt idx="428">
                  <c:v>1.5580168545592356E-2</c:v>
                </c:pt>
                <c:pt idx="429">
                  <c:v>1.5553210730189266E-2</c:v>
                </c:pt>
                <c:pt idx="430">
                  <c:v>1.552962514214222E-2</c:v>
                </c:pt>
                <c:pt idx="431">
                  <c:v>1.5505136125062562E-2</c:v>
                </c:pt>
                <c:pt idx="432">
                  <c:v>1.5501539441914224E-2</c:v>
                </c:pt>
                <c:pt idx="433">
                  <c:v>1.54599729716804E-2</c:v>
                </c:pt>
                <c:pt idx="434">
                  <c:v>1.5425246056049056E-2</c:v>
                </c:pt>
                <c:pt idx="435">
                  <c:v>1.5394820406922988E-2</c:v>
                </c:pt>
                <c:pt idx="436">
                  <c:v>1.5377938613158407E-2</c:v>
                </c:pt>
                <c:pt idx="437">
                  <c:v>1.5329045027943255E-2</c:v>
                </c:pt>
                <c:pt idx="438">
                  <c:v>1.5294555637821847E-2</c:v>
                </c:pt>
                <c:pt idx="439">
                  <c:v>1.5307658767526934E-2</c:v>
                </c:pt>
                <c:pt idx="440">
                  <c:v>1.5290012888856279E-2</c:v>
                </c:pt>
                <c:pt idx="441">
                  <c:v>1.5284676079789748E-2</c:v>
                </c:pt>
                <c:pt idx="442">
                  <c:v>1.5279774902150021E-2</c:v>
                </c:pt>
                <c:pt idx="443">
                  <c:v>1.5274987770946014E-2</c:v>
                </c:pt>
                <c:pt idx="444">
                  <c:v>1.5269824988368532E-2</c:v>
                </c:pt>
                <c:pt idx="445">
                  <c:v>1.5264316595415668E-2</c:v>
                </c:pt>
                <c:pt idx="446">
                  <c:v>1.5258903521062543E-2</c:v>
                </c:pt>
                <c:pt idx="447">
                  <c:v>1.525304641013907E-2</c:v>
                </c:pt>
                <c:pt idx="448">
                  <c:v>1.5246945917043184E-2</c:v>
                </c:pt>
                <c:pt idx="449">
                  <c:v>1.5240959188480462E-2</c:v>
                </c:pt>
                <c:pt idx="450">
                  <c:v>1.5235584387064358E-2</c:v>
                </c:pt>
                <c:pt idx="451">
                  <c:v>1.5229776631420205E-2</c:v>
                </c:pt>
                <c:pt idx="452">
                  <c:v>1.5223797785647697E-2</c:v>
                </c:pt>
                <c:pt idx="453">
                  <c:v>1.5217023782883268E-2</c:v>
                </c:pt>
                <c:pt idx="454">
                  <c:v>1.5209628994183566E-2</c:v>
                </c:pt>
                <c:pt idx="455">
                  <c:v>1.5202559128378351E-2</c:v>
                </c:pt>
                <c:pt idx="456">
                  <c:v>1.5195335646632033E-2</c:v>
                </c:pt>
                <c:pt idx="457">
                  <c:v>1.5186998292653334E-2</c:v>
                </c:pt>
                <c:pt idx="458">
                  <c:v>1.5178169486793283E-2</c:v>
                </c:pt>
                <c:pt idx="459">
                  <c:v>1.5168549818145981E-2</c:v>
                </c:pt>
                <c:pt idx="460">
                  <c:v>1.5157701016314848E-2</c:v>
                </c:pt>
                <c:pt idx="461">
                  <c:v>1.5145972551829099E-2</c:v>
                </c:pt>
                <c:pt idx="462">
                  <c:v>1.5133873088913579E-2</c:v>
                </c:pt>
                <c:pt idx="463">
                  <c:v>1.51223475957259E-2</c:v>
                </c:pt>
                <c:pt idx="464">
                  <c:v>1.5109469282846706E-2</c:v>
                </c:pt>
                <c:pt idx="465">
                  <c:v>1.510012036083358E-2</c:v>
                </c:pt>
                <c:pt idx="466">
                  <c:v>1.5085843883647433E-2</c:v>
                </c:pt>
                <c:pt idx="467">
                  <c:v>1.5069756920941431E-2</c:v>
                </c:pt>
                <c:pt idx="468">
                  <c:v>1.5055110166867109E-2</c:v>
                </c:pt>
                <c:pt idx="469">
                  <c:v>1.5039331201439661E-2</c:v>
                </c:pt>
                <c:pt idx="470">
                  <c:v>1.5021468122278116E-2</c:v>
                </c:pt>
                <c:pt idx="471">
                  <c:v>1.5002502055396969E-2</c:v>
                </c:pt>
                <c:pt idx="472">
                  <c:v>1.498670109426826E-2</c:v>
                </c:pt>
                <c:pt idx="473">
                  <c:v>1.4977704370513711E-2</c:v>
                </c:pt>
                <c:pt idx="474">
                  <c:v>1.4951227484918023E-2</c:v>
                </c:pt>
                <c:pt idx="475">
                  <c:v>1.4931490131710761E-2</c:v>
                </c:pt>
                <c:pt idx="476">
                  <c:v>1.4914540460313309E-2</c:v>
                </c:pt>
                <c:pt idx="477">
                  <c:v>1.4917079435968393E-2</c:v>
                </c:pt>
                <c:pt idx="478">
                  <c:v>1.4910022994441482E-2</c:v>
                </c:pt>
                <c:pt idx="479">
                  <c:v>1.4907029914458206E-2</c:v>
                </c:pt>
                <c:pt idx="480">
                  <c:v>1.4903624609594093E-2</c:v>
                </c:pt>
                <c:pt idx="481">
                  <c:v>1.4900848001673272E-2</c:v>
                </c:pt>
                <c:pt idx="482">
                  <c:v>1.4898033633898283E-2</c:v>
                </c:pt>
                <c:pt idx="483">
                  <c:v>1.4894992768240342E-2</c:v>
                </c:pt>
                <c:pt idx="484">
                  <c:v>1.4892026567826002E-2</c:v>
                </c:pt>
                <c:pt idx="485">
                  <c:v>1.4889122837456777E-2</c:v>
                </c:pt>
                <c:pt idx="486">
                  <c:v>1.4886143166341997E-2</c:v>
                </c:pt>
                <c:pt idx="487">
                  <c:v>1.4883094067350068E-2</c:v>
                </c:pt>
                <c:pt idx="488">
                  <c:v>1.4879673442840835E-2</c:v>
                </c:pt>
                <c:pt idx="489">
                  <c:v>1.487596292369015E-2</c:v>
                </c:pt>
                <c:pt idx="490">
                  <c:v>1.4871725772679515E-2</c:v>
                </c:pt>
                <c:pt idx="491">
                  <c:v>1.4867458958324064E-2</c:v>
                </c:pt>
                <c:pt idx="492">
                  <c:v>1.4862948803263753E-2</c:v>
                </c:pt>
                <c:pt idx="493">
                  <c:v>1.485854939375744E-2</c:v>
                </c:pt>
                <c:pt idx="494">
                  <c:v>1.4854132309512042E-2</c:v>
                </c:pt>
                <c:pt idx="495">
                  <c:v>1.4849410548817795E-2</c:v>
                </c:pt>
                <c:pt idx="496">
                  <c:v>1.484457127100524E-2</c:v>
                </c:pt>
                <c:pt idx="497">
                  <c:v>1.4839615768848015E-2</c:v>
                </c:pt>
                <c:pt idx="498">
                  <c:v>1.4833854631951953E-2</c:v>
                </c:pt>
                <c:pt idx="499">
                  <c:v>1.4827999599865126E-2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6A-432D-93A6-32384E6C8B77}"/>
            </c:ext>
          </c:extLst>
        </c:ser>
        <c:ser>
          <c:idx val="2"/>
          <c:order val="2"/>
          <c:tx>
            <c:strRef>
              <c:f>Iris!$R$1</c:f>
              <c:strCache>
                <c:ptCount val="1"/>
                <c:pt idx="0">
                  <c:v>ADAM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Iris!$R$2:$R$501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</c:numCache>
            </c:numRef>
          </c:xVal>
          <c:yVal>
            <c:numRef>
              <c:f>Iris!$S$2:$S$501</c:f>
              <c:numCache>
                <c:formatCode>General</c:formatCode>
                <c:ptCount val="500"/>
                <c:pt idx="0">
                  <c:v>6.5693582825126204E-2</c:v>
                </c:pt>
                <c:pt idx="1">
                  <c:v>6.2493440510291771E-2</c:v>
                </c:pt>
                <c:pt idx="2">
                  <c:v>6.0463147648466289E-2</c:v>
                </c:pt>
                <c:pt idx="3">
                  <c:v>5.8931994178754048E-2</c:v>
                </c:pt>
                <c:pt idx="4">
                  <c:v>5.7351258397134723E-2</c:v>
                </c:pt>
                <c:pt idx="5">
                  <c:v>5.5688701631240629E-2</c:v>
                </c:pt>
                <c:pt idx="6">
                  <c:v>5.4207693623178399E-2</c:v>
                </c:pt>
                <c:pt idx="7">
                  <c:v>5.2861303773880146E-2</c:v>
                </c:pt>
                <c:pt idx="8">
                  <c:v>5.1538161119682929E-2</c:v>
                </c:pt>
                <c:pt idx="9">
                  <c:v>5.028529338524218E-2</c:v>
                </c:pt>
                <c:pt idx="10">
                  <c:v>4.9082853620846835E-2</c:v>
                </c:pt>
                <c:pt idx="11">
                  <c:v>4.7940209186543577E-2</c:v>
                </c:pt>
                <c:pt idx="12">
                  <c:v>4.6832290241091423E-2</c:v>
                </c:pt>
                <c:pt idx="13">
                  <c:v>4.5759954676251748E-2</c:v>
                </c:pt>
                <c:pt idx="14">
                  <c:v>4.47234971166603E-2</c:v>
                </c:pt>
                <c:pt idx="15">
                  <c:v>4.3714973545658828E-2</c:v>
                </c:pt>
                <c:pt idx="16">
                  <c:v>4.2736007541627097E-2</c:v>
                </c:pt>
                <c:pt idx="17">
                  <c:v>4.1795741668857279E-2</c:v>
                </c:pt>
                <c:pt idx="18">
                  <c:v>4.0864354828669437E-2</c:v>
                </c:pt>
                <c:pt idx="19">
                  <c:v>4.0006616679951271E-2</c:v>
                </c:pt>
                <c:pt idx="20">
                  <c:v>3.9184328937439429E-2</c:v>
                </c:pt>
                <c:pt idx="21">
                  <c:v>3.8433829374983595E-2</c:v>
                </c:pt>
                <c:pt idx="22">
                  <c:v>3.7777876601555696E-2</c:v>
                </c:pt>
                <c:pt idx="23">
                  <c:v>3.7231139475619575E-2</c:v>
                </c:pt>
                <c:pt idx="24">
                  <c:v>3.6821571635430511E-2</c:v>
                </c:pt>
                <c:pt idx="25">
                  <c:v>3.6498403924190993E-2</c:v>
                </c:pt>
                <c:pt idx="26">
                  <c:v>3.6222074749615925E-2</c:v>
                </c:pt>
                <c:pt idx="27">
                  <c:v>3.6006294292464658E-2</c:v>
                </c:pt>
                <c:pt idx="28">
                  <c:v>3.5833103317508518E-2</c:v>
                </c:pt>
                <c:pt idx="29">
                  <c:v>3.5600923125226662E-2</c:v>
                </c:pt>
                <c:pt idx="30">
                  <c:v>3.5403678267180577E-2</c:v>
                </c:pt>
                <c:pt idx="31">
                  <c:v>3.515893646656653E-2</c:v>
                </c:pt>
                <c:pt idx="32">
                  <c:v>3.4919371706443603E-2</c:v>
                </c:pt>
                <c:pt idx="33">
                  <c:v>3.4709654544580866E-2</c:v>
                </c:pt>
                <c:pt idx="34">
                  <c:v>3.4403284540427931E-2</c:v>
                </c:pt>
                <c:pt idx="35">
                  <c:v>3.4109044011647847E-2</c:v>
                </c:pt>
                <c:pt idx="36">
                  <c:v>3.3898179144919084E-2</c:v>
                </c:pt>
                <c:pt idx="37">
                  <c:v>3.3649028152693196E-2</c:v>
                </c:pt>
                <c:pt idx="38">
                  <c:v>3.3475726672090172E-2</c:v>
                </c:pt>
                <c:pt idx="39">
                  <c:v>3.3902836227329432E-2</c:v>
                </c:pt>
                <c:pt idx="40">
                  <c:v>3.3060538691614863E-2</c:v>
                </c:pt>
                <c:pt idx="41">
                  <c:v>3.3077457872115856E-2</c:v>
                </c:pt>
                <c:pt idx="42">
                  <c:v>3.3040576838663176E-2</c:v>
                </c:pt>
                <c:pt idx="43">
                  <c:v>3.3029758694297515E-2</c:v>
                </c:pt>
                <c:pt idx="44">
                  <c:v>3.3021753810215784E-2</c:v>
                </c:pt>
                <c:pt idx="45">
                  <c:v>3.3014276688827053E-2</c:v>
                </c:pt>
                <c:pt idx="46">
                  <c:v>3.3006710080895035E-2</c:v>
                </c:pt>
                <c:pt idx="47">
                  <c:v>3.2998519591125423E-2</c:v>
                </c:pt>
                <c:pt idx="48">
                  <c:v>3.2989696771028448E-2</c:v>
                </c:pt>
                <c:pt idx="49">
                  <c:v>3.298006473136858E-2</c:v>
                </c:pt>
                <c:pt idx="50">
                  <c:v>3.297013210979987E-2</c:v>
                </c:pt>
                <c:pt idx="51">
                  <c:v>3.2959412327088829E-2</c:v>
                </c:pt>
                <c:pt idx="52">
                  <c:v>3.2948125047061926E-2</c:v>
                </c:pt>
                <c:pt idx="53">
                  <c:v>3.2936108332841052E-2</c:v>
                </c:pt>
                <c:pt idx="54">
                  <c:v>3.2923635834852596E-2</c:v>
                </c:pt>
                <c:pt idx="55">
                  <c:v>3.2910458510754179E-2</c:v>
                </c:pt>
                <c:pt idx="56">
                  <c:v>3.2896707479475255E-2</c:v>
                </c:pt>
                <c:pt idx="57">
                  <c:v>3.2882292614441609E-2</c:v>
                </c:pt>
                <c:pt idx="58">
                  <c:v>3.2867311212371755E-2</c:v>
                </c:pt>
                <c:pt idx="59">
                  <c:v>3.2851819624288695E-2</c:v>
                </c:pt>
                <c:pt idx="60">
                  <c:v>3.2835339568099239E-2</c:v>
                </c:pt>
                <c:pt idx="61">
                  <c:v>3.2818527213663844E-2</c:v>
                </c:pt>
                <c:pt idx="62">
                  <c:v>3.2801063528647541E-2</c:v>
                </c:pt>
                <c:pt idx="63">
                  <c:v>3.2781568301490746E-2</c:v>
                </c:pt>
                <c:pt idx="64">
                  <c:v>3.2761863272085828E-2</c:v>
                </c:pt>
                <c:pt idx="65">
                  <c:v>3.2741418401458625E-2</c:v>
                </c:pt>
                <c:pt idx="66">
                  <c:v>3.2719126047616898E-2</c:v>
                </c:pt>
                <c:pt idx="67">
                  <c:v>3.2696798842318887E-2</c:v>
                </c:pt>
                <c:pt idx="68">
                  <c:v>3.2673535074253732E-2</c:v>
                </c:pt>
                <c:pt idx="69">
                  <c:v>3.2649563364125736E-2</c:v>
                </c:pt>
                <c:pt idx="70">
                  <c:v>3.262322128958299E-2</c:v>
                </c:pt>
                <c:pt idx="71">
                  <c:v>3.2602089357310002E-2</c:v>
                </c:pt>
                <c:pt idx="72">
                  <c:v>3.257176024264833E-2</c:v>
                </c:pt>
                <c:pt idx="73">
                  <c:v>3.2540736896083035E-2</c:v>
                </c:pt>
                <c:pt idx="74">
                  <c:v>3.2514529201543602E-2</c:v>
                </c:pt>
                <c:pt idx="75">
                  <c:v>3.2477820421919733E-2</c:v>
                </c:pt>
                <c:pt idx="76">
                  <c:v>3.2446408552188784E-2</c:v>
                </c:pt>
                <c:pt idx="77">
                  <c:v>3.2409701031762737E-2</c:v>
                </c:pt>
                <c:pt idx="78">
                  <c:v>3.2378583467160008E-2</c:v>
                </c:pt>
                <c:pt idx="79">
                  <c:v>3.2334962101891379E-2</c:v>
                </c:pt>
                <c:pt idx="80">
                  <c:v>3.2301118082446324E-2</c:v>
                </c:pt>
                <c:pt idx="81">
                  <c:v>3.2254701271110381E-2</c:v>
                </c:pt>
                <c:pt idx="82">
                  <c:v>3.2222539648463597E-2</c:v>
                </c:pt>
                <c:pt idx="83">
                  <c:v>3.2168407201443865E-2</c:v>
                </c:pt>
                <c:pt idx="84">
                  <c:v>3.2125122857440486E-2</c:v>
                </c:pt>
                <c:pt idx="85">
                  <c:v>3.2073346183356818E-2</c:v>
                </c:pt>
                <c:pt idx="86">
                  <c:v>3.2025833628740098E-2</c:v>
                </c:pt>
                <c:pt idx="87">
                  <c:v>3.1968411623838268E-2</c:v>
                </c:pt>
                <c:pt idx="88">
                  <c:v>3.1920471733241598E-2</c:v>
                </c:pt>
                <c:pt idx="89">
                  <c:v>3.1869422008712366E-2</c:v>
                </c:pt>
                <c:pt idx="90">
                  <c:v>3.1795737275572965E-2</c:v>
                </c:pt>
                <c:pt idx="91">
                  <c:v>3.174636200347284E-2</c:v>
                </c:pt>
                <c:pt idx="92">
                  <c:v>3.1669521784102497E-2</c:v>
                </c:pt>
                <c:pt idx="93">
                  <c:v>3.1606643353549062E-2</c:v>
                </c:pt>
                <c:pt idx="94">
                  <c:v>3.1526595637866341E-2</c:v>
                </c:pt>
                <c:pt idx="95">
                  <c:v>3.1454653149584996E-2</c:v>
                </c:pt>
                <c:pt idx="96">
                  <c:v>3.1376152451744369E-2</c:v>
                </c:pt>
                <c:pt idx="97">
                  <c:v>3.1295231661708389E-2</c:v>
                </c:pt>
                <c:pt idx="98">
                  <c:v>3.1213608889470439E-2</c:v>
                </c:pt>
                <c:pt idx="99">
                  <c:v>3.1129811290623796E-2</c:v>
                </c:pt>
                <c:pt idx="100">
                  <c:v>3.1035608230867429E-2</c:v>
                </c:pt>
                <c:pt idx="101">
                  <c:v>3.0934809123253491E-2</c:v>
                </c:pt>
                <c:pt idx="102">
                  <c:v>3.0840757889657001E-2</c:v>
                </c:pt>
                <c:pt idx="103">
                  <c:v>3.0742892544278266E-2</c:v>
                </c:pt>
                <c:pt idx="104">
                  <c:v>3.0645925103450163E-2</c:v>
                </c:pt>
                <c:pt idx="105">
                  <c:v>3.0569742959449014E-2</c:v>
                </c:pt>
                <c:pt idx="106">
                  <c:v>3.040571865116358E-2</c:v>
                </c:pt>
                <c:pt idx="107">
                  <c:v>3.0330089832499744E-2</c:v>
                </c:pt>
                <c:pt idx="108">
                  <c:v>3.021185307675479E-2</c:v>
                </c:pt>
                <c:pt idx="109">
                  <c:v>3.0030670134087188E-2</c:v>
                </c:pt>
                <c:pt idx="110">
                  <c:v>2.9884582288260988E-2</c:v>
                </c:pt>
                <c:pt idx="111">
                  <c:v>2.9741114896461616E-2</c:v>
                </c:pt>
                <c:pt idx="112">
                  <c:v>2.9586068327697689E-2</c:v>
                </c:pt>
                <c:pt idx="113">
                  <c:v>2.9424601854515751E-2</c:v>
                </c:pt>
                <c:pt idx="114">
                  <c:v>2.9255728851071916E-2</c:v>
                </c:pt>
                <c:pt idx="115">
                  <c:v>2.9089218548925877E-2</c:v>
                </c:pt>
                <c:pt idx="116">
                  <c:v>2.8909522290298171E-2</c:v>
                </c:pt>
                <c:pt idx="117">
                  <c:v>2.8713867532684137E-2</c:v>
                </c:pt>
                <c:pt idx="118">
                  <c:v>2.8589529129660247E-2</c:v>
                </c:pt>
                <c:pt idx="119">
                  <c:v>2.850260947201327E-2</c:v>
                </c:pt>
                <c:pt idx="120">
                  <c:v>2.8182925633524165E-2</c:v>
                </c:pt>
                <c:pt idx="121">
                  <c:v>2.7975578796954413E-2</c:v>
                </c:pt>
                <c:pt idx="122">
                  <c:v>2.7694365268579078E-2</c:v>
                </c:pt>
                <c:pt idx="123">
                  <c:v>2.7415960864501768E-2</c:v>
                </c:pt>
                <c:pt idx="124">
                  <c:v>2.7092575119547612E-2</c:v>
                </c:pt>
                <c:pt idx="125">
                  <c:v>2.6877450226236003E-2</c:v>
                </c:pt>
                <c:pt idx="126">
                  <c:v>2.6510506035099898E-2</c:v>
                </c:pt>
                <c:pt idx="127">
                  <c:v>2.6221753591362352E-2</c:v>
                </c:pt>
                <c:pt idx="128">
                  <c:v>2.5854342126029533E-2</c:v>
                </c:pt>
                <c:pt idx="129">
                  <c:v>2.5443683482735874E-2</c:v>
                </c:pt>
                <c:pt idx="130">
                  <c:v>2.518616808138802E-2</c:v>
                </c:pt>
                <c:pt idx="131">
                  <c:v>2.4667018859467593E-2</c:v>
                </c:pt>
                <c:pt idx="132">
                  <c:v>2.4270898457229136E-2</c:v>
                </c:pt>
                <c:pt idx="133">
                  <c:v>2.3807730331204365E-2</c:v>
                </c:pt>
                <c:pt idx="134">
                  <c:v>2.3352707910655274E-2</c:v>
                </c:pt>
                <c:pt idx="135">
                  <c:v>2.3161033105984032E-2</c:v>
                </c:pt>
                <c:pt idx="136">
                  <c:v>2.2423097886297157E-2</c:v>
                </c:pt>
                <c:pt idx="137">
                  <c:v>2.2272886458772713E-2</c:v>
                </c:pt>
                <c:pt idx="138">
                  <c:v>2.1486942186668388E-2</c:v>
                </c:pt>
                <c:pt idx="139">
                  <c:v>2.0753728963856032E-2</c:v>
                </c:pt>
                <c:pt idx="140">
                  <c:v>2.0914763576611782E-2</c:v>
                </c:pt>
                <c:pt idx="141">
                  <c:v>2.0701393890012552E-2</c:v>
                </c:pt>
                <c:pt idx="142">
                  <c:v>2.0660652463057261E-2</c:v>
                </c:pt>
                <c:pt idx="143">
                  <c:v>2.057817523213764E-2</c:v>
                </c:pt>
                <c:pt idx="144">
                  <c:v>2.0507869463616407E-2</c:v>
                </c:pt>
                <c:pt idx="145">
                  <c:v>2.0434821152708057E-2</c:v>
                </c:pt>
                <c:pt idx="146">
                  <c:v>2.035691616325502E-2</c:v>
                </c:pt>
                <c:pt idx="147">
                  <c:v>2.0274085491569987E-2</c:v>
                </c:pt>
                <c:pt idx="148">
                  <c:v>2.019111194300777E-2</c:v>
                </c:pt>
                <c:pt idx="149">
                  <c:v>2.0102253084131761E-2</c:v>
                </c:pt>
                <c:pt idx="150">
                  <c:v>2.0003195312453391E-2</c:v>
                </c:pt>
                <c:pt idx="151">
                  <c:v>1.9907335506117518E-2</c:v>
                </c:pt>
                <c:pt idx="152">
                  <c:v>1.9820449450012927E-2</c:v>
                </c:pt>
                <c:pt idx="153">
                  <c:v>1.9702455764587727E-2</c:v>
                </c:pt>
                <c:pt idx="154">
                  <c:v>1.9596151499653394E-2</c:v>
                </c:pt>
                <c:pt idx="155">
                  <c:v>1.9488600166220865E-2</c:v>
                </c:pt>
                <c:pt idx="156">
                  <c:v>1.9409647248064339E-2</c:v>
                </c:pt>
                <c:pt idx="157">
                  <c:v>1.9306257785082302E-2</c:v>
                </c:pt>
                <c:pt idx="158">
                  <c:v>1.91215491560821E-2</c:v>
                </c:pt>
                <c:pt idx="159">
                  <c:v>1.8986858909491321E-2</c:v>
                </c:pt>
                <c:pt idx="160">
                  <c:v>1.8876831022320663E-2</c:v>
                </c:pt>
                <c:pt idx="161">
                  <c:v>1.8712789129504977E-2</c:v>
                </c:pt>
                <c:pt idx="162">
                  <c:v>1.8558457881959055E-2</c:v>
                </c:pt>
                <c:pt idx="163">
                  <c:v>1.8424166605806262E-2</c:v>
                </c:pt>
                <c:pt idx="164">
                  <c:v>1.8268615021999331E-2</c:v>
                </c:pt>
                <c:pt idx="165">
                  <c:v>1.8087344019489172E-2</c:v>
                </c:pt>
                <c:pt idx="166">
                  <c:v>1.7922443623897506E-2</c:v>
                </c:pt>
                <c:pt idx="167">
                  <c:v>1.7763089670480358E-2</c:v>
                </c:pt>
                <c:pt idx="168">
                  <c:v>1.7584927157687134E-2</c:v>
                </c:pt>
                <c:pt idx="169">
                  <c:v>1.740602301438E-2</c:v>
                </c:pt>
                <c:pt idx="170">
                  <c:v>1.7234056234037422E-2</c:v>
                </c:pt>
                <c:pt idx="171">
                  <c:v>1.7042851492685942E-2</c:v>
                </c:pt>
                <c:pt idx="172">
                  <c:v>1.6861347024696025E-2</c:v>
                </c:pt>
                <c:pt idx="173">
                  <c:v>1.6673111205447701E-2</c:v>
                </c:pt>
                <c:pt idx="174">
                  <c:v>1.6493401970643973E-2</c:v>
                </c:pt>
                <c:pt idx="175">
                  <c:v>1.6286590375868642E-2</c:v>
                </c:pt>
                <c:pt idx="176">
                  <c:v>1.6088743742739067E-2</c:v>
                </c:pt>
                <c:pt idx="177">
                  <c:v>1.5888356197951065E-2</c:v>
                </c:pt>
                <c:pt idx="178">
                  <c:v>1.5762507098075598E-2</c:v>
                </c:pt>
                <c:pt idx="179">
                  <c:v>1.5659500881065758E-2</c:v>
                </c:pt>
                <c:pt idx="180">
                  <c:v>1.5299308036766945E-2</c:v>
                </c:pt>
                <c:pt idx="181">
                  <c:v>1.5165607678041695E-2</c:v>
                </c:pt>
                <c:pt idx="182">
                  <c:v>1.4974128213999632E-2</c:v>
                </c:pt>
                <c:pt idx="183">
                  <c:v>1.490006515534976E-2</c:v>
                </c:pt>
                <c:pt idx="184">
                  <c:v>1.4572996371960282E-2</c:v>
                </c:pt>
                <c:pt idx="185">
                  <c:v>1.4646232853447346E-2</c:v>
                </c:pt>
                <c:pt idx="186">
                  <c:v>1.4578243997205169E-2</c:v>
                </c:pt>
                <c:pt idx="187">
                  <c:v>1.4553529659338118E-2</c:v>
                </c:pt>
                <c:pt idx="188">
                  <c:v>1.4529146497295874E-2</c:v>
                </c:pt>
                <c:pt idx="189">
                  <c:v>1.4514367781008479E-2</c:v>
                </c:pt>
                <c:pt idx="190">
                  <c:v>1.4507393833714823E-2</c:v>
                </c:pt>
                <c:pt idx="191">
                  <c:v>1.4504951198532144E-2</c:v>
                </c:pt>
                <c:pt idx="192">
                  <c:v>1.4502423404338726E-2</c:v>
                </c:pt>
                <c:pt idx="193">
                  <c:v>1.4499290096241266E-2</c:v>
                </c:pt>
                <c:pt idx="194">
                  <c:v>1.4496234534068109E-2</c:v>
                </c:pt>
                <c:pt idx="195">
                  <c:v>1.4492588179466321E-2</c:v>
                </c:pt>
                <c:pt idx="196">
                  <c:v>1.4489092313909298E-2</c:v>
                </c:pt>
                <c:pt idx="197">
                  <c:v>1.4485873621956979E-2</c:v>
                </c:pt>
                <c:pt idx="198">
                  <c:v>1.4482135515231174E-2</c:v>
                </c:pt>
                <c:pt idx="199">
                  <c:v>1.4478291236452886E-2</c:v>
                </c:pt>
                <c:pt idx="200">
                  <c:v>1.4474332673835067E-2</c:v>
                </c:pt>
                <c:pt idx="201">
                  <c:v>1.4470275751365939E-2</c:v>
                </c:pt>
                <c:pt idx="202">
                  <c:v>1.4466303096760417E-2</c:v>
                </c:pt>
                <c:pt idx="203">
                  <c:v>1.4461531283926011E-2</c:v>
                </c:pt>
                <c:pt idx="204">
                  <c:v>1.445701553915724E-2</c:v>
                </c:pt>
                <c:pt idx="205">
                  <c:v>1.4452342287622466E-2</c:v>
                </c:pt>
                <c:pt idx="206">
                  <c:v>1.4447137282642479E-2</c:v>
                </c:pt>
                <c:pt idx="207">
                  <c:v>1.4441802988181053E-2</c:v>
                </c:pt>
                <c:pt idx="208">
                  <c:v>1.4436183316983292E-2</c:v>
                </c:pt>
                <c:pt idx="209">
                  <c:v>1.4430662586527006E-2</c:v>
                </c:pt>
                <c:pt idx="210">
                  <c:v>1.4424147822059398E-2</c:v>
                </c:pt>
                <c:pt idx="211">
                  <c:v>1.4418452628140987E-2</c:v>
                </c:pt>
                <c:pt idx="212">
                  <c:v>1.4411160055329778E-2</c:v>
                </c:pt>
                <c:pt idx="213">
                  <c:v>1.4403309017516694E-2</c:v>
                </c:pt>
                <c:pt idx="214">
                  <c:v>1.4396098889991969E-2</c:v>
                </c:pt>
                <c:pt idx="215">
                  <c:v>1.4387591772777182E-2</c:v>
                </c:pt>
                <c:pt idx="216">
                  <c:v>1.437909027313357E-2</c:v>
                </c:pt>
                <c:pt idx="217">
                  <c:v>1.4370656780726071E-2</c:v>
                </c:pt>
                <c:pt idx="218">
                  <c:v>1.4360942137075469E-2</c:v>
                </c:pt>
                <c:pt idx="219">
                  <c:v>1.4352839081839297E-2</c:v>
                </c:pt>
                <c:pt idx="220">
                  <c:v>1.4342450255215156E-2</c:v>
                </c:pt>
                <c:pt idx="221">
                  <c:v>1.4330594792121171E-2</c:v>
                </c:pt>
                <c:pt idx="222">
                  <c:v>1.4319578530312689E-2</c:v>
                </c:pt>
                <c:pt idx="223">
                  <c:v>1.4308197025953439E-2</c:v>
                </c:pt>
                <c:pt idx="224">
                  <c:v>1.4295616940471363E-2</c:v>
                </c:pt>
                <c:pt idx="225">
                  <c:v>1.4283042883354496E-2</c:v>
                </c:pt>
                <c:pt idx="226">
                  <c:v>1.4269754911104392E-2</c:v>
                </c:pt>
                <c:pt idx="227">
                  <c:v>1.4257129668726986E-2</c:v>
                </c:pt>
                <c:pt idx="228">
                  <c:v>1.4241403505344523E-2</c:v>
                </c:pt>
                <c:pt idx="229">
                  <c:v>1.4226720494608778E-2</c:v>
                </c:pt>
                <c:pt idx="230">
                  <c:v>1.4210507927608081E-2</c:v>
                </c:pt>
                <c:pt idx="231">
                  <c:v>1.4199291255890482E-2</c:v>
                </c:pt>
                <c:pt idx="232">
                  <c:v>1.417633200996969E-2</c:v>
                </c:pt>
                <c:pt idx="233">
                  <c:v>1.4165379738557126E-2</c:v>
                </c:pt>
                <c:pt idx="234">
                  <c:v>1.4138527773095495E-2</c:v>
                </c:pt>
                <c:pt idx="235">
                  <c:v>1.4122215052823281E-2</c:v>
                </c:pt>
                <c:pt idx="236">
                  <c:v>1.4100251246790584E-2</c:v>
                </c:pt>
                <c:pt idx="237">
                  <c:v>1.4076761934605881E-2</c:v>
                </c:pt>
                <c:pt idx="238">
                  <c:v>1.4062326912238344E-2</c:v>
                </c:pt>
                <c:pt idx="239">
                  <c:v>1.4032482041846366E-2</c:v>
                </c:pt>
                <c:pt idx="240">
                  <c:v>1.4011094441951262E-2</c:v>
                </c:pt>
                <c:pt idx="241">
                  <c:v>1.4022487286427925E-2</c:v>
                </c:pt>
                <c:pt idx="242">
                  <c:v>1.4003032611793973E-2</c:v>
                </c:pt>
                <c:pt idx="243">
                  <c:v>1.399960716388552E-2</c:v>
                </c:pt>
                <c:pt idx="244">
                  <c:v>1.3996466554584412E-2</c:v>
                </c:pt>
                <c:pt idx="245">
                  <c:v>1.3993313575679981E-2</c:v>
                </c:pt>
                <c:pt idx="246">
                  <c:v>1.3989734693627869E-2</c:v>
                </c:pt>
                <c:pt idx="247">
                  <c:v>1.3986301731647834E-2</c:v>
                </c:pt>
                <c:pt idx="248">
                  <c:v>1.3982759808394238E-2</c:v>
                </c:pt>
                <c:pt idx="249">
                  <c:v>1.3978676056767029E-2</c:v>
                </c:pt>
                <c:pt idx="250">
                  <c:v>1.3974459835859241E-2</c:v>
                </c:pt>
                <c:pt idx="251">
                  <c:v>1.3970136091724978E-2</c:v>
                </c:pt>
                <c:pt idx="252">
                  <c:v>1.3965560676731383E-2</c:v>
                </c:pt>
                <c:pt idx="253">
                  <c:v>1.3960713386293771E-2</c:v>
                </c:pt>
                <c:pt idx="254">
                  <c:v>1.3955706851802297E-2</c:v>
                </c:pt>
                <c:pt idx="255">
                  <c:v>1.3950551977421701E-2</c:v>
                </c:pt>
                <c:pt idx="256">
                  <c:v>1.3944943557234539E-2</c:v>
                </c:pt>
                <c:pt idx="257">
                  <c:v>1.393945688021324E-2</c:v>
                </c:pt>
                <c:pt idx="258">
                  <c:v>1.3934889592842205E-2</c:v>
                </c:pt>
                <c:pt idx="259">
                  <c:v>1.3927143746732741E-2</c:v>
                </c:pt>
                <c:pt idx="260">
                  <c:v>1.3921781559258897E-2</c:v>
                </c:pt>
                <c:pt idx="261">
                  <c:v>1.3913849832427825E-2</c:v>
                </c:pt>
                <c:pt idx="262">
                  <c:v>1.3906541506419672E-2</c:v>
                </c:pt>
                <c:pt idx="263">
                  <c:v>1.3899029586348165E-2</c:v>
                </c:pt>
                <c:pt idx="264">
                  <c:v>1.3890941999046048E-2</c:v>
                </c:pt>
                <c:pt idx="265">
                  <c:v>1.3882544004286776E-2</c:v>
                </c:pt>
                <c:pt idx="266">
                  <c:v>1.3873497811418979E-2</c:v>
                </c:pt>
                <c:pt idx="267">
                  <c:v>1.386415466364491E-2</c:v>
                </c:pt>
                <c:pt idx="268">
                  <c:v>1.3854729707512923E-2</c:v>
                </c:pt>
                <c:pt idx="269">
                  <c:v>1.3844792624690612E-2</c:v>
                </c:pt>
                <c:pt idx="270">
                  <c:v>1.383474054016034E-2</c:v>
                </c:pt>
                <c:pt idx="271">
                  <c:v>1.3824692467416567E-2</c:v>
                </c:pt>
                <c:pt idx="272">
                  <c:v>1.381137696392478E-2</c:v>
                </c:pt>
                <c:pt idx="273">
                  <c:v>1.3802659038280148E-2</c:v>
                </c:pt>
                <c:pt idx="274">
                  <c:v>1.3787608457653382E-2</c:v>
                </c:pt>
                <c:pt idx="275">
                  <c:v>1.3773442671651667E-2</c:v>
                </c:pt>
                <c:pt idx="276">
                  <c:v>1.376150724238012E-2</c:v>
                </c:pt>
                <c:pt idx="277">
                  <c:v>1.3744841392758561E-2</c:v>
                </c:pt>
                <c:pt idx="278">
                  <c:v>1.3730127197203602E-2</c:v>
                </c:pt>
                <c:pt idx="279">
                  <c:v>1.3713472089844535E-2</c:v>
                </c:pt>
                <c:pt idx="280">
                  <c:v>1.3696536095036354E-2</c:v>
                </c:pt>
                <c:pt idx="281">
                  <c:v>1.367881976099619E-2</c:v>
                </c:pt>
                <c:pt idx="282">
                  <c:v>1.3661341045036577E-2</c:v>
                </c:pt>
                <c:pt idx="283">
                  <c:v>1.3642312826812815E-2</c:v>
                </c:pt>
                <c:pt idx="284">
                  <c:v>1.3622914578884175E-2</c:v>
                </c:pt>
                <c:pt idx="285">
                  <c:v>1.3629572702328041E-2</c:v>
                </c:pt>
                <c:pt idx="286">
                  <c:v>1.3622937938006046E-2</c:v>
                </c:pt>
                <c:pt idx="287">
                  <c:v>1.362277301396835E-2</c:v>
                </c:pt>
                <c:pt idx="288">
                  <c:v>1.3622387637590071E-2</c:v>
                </c:pt>
                <c:pt idx="289">
                  <c:v>1.3622007040866713E-2</c:v>
                </c:pt>
                <c:pt idx="290">
                  <c:v>1.3621817443725284E-2</c:v>
                </c:pt>
                <c:pt idx="291">
                  <c:v>1.3621455279112869E-2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6A-432D-93A6-32384E6C8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461935"/>
        <c:axId val="1714462415"/>
      </c:scatterChart>
      <c:valAx>
        <c:axId val="1714461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2415"/>
        <c:crosses val="autoZero"/>
        <c:crossBetween val="midCat"/>
      </c:valAx>
      <c:valAx>
        <c:axId val="171446241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19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4095138888889"/>
          <c:y val="0.12341712962962968"/>
          <c:w val="0.47099351851851851"/>
          <c:h val="0.10119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44652777777778E-2"/>
          <c:y val="6.4675925925925928E-2"/>
          <c:w val="0.86511365740740742"/>
          <c:h val="0.83283194444444442"/>
        </c:manualLayout>
      </c:layout>
      <c:scatterChart>
        <c:scatterStyle val="lineMarker"/>
        <c:varyColors val="0"/>
        <c:ser>
          <c:idx val="0"/>
          <c:order val="0"/>
          <c:tx>
            <c:strRef>
              <c:f>Iris!$L$1</c:f>
              <c:strCache>
                <c:ptCount val="1"/>
                <c:pt idx="0">
                  <c:v>None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Iris!$L$2:$L$501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</c:numCache>
            </c:numRef>
          </c:xVal>
          <c:yVal>
            <c:numRef>
              <c:f>Iris!$N$2:$N$501</c:f>
              <c:numCache>
                <c:formatCode>General</c:formatCode>
                <c:ptCount val="500"/>
                <c:pt idx="0">
                  <c:v>1E-3</c:v>
                </c:pt>
                <c:pt idx="1">
                  <c:v>1E-4</c:v>
                </c:pt>
                <c:pt idx="2">
                  <c:v>1.05E-4</c:v>
                </c:pt>
                <c:pt idx="3">
                  <c:v>1.1025000000000001E-4</c:v>
                </c:pt>
                <c:pt idx="4">
                  <c:v>1.1576250000000002E-4</c:v>
                </c:pt>
                <c:pt idx="5">
                  <c:v>1.2155062500000002E-4</c:v>
                </c:pt>
                <c:pt idx="6">
                  <c:v>1.2762815625000002E-4</c:v>
                </c:pt>
                <c:pt idx="7">
                  <c:v>1.3400956406250003E-4</c:v>
                </c:pt>
                <c:pt idx="8">
                  <c:v>1.4071004226562505E-4</c:v>
                </c:pt>
                <c:pt idx="9">
                  <c:v>1.4774554437890631E-4</c:v>
                </c:pt>
                <c:pt idx="10">
                  <c:v>1.5513282159785162E-4</c:v>
                </c:pt>
                <c:pt idx="11">
                  <c:v>1.628894626777442E-4</c:v>
                </c:pt>
                <c:pt idx="12">
                  <c:v>1.7103393581163141E-4</c:v>
                </c:pt>
                <c:pt idx="13">
                  <c:v>1.7958563260221297E-4</c:v>
                </c:pt>
                <c:pt idx="14">
                  <c:v>1.8856491423232364E-4</c:v>
                </c:pt>
                <c:pt idx="15">
                  <c:v>1.9799315994393983E-4</c:v>
                </c:pt>
                <c:pt idx="16">
                  <c:v>2.0789281794113683E-4</c:v>
                </c:pt>
                <c:pt idx="17">
                  <c:v>2.1828745883819368E-4</c:v>
                </c:pt>
                <c:pt idx="18">
                  <c:v>2.2920183178010337E-4</c:v>
                </c:pt>
                <c:pt idx="19">
                  <c:v>2.4066192336910856E-4</c:v>
                </c:pt>
                <c:pt idx="20">
                  <c:v>2.52695019537564E-4</c:v>
                </c:pt>
                <c:pt idx="21">
                  <c:v>2.653297705144422E-4</c:v>
                </c:pt>
                <c:pt idx="22">
                  <c:v>2.7859625904016431E-4</c:v>
                </c:pt>
                <c:pt idx="23">
                  <c:v>2.9252607199217252E-4</c:v>
                </c:pt>
                <c:pt idx="24">
                  <c:v>3.0715237559178114E-4</c:v>
                </c:pt>
                <c:pt idx="25">
                  <c:v>3.225099943713702E-4</c:v>
                </c:pt>
                <c:pt idx="26">
                  <c:v>3.3863549408993872E-4</c:v>
                </c:pt>
                <c:pt idx="27">
                  <c:v>3.5556726879443565E-4</c:v>
                </c:pt>
                <c:pt idx="28">
                  <c:v>3.7334563223415747E-4</c:v>
                </c:pt>
                <c:pt idx="29">
                  <c:v>3.9201291384586537E-4</c:v>
                </c:pt>
                <c:pt idx="30">
                  <c:v>4.1161355953815866E-4</c:v>
                </c:pt>
                <c:pt idx="31">
                  <c:v>4.3219423751506659E-4</c:v>
                </c:pt>
                <c:pt idx="32">
                  <c:v>4.5380394939081994E-4</c:v>
                </c:pt>
                <c:pt idx="33">
                  <c:v>4.5380394939081997E-5</c:v>
                </c:pt>
                <c:pt idx="34">
                  <c:v>4.7649414686036097E-5</c:v>
                </c:pt>
                <c:pt idx="35">
                  <c:v>5.0031885420337901E-5</c:v>
                </c:pt>
                <c:pt idx="36">
                  <c:v>5.25334796913548E-5</c:v>
                </c:pt>
                <c:pt idx="37">
                  <c:v>5.516015367592254E-5</c:v>
                </c:pt>
                <c:pt idx="38">
                  <c:v>5.7918161359718667E-5</c:v>
                </c:pt>
                <c:pt idx="39">
                  <c:v>6.0814069427704604E-5</c:v>
                </c:pt>
                <c:pt idx="40">
                  <c:v>6.3854772899089838E-5</c:v>
                </c:pt>
                <c:pt idx="41">
                  <c:v>6.704751154404433E-5</c:v>
                </c:pt>
                <c:pt idx="42">
                  <c:v>7.0399887121246554E-5</c:v>
                </c:pt>
                <c:pt idx="43">
                  <c:v>7.3919881477308878E-5</c:v>
                </c:pt>
                <c:pt idx="44">
                  <c:v>7.7615875551174322E-5</c:v>
                </c:pt>
                <c:pt idx="45">
                  <c:v>8.1496669328733043E-5</c:v>
                </c:pt>
                <c:pt idx="46">
                  <c:v>8.55715027951697E-5</c:v>
                </c:pt>
                <c:pt idx="47">
                  <c:v>8.9850077934928193E-5</c:v>
                </c:pt>
                <c:pt idx="48">
                  <c:v>9.4342581831674609E-5</c:v>
                </c:pt>
                <c:pt idx="49">
                  <c:v>9.9059710923258347E-5</c:v>
                </c:pt>
                <c:pt idx="50">
                  <c:v>1.0401269646942127E-4</c:v>
                </c:pt>
                <c:pt idx="51">
                  <c:v>1.0921333129289234E-4</c:v>
                </c:pt>
                <c:pt idx="52">
                  <c:v>1.1467399785753696E-4</c:v>
                </c:pt>
                <c:pt idx="53">
                  <c:v>1.2040769775041382E-4</c:v>
                </c:pt>
                <c:pt idx="54">
                  <c:v>1.2642808263793452E-4</c:v>
                </c:pt>
                <c:pt idx="55">
                  <c:v>1.3274948676983124E-4</c:v>
                </c:pt>
                <c:pt idx="56">
                  <c:v>1.3938696110832281E-4</c:v>
                </c:pt>
                <c:pt idx="57">
                  <c:v>1.4635630916373895E-4</c:v>
                </c:pt>
                <c:pt idx="58">
                  <c:v>1.5367412462192592E-4</c:v>
                </c:pt>
                <c:pt idx="59">
                  <c:v>1.6135783085302223E-4</c:v>
                </c:pt>
                <c:pt idx="60">
                  <c:v>1.6942572239567335E-4</c:v>
                </c:pt>
                <c:pt idx="61">
                  <c:v>1.6942572239567334E-5</c:v>
                </c:pt>
                <c:pt idx="62">
                  <c:v>1.7789700851545702E-5</c:v>
                </c:pt>
                <c:pt idx="63">
                  <c:v>1.8679185894122986E-5</c:v>
                </c:pt>
                <c:pt idx="64">
                  <c:v>1.9613145188829136E-5</c:v>
                </c:pt>
                <c:pt idx="65">
                  <c:v>2.0593802448270593E-5</c:v>
                </c:pt>
                <c:pt idx="66">
                  <c:v>2.1623492570684124E-5</c:v>
                </c:pt>
                <c:pt idx="67">
                  <c:v>2.270466719921833E-5</c:v>
                </c:pt>
                <c:pt idx="68">
                  <c:v>2.3839900559179248E-5</c:v>
                </c:pt>
                <c:pt idx="69">
                  <c:v>2.5031895587138211E-5</c:v>
                </c:pt>
                <c:pt idx="70">
                  <c:v>2.6283490366495123E-5</c:v>
                </c:pt>
                <c:pt idx="71">
                  <c:v>2.759766488481988E-5</c:v>
                </c:pt>
                <c:pt idx="72">
                  <c:v>2.8977548129060875E-5</c:v>
                </c:pt>
                <c:pt idx="73">
                  <c:v>3.042642553551392E-5</c:v>
                </c:pt>
                <c:pt idx="74">
                  <c:v>3.1947746812289619E-5</c:v>
                </c:pt>
                <c:pt idx="75">
                  <c:v>3.3545134152904102E-5</c:v>
                </c:pt>
                <c:pt idx="76">
                  <c:v>3.5222390860549305E-5</c:v>
                </c:pt>
                <c:pt idx="77">
                  <c:v>3.6983510403576772E-5</c:v>
                </c:pt>
                <c:pt idx="78">
                  <c:v>3.883268592375561E-5</c:v>
                </c:pt>
                <c:pt idx="79">
                  <c:v>4.0774320219943396E-5</c:v>
                </c:pt>
                <c:pt idx="80">
                  <c:v>4.2813036230940568E-5</c:v>
                </c:pt>
                <c:pt idx="81">
                  <c:v>4.4953688042487596E-5</c:v>
                </c:pt>
                <c:pt idx="82">
                  <c:v>4.720137244461198E-5</c:v>
                </c:pt>
                <c:pt idx="83">
                  <c:v>4.9561441066842584E-5</c:v>
                </c:pt>
                <c:pt idx="84">
                  <c:v>5.2039513120184716E-5</c:v>
                </c:pt>
                <c:pt idx="85">
                  <c:v>5.4641488776193951E-5</c:v>
                </c:pt>
                <c:pt idx="86">
                  <c:v>5.7373563215003648E-5</c:v>
                </c:pt>
                <c:pt idx="87">
                  <c:v>6.0242241375753834E-5</c:v>
                </c:pt>
                <c:pt idx="88">
                  <c:v>6.3254353444541526E-5</c:v>
                </c:pt>
                <c:pt idx="89">
                  <c:v>6.64170711167686E-5</c:v>
                </c:pt>
                <c:pt idx="90">
                  <c:v>6.9737924672607038E-5</c:v>
                </c:pt>
                <c:pt idx="91">
                  <c:v>7.3224820906237398E-5</c:v>
                </c:pt>
                <c:pt idx="92">
                  <c:v>7.6886061951549273E-5</c:v>
                </c:pt>
                <c:pt idx="93">
                  <c:v>8.0730365049126745E-5</c:v>
                </c:pt>
                <c:pt idx="94">
                  <c:v>8.4766883301583089E-5</c:v>
                </c:pt>
                <c:pt idx="95">
                  <c:v>8.9005227466662252E-5</c:v>
                </c:pt>
                <c:pt idx="96">
                  <c:v>9.3455488839995371E-5</c:v>
                </c:pt>
                <c:pt idx="97">
                  <c:v>9.8128263281995143E-5</c:v>
                </c:pt>
                <c:pt idx="98">
                  <c:v>1.030346764460949E-4</c:v>
                </c:pt>
                <c:pt idx="99">
                  <c:v>1.0818641026839965E-4</c:v>
                </c:pt>
                <c:pt idx="100">
                  <c:v>1.1359573078181965E-4</c:v>
                </c:pt>
                <c:pt idx="101">
                  <c:v>1.1927551732091064E-4</c:v>
                </c:pt>
                <c:pt idx="102">
                  <c:v>1.2523929318695618E-4</c:v>
                </c:pt>
                <c:pt idx="103">
                  <c:v>1.31501257846304E-4</c:v>
                </c:pt>
                <c:pt idx="104">
                  <c:v>1.380763207386192E-4</c:v>
                </c:pt>
                <c:pt idx="105">
                  <c:v>1.4498013677555018E-4</c:v>
                </c:pt>
                <c:pt idx="106">
                  <c:v>1.5222914361432769E-4</c:v>
                </c:pt>
                <c:pt idx="107">
                  <c:v>1.5984060079504407E-4</c:v>
                </c:pt>
                <c:pt idx="108">
                  <c:v>1.6783263083479629E-4</c:v>
                </c:pt>
                <c:pt idx="109">
                  <c:v>1.7622426237653611E-4</c:v>
                </c:pt>
                <c:pt idx="110">
                  <c:v>1.8503547549536293E-4</c:v>
                </c:pt>
                <c:pt idx="111">
                  <c:v>1.8503547549536293E-5</c:v>
                </c:pt>
                <c:pt idx="112">
                  <c:v>1.9428724927013106E-5</c:v>
                </c:pt>
                <c:pt idx="113">
                  <c:v>2.0400161173363763E-5</c:v>
                </c:pt>
                <c:pt idx="114">
                  <c:v>2.1420169232031951E-5</c:v>
                </c:pt>
                <c:pt idx="115">
                  <c:v>2.2491177693633549E-5</c:v>
                </c:pt>
                <c:pt idx="116">
                  <c:v>2.3615736578315228E-5</c:v>
                </c:pt>
                <c:pt idx="117">
                  <c:v>2.479652340723099E-5</c:v>
                </c:pt>
                <c:pt idx="118">
                  <c:v>2.603634957759254E-5</c:v>
                </c:pt>
                <c:pt idx="119">
                  <c:v>2.7338167056472169E-5</c:v>
                </c:pt>
                <c:pt idx="120">
                  <c:v>2.8705075409295779E-5</c:v>
                </c:pt>
                <c:pt idx="121">
                  <c:v>3.0140329179760571E-5</c:v>
                </c:pt>
                <c:pt idx="122">
                  <c:v>3.1647345638748603E-5</c:v>
                </c:pt>
                <c:pt idx="123">
                  <c:v>3.3229712920686037E-5</c:v>
                </c:pt>
                <c:pt idx="124">
                  <c:v>3.489119856672034E-5</c:v>
                </c:pt>
                <c:pt idx="125">
                  <c:v>3.6635758495056359E-5</c:v>
                </c:pt>
                <c:pt idx="126">
                  <c:v>3.8467546419809176E-5</c:v>
                </c:pt>
                <c:pt idx="127">
                  <c:v>4.0390923740799636E-5</c:v>
                </c:pt>
                <c:pt idx="128">
                  <c:v>4.2410469927839618E-5</c:v>
                </c:pt>
                <c:pt idx="129">
                  <c:v>4.4530993424231598E-5</c:v>
                </c:pt>
                <c:pt idx="130">
                  <c:v>4.6757543095443183E-5</c:v>
                </c:pt>
                <c:pt idx="131">
                  <c:v>4.9095420250215348E-5</c:v>
                </c:pt>
                <c:pt idx="132">
                  <c:v>5.1550191262726115E-5</c:v>
                </c:pt>
                <c:pt idx="133">
                  <c:v>5.4127700825862423E-5</c:v>
                </c:pt>
                <c:pt idx="134">
                  <c:v>5.6834085867155547E-5</c:v>
                </c:pt>
                <c:pt idx="135">
                  <c:v>5.9675790160513328E-5</c:v>
                </c:pt>
                <c:pt idx="136">
                  <c:v>6.2659579668538997E-5</c:v>
                </c:pt>
                <c:pt idx="137">
                  <c:v>6.5792558651965951E-5</c:v>
                </c:pt>
                <c:pt idx="138">
                  <c:v>6.9082186584564246E-5</c:v>
                </c:pt>
                <c:pt idx="139">
                  <c:v>7.2536295913792464E-5</c:v>
                </c:pt>
                <c:pt idx="140">
                  <c:v>7.6163110709482091E-5</c:v>
                </c:pt>
                <c:pt idx="141">
                  <c:v>7.9971266244956201E-5</c:v>
                </c:pt>
                <c:pt idx="142">
                  <c:v>8.3969829557204012E-5</c:v>
                </c:pt>
                <c:pt idx="143">
                  <c:v>8.8168321035064215E-5</c:v>
                </c:pt>
                <c:pt idx="144">
                  <c:v>9.2576737086817433E-5</c:v>
                </c:pt>
                <c:pt idx="145">
                  <c:v>9.7205573941158314E-5</c:v>
                </c:pt>
                <c:pt idx="146">
                  <c:v>1.0206585263821624E-4</c:v>
                </c:pt>
                <c:pt idx="147">
                  <c:v>1.0716914527012705E-4</c:v>
                </c:pt>
                <c:pt idx="148">
                  <c:v>1.1252760253363341E-4</c:v>
                </c:pt>
                <c:pt idx="149">
                  <c:v>1.1815398266031509E-4</c:v>
                </c:pt>
                <c:pt idx="150">
                  <c:v>1.2406168179333085E-4</c:v>
                </c:pt>
                <c:pt idx="151">
                  <c:v>1.302647658829974E-4</c:v>
                </c:pt>
                <c:pt idx="152">
                  <c:v>1.3677800417714729E-4</c:v>
                </c:pt>
                <c:pt idx="153">
                  <c:v>1.4361690438600465E-4</c:v>
                </c:pt>
                <c:pt idx="154">
                  <c:v>1.5079774960530487E-4</c:v>
                </c:pt>
                <c:pt idx="155">
                  <c:v>1.5833763708557013E-4</c:v>
                </c:pt>
                <c:pt idx="156">
                  <c:v>1.6625451893984865E-4</c:v>
                </c:pt>
                <c:pt idx="157">
                  <c:v>1.745672448868411E-4</c:v>
                </c:pt>
                <c:pt idx="158">
                  <c:v>1.8329560713118315E-4</c:v>
                </c:pt>
                <c:pt idx="159">
                  <c:v>1.9246038748774232E-4</c:v>
                </c:pt>
                <c:pt idx="160">
                  <c:v>2.0208340686212945E-4</c:v>
                </c:pt>
                <c:pt idx="161">
                  <c:v>2.1218757720523594E-4</c:v>
                </c:pt>
                <c:pt idx="162">
                  <c:v>2.2279695606549775E-4</c:v>
                </c:pt>
                <c:pt idx="163">
                  <c:v>2.3393680386877265E-4</c:v>
                </c:pt>
                <c:pt idx="164">
                  <c:v>2.4563364406221126E-4</c:v>
                </c:pt>
                <c:pt idx="165">
                  <c:v>2.4563364406221129E-5</c:v>
                </c:pt>
                <c:pt idx="166">
                  <c:v>2.5791532626532188E-5</c:v>
                </c:pt>
                <c:pt idx="167">
                  <c:v>2.70811092578588E-5</c:v>
                </c:pt>
                <c:pt idx="168">
                  <c:v>2.8435164720751743E-5</c:v>
                </c:pt>
                <c:pt idx="169">
                  <c:v>2.9856922956789331E-5</c:v>
                </c:pt>
                <c:pt idx="170">
                  <c:v>3.1349769104628801E-5</c:v>
                </c:pt>
                <c:pt idx="171">
                  <c:v>3.2917257559860243E-5</c:v>
                </c:pt>
                <c:pt idx="172">
                  <c:v>3.4563120437853254E-5</c:v>
                </c:pt>
                <c:pt idx="173">
                  <c:v>3.629127645974592E-5</c:v>
                </c:pt>
                <c:pt idx="174">
                  <c:v>3.8105840282733214E-5</c:v>
                </c:pt>
                <c:pt idx="175">
                  <c:v>4.0011132296869877E-5</c:v>
                </c:pt>
                <c:pt idx="176">
                  <c:v>4.2011688911713376E-5</c:v>
                </c:pt>
                <c:pt idx="177">
                  <c:v>4.4112273357299043E-5</c:v>
                </c:pt>
                <c:pt idx="178">
                  <c:v>4.6317887025163997E-5</c:v>
                </c:pt>
                <c:pt idx="179">
                  <c:v>4.8633781376422197E-5</c:v>
                </c:pt>
                <c:pt idx="180">
                  <c:v>5.1065470445243308E-5</c:v>
                </c:pt>
                <c:pt idx="181">
                  <c:v>5.3618743967505474E-5</c:v>
                </c:pt>
                <c:pt idx="182">
                  <c:v>5.6299681165880751E-5</c:v>
                </c:pt>
                <c:pt idx="183">
                  <c:v>5.9114665224174794E-5</c:v>
                </c:pt>
                <c:pt idx="184">
                  <c:v>6.2070398485383532E-5</c:v>
                </c:pt>
                <c:pt idx="185">
                  <c:v>6.5173918409652711E-5</c:v>
                </c:pt>
                <c:pt idx="186">
                  <c:v>6.8432614330135344E-5</c:v>
                </c:pt>
                <c:pt idx="187">
                  <c:v>7.185424504664211E-5</c:v>
                </c:pt>
                <c:pt idx="188">
                  <c:v>7.5446957298974218E-5</c:v>
                </c:pt>
                <c:pt idx="189">
                  <c:v>7.9219305163922928E-5</c:v>
                </c:pt>
                <c:pt idx="190">
                  <c:v>8.3180270422119078E-5</c:v>
                </c:pt>
                <c:pt idx="191">
                  <c:v>8.7339283943225037E-5</c:v>
                </c:pt>
                <c:pt idx="192">
                  <c:v>9.1706248140386296E-5</c:v>
                </c:pt>
                <c:pt idx="193">
                  <c:v>9.6291560547405615E-5</c:v>
                </c:pt>
                <c:pt idx="194">
                  <c:v>1.011061385747759E-4</c:v>
                </c:pt>
                <c:pt idx="195">
                  <c:v>1.061614455035147E-4</c:v>
                </c:pt>
                <c:pt idx="196">
                  <c:v>1.1146951777869043E-4</c:v>
                </c:pt>
                <c:pt idx="197">
                  <c:v>1.1704299366762496E-4</c:v>
                </c:pt>
                <c:pt idx="198">
                  <c:v>1.228951433510062E-4</c:v>
                </c:pt>
                <c:pt idx="199">
                  <c:v>1.2903990051855652E-4</c:v>
                </c:pt>
                <c:pt idx="200">
                  <c:v>1.3549189554448433E-4</c:v>
                </c:pt>
                <c:pt idx="201">
                  <c:v>1.4226649032170855E-4</c:v>
                </c:pt>
                <c:pt idx="202">
                  <c:v>1.4937981483779399E-4</c:v>
                </c:pt>
                <c:pt idx="203">
                  <c:v>1.49379814837794E-5</c:v>
                </c:pt>
                <c:pt idx="204">
                  <c:v>1.568488055796837E-5</c:v>
                </c:pt>
                <c:pt idx="205">
                  <c:v>1.6469124585866788E-5</c:v>
                </c:pt>
                <c:pt idx="206">
                  <c:v>1.7292580815160127E-5</c:v>
                </c:pt>
                <c:pt idx="207">
                  <c:v>1.8157209855918134E-5</c:v>
                </c:pt>
                <c:pt idx="208">
                  <c:v>1.9065070348714041E-5</c:v>
                </c:pt>
                <c:pt idx="209">
                  <c:v>2.0018323866149743E-5</c:v>
                </c:pt>
                <c:pt idx="210">
                  <c:v>2.101924005945723E-5</c:v>
                </c:pt>
                <c:pt idx="211">
                  <c:v>2.2070202062430092E-5</c:v>
                </c:pt>
                <c:pt idx="212">
                  <c:v>2.3173712165551598E-5</c:v>
                </c:pt>
                <c:pt idx="213">
                  <c:v>2.4332397773829178E-5</c:v>
                </c:pt>
                <c:pt idx="214">
                  <c:v>2.5549017662520639E-5</c:v>
                </c:pt>
                <c:pt idx="215">
                  <c:v>2.6826468545646672E-5</c:v>
                </c:pt>
                <c:pt idx="216">
                  <c:v>2.8167791972929006E-5</c:v>
                </c:pt>
                <c:pt idx="217">
                  <c:v>2.9576181571575459E-5</c:v>
                </c:pt>
                <c:pt idx="218">
                  <c:v>3.1054990650154233E-5</c:v>
                </c:pt>
                <c:pt idx="219">
                  <c:v>3.2607740182661943E-5</c:v>
                </c:pt>
                <c:pt idx="220">
                  <c:v>3.423812719179504E-5</c:v>
                </c:pt>
                <c:pt idx="221">
                  <c:v>3.5950033551384794E-5</c:v>
                </c:pt>
                <c:pt idx="222">
                  <c:v>3.7747535228954035E-5</c:v>
                </c:pt>
                <c:pt idx="223">
                  <c:v>3.9634911990401736E-5</c:v>
                </c:pt>
                <c:pt idx="224">
                  <c:v>4.1616657589921822E-5</c:v>
                </c:pt>
                <c:pt idx="225">
                  <c:v>4.3697490469417913E-5</c:v>
                </c:pt>
                <c:pt idx="226">
                  <c:v>4.588236499288881E-5</c:v>
                </c:pt>
                <c:pt idx="227">
                  <c:v>4.817648324253325E-5</c:v>
                </c:pt>
                <c:pt idx="228">
                  <c:v>5.0585307404659912E-5</c:v>
                </c:pt>
                <c:pt idx="229">
                  <c:v>5.3114572774892911E-5</c:v>
                </c:pt>
                <c:pt idx="230">
                  <c:v>5.5770301413637562E-5</c:v>
                </c:pt>
                <c:pt idx="231">
                  <c:v>5.8558816484319442E-5</c:v>
                </c:pt>
                <c:pt idx="232">
                  <c:v>6.1486757308535422E-5</c:v>
                </c:pt>
                <c:pt idx="233">
                  <c:v>6.4561095173962197E-5</c:v>
                </c:pt>
                <c:pt idx="234">
                  <c:v>6.7789149932660306E-5</c:v>
                </c:pt>
                <c:pt idx="235">
                  <c:v>7.1178607429293322E-5</c:v>
                </c:pt>
                <c:pt idx="236">
                  <c:v>7.4737537800757987E-5</c:v>
                </c:pt>
                <c:pt idx="237">
                  <c:v>7.8474414690795884E-5</c:v>
                </c:pt>
                <c:pt idx="238">
                  <c:v>8.2398135425335679E-5</c:v>
                </c:pt>
                <c:pt idx="239">
                  <c:v>8.6518042196602468E-5</c:v>
                </c:pt>
                <c:pt idx="240">
                  <c:v>9.0843944306432593E-5</c:v>
                </c:pt>
                <c:pt idx="241">
                  <c:v>9.084394430643259E-6</c:v>
                </c:pt>
                <c:pt idx="242">
                  <c:v>9.5386141521754223E-6</c:v>
                </c:pt>
                <c:pt idx="243">
                  <c:v>1.0015544859784194E-5</c:v>
                </c:pt>
                <c:pt idx="244">
                  <c:v>1.0516322102773404E-5</c:v>
                </c:pt>
                <c:pt idx="245">
                  <c:v>1.1042138207912075E-5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8-4D08-B429-E7E33464DCA1}"/>
            </c:ext>
          </c:extLst>
        </c:ser>
        <c:ser>
          <c:idx val="1"/>
          <c:order val="1"/>
          <c:tx>
            <c:strRef>
              <c:f>Iris!$O$1</c:f>
              <c:strCache>
                <c:ptCount val="1"/>
                <c:pt idx="0">
                  <c:v>RMS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Iris!$O$2:$O$501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xVal>
          <c:yVal>
            <c:numRef>
              <c:f>Iris!$Q$2:$Q$501</c:f>
              <c:numCache>
                <c:formatCode>General</c:formatCode>
                <c:ptCount val="500"/>
                <c:pt idx="0">
                  <c:v>1E-3</c:v>
                </c:pt>
                <c:pt idx="1">
                  <c:v>1.0500000000000002E-3</c:v>
                </c:pt>
                <c:pt idx="2">
                  <c:v>1.1025000000000002E-3</c:v>
                </c:pt>
                <c:pt idx="3">
                  <c:v>1.1576250000000002E-3</c:v>
                </c:pt>
                <c:pt idx="4">
                  <c:v>1.2155062500000004E-3</c:v>
                </c:pt>
                <c:pt idx="5">
                  <c:v>1.2762815625000006E-3</c:v>
                </c:pt>
                <c:pt idx="6">
                  <c:v>1.3400956406250007E-3</c:v>
                </c:pt>
                <c:pt idx="7">
                  <c:v>1.4071004226562508E-3</c:v>
                </c:pt>
                <c:pt idx="8">
                  <c:v>1.4774554437890634E-3</c:v>
                </c:pt>
                <c:pt idx="9">
                  <c:v>1.5513282159785166E-3</c:v>
                </c:pt>
                <c:pt idx="10">
                  <c:v>1.6288946267774425E-3</c:v>
                </c:pt>
                <c:pt idx="11">
                  <c:v>1.7103393581163148E-3</c:v>
                </c:pt>
                <c:pt idx="12">
                  <c:v>1.7958563260221305E-3</c:v>
                </c:pt>
                <c:pt idx="13">
                  <c:v>1.8856491423232371E-3</c:v>
                </c:pt>
                <c:pt idx="14">
                  <c:v>1.979931599439399E-3</c:v>
                </c:pt>
                <c:pt idx="15">
                  <c:v>2.0789281794113693E-3</c:v>
                </c:pt>
                <c:pt idx="16">
                  <c:v>2.1828745883819378E-3</c:v>
                </c:pt>
                <c:pt idx="17">
                  <c:v>2.2920183178010349E-3</c:v>
                </c:pt>
                <c:pt idx="18">
                  <c:v>2.4066192336910869E-3</c:v>
                </c:pt>
                <c:pt idx="19">
                  <c:v>2.5269501953756415E-3</c:v>
                </c:pt>
                <c:pt idx="20">
                  <c:v>2.6532977051444235E-3</c:v>
                </c:pt>
                <c:pt idx="21">
                  <c:v>2.785962590401645E-3</c:v>
                </c:pt>
                <c:pt idx="22">
                  <c:v>2.9252607199217275E-3</c:v>
                </c:pt>
                <c:pt idx="23">
                  <c:v>3.0715237559178141E-3</c:v>
                </c:pt>
                <c:pt idx="24">
                  <c:v>3.2250999437137048E-3</c:v>
                </c:pt>
                <c:pt idx="25">
                  <c:v>3.3863549408993904E-3</c:v>
                </c:pt>
                <c:pt idx="26">
                  <c:v>3.5556726879443601E-3</c:v>
                </c:pt>
                <c:pt idx="27">
                  <c:v>3.7334563223415784E-3</c:v>
                </c:pt>
                <c:pt idx="28">
                  <c:v>3.9201291384586574E-3</c:v>
                </c:pt>
                <c:pt idx="29">
                  <c:v>4.1161355953815903E-3</c:v>
                </c:pt>
                <c:pt idx="30">
                  <c:v>4.3219423751506697E-3</c:v>
                </c:pt>
                <c:pt idx="31">
                  <c:v>4.5380394939082032E-3</c:v>
                </c:pt>
                <c:pt idx="32">
                  <c:v>4.7649414686036133E-3</c:v>
                </c:pt>
                <c:pt idx="33">
                  <c:v>5.0031885420337941E-3</c:v>
                </c:pt>
                <c:pt idx="34">
                  <c:v>5.2533479691354839E-3</c:v>
                </c:pt>
                <c:pt idx="35">
                  <c:v>5.2533479691354841E-4</c:v>
                </c:pt>
                <c:pt idx="36">
                  <c:v>5.516015367592258E-4</c:v>
                </c:pt>
                <c:pt idx="37">
                  <c:v>5.7918161359718707E-4</c:v>
                </c:pt>
                <c:pt idx="38">
                  <c:v>6.081406942770464E-4</c:v>
                </c:pt>
                <c:pt idx="39">
                  <c:v>6.3854772899089873E-4</c:v>
                </c:pt>
                <c:pt idx="40">
                  <c:v>6.7047511544044368E-4</c:v>
                </c:pt>
                <c:pt idx="41">
                  <c:v>7.0399887121246594E-4</c:v>
                </c:pt>
                <c:pt idx="42">
                  <c:v>7.3919881477308932E-4</c:v>
                </c:pt>
                <c:pt idx="43">
                  <c:v>7.7615875551174387E-4</c:v>
                </c:pt>
                <c:pt idx="44">
                  <c:v>8.1496669328733106E-4</c:v>
                </c:pt>
                <c:pt idx="45">
                  <c:v>8.5571502795169765E-4</c:v>
                </c:pt>
                <c:pt idx="46">
                  <c:v>8.9850077934928258E-4</c:v>
                </c:pt>
                <c:pt idx="47">
                  <c:v>9.4342581831674674E-4</c:v>
                </c:pt>
                <c:pt idx="48">
                  <c:v>9.9059710923258409E-4</c:v>
                </c:pt>
                <c:pt idx="49">
                  <c:v>1.0401269646942133E-3</c:v>
                </c:pt>
                <c:pt idx="50">
                  <c:v>1.092133312928924E-3</c:v>
                </c:pt>
                <c:pt idx="51">
                  <c:v>1.1467399785753702E-3</c:v>
                </c:pt>
                <c:pt idx="52">
                  <c:v>1.2040769775041387E-3</c:v>
                </c:pt>
                <c:pt idx="53">
                  <c:v>1.2642808263793456E-3</c:v>
                </c:pt>
                <c:pt idx="54">
                  <c:v>1.327494867698313E-3</c:v>
                </c:pt>
                <c:pt idx="55">
                  <c:v>1.3938696110832288E-3</c:v>
                </c:pt>
                <c:pt idx="56">
                  <c:v>1.4635630916373904E-3</c:v>
                </c:pt>
                <c:pt idx="57">
                  <c:v>1.5367412462192599E-3</c:v>
                </c:pt>
                <c:pt idx="58">
                  <c:v>1.6135783085302229E-3</c:v>
                </c:pt>
                <c:pt idx="59">
                  <c:v>1.694257223956734E-3</c:v>
                </c:pt>
                <c:pt idx="60">
                  <c:v>1.694257223956734E-4</c:v>
                </c:pt>
                <c:pt idx="61">
                  <c:v>1.7789700851545708E-4</c:v>
                </c:pt>
                <c:pt idx="62">
                  <c:v>1.8679185894122994E-4</c:v>
                </c:pt>
                <c:pt idx="63">
                  <c:v>1.9613145188829146E-4</c:v>
                </c:pt>
                <c:pt idx="64">
                  <c:v>2.0593802448270603E-4</c:v>
                </c:pt>
                <c:pt idx="65">
                  <c:v>2.1623492570684133E-4</c:v>
                </c:pt>
                <c:pt idx="66">
                  <c:v>2.270466719921834E-4</c:v>
                </c:pt>
                <c:pt idx="67">
                  <c:v>2.3839900559179258E-4</c:v>
                </c:pt>
                <c:pt idx="68">
                  <c:v>2.5031895587138223E-4</c:v>
                </c:pt>
                <c:pt idx="69">
                  <c:v>2.6283490366495134E-4</c:v>
                </c:pt>
                <c:pt idx="70">
                  <c:v>2.759766488481989E-4</c:v>
                </c:pt>
                <c:pt idx="71">
                  <c:v>2.8977548129060886E-4</c:v>
                </c:pt>
                <c:pt idx="72">
                  <c:v>3.0426425535513932E-4</c:v>
                </c:pt>
                <c:pt idx="73">
                  <c:v>3.1947746812289633E-4</c:v>
                </c:pt>
                <c:pt idx="74">
                  <c:v>3.3545134152904117E-4</c:v>
                </c:pt>
                <c:pt idx="75">
                  <c:v>3.5222390860549323E-4</c:v>
                </c:pt>
                <c:pt idx="76">
                  <c:v>3.698351040357679E-4</c:v>
                </c:pt>
                <c:pt idx="77">
                  <c:v>3.883268592375563E-4</c:v>
                </c:pt>
                <c:pt idx="78">
                  <c:v>4.0774320219943413E-4</c:v>
                </c:pt>
                <c:pt idx="79">
                  <c:v>4.2813036230940587E-4</c:v>
                </c:pt>
                <c:pt idx="80">
                  <c:v>4.4953688042487618E-4</c:v>
                </c:pt>
                <c:pt idx="81">
                  <c:v>4.7201372444612003E-4</c:v>
                </c:pt>
                <c:pt idx="82">
                  <c:v>4.9561441066842604E-4</c:v>
                </c:pt>
                <c:pt idx="83">
                  <c:v>5.2039513120184734E-4</c:v>
                </c:pt>
                <c:pt idx="84">
                  <c:v>5.4641488776193976E-4</c:v>
                </c:pt>
                <c:pt idx="85">
                  <c:v>5.7373563215003677E-4</c:v>
                </c:pt>
                <c:pt idx="86">
                  <c:v>6.0242241375753867E-4</c:v>
                </c:pt>
                <c:pt idx="87">
                  <c:v>6.3254353444541561E-4</c:v>
                </c:pt>
                <c:pt idx="88">
                  <c:v>6.6417071116768643E-4</c:v>
                </c:pt>
                <c:pt idx="89">
                  <c:v>6.9737924672607081E-4</c:v>
                </c:pt>
                <c:pt idx="90">
                  <c:v>7.3224820906237441E-4</c:v>
                </c:pt>
                <c:pt idx="91">
                  <c:v>7.6886061951549317E-4</c:v>
                </c:pt>
                <c:pt idx="92">
                  <c:v>8.0730365049126783E-4</c:v>
                </c:pt>
                <c:pt idx="93">
                  <c:v>8.4766883301583122E-4</c:v>
                </c:pt>
                <c:pt idx="94">
                  <c:v>8.9005227466662279E-4</c:v>
                </c:pt>
                <c:pt idx="95">
                  <c:v>9.3455488839995395E-4</c:v>
                </c:pt>
                <c:pt idx="96">
                  <c:v>9.8128263281995159E-4</c:v>
                </c:pt>
                <c:pt idx="97">
                  <c:v>1.0303467644609493E-3</c:v>
                </c:pt>
                <c:pt idx="98">
                  <c:v>1.0818641026839968E-3</c:v>
                </c:pt>
                <c:pt idx="99">
                  <c:v>1.1359573078181967E-3</c:v>
                </c:pt>
                <c:pt idx="100">
                  <c:v>1.1927551732091065E-3</c:v>
                </c:pt>
                <c:pt idx="101">
                  <c:v>1.2523929318695619E-3</c:v>
                </c:pt>
                <c:pt idx="102">
                  <c:v>1.31501257846304E-3</c:v>
                </c:pt>
                <c:pt idx="103">
                  <c:v>1.3807632073861921E-3</c:v>
                </c:pt>
                <c:pt idx="104">
                  <c:v>1.4498013677555017E-3</c:v>
                </c:pt>
                <c:pt idx="105">
                  <c:v>1.5222914361432769E-3</c:v>
                </c:pt>
                <c:pt idx="106">
                  <c:v>1.5984060079504408E-3</c:v>
                </c:pt>
                <c:pt idx="107">
                  <c:v>1.678326308347963E-3</c:v>
                </c:pt>
                <c:pt idx="108">
                  <c:v>1.7622426237653612E-3</c:v>
                </c:pt>
                <c:pt idx="109">
                  <c:v>1.8503547549536294E-3</c:v>
                </c:pt>
                <c:pt idx="110">
                  <c:v>1.942872492701311E-3</c:v>
                </c:pt>
                <c:pt idx="111">
                  <c:v>2.0400161173363767E-3</c:v>
                </c:pt>
                <c:pt idx="112">
                  <c:v>2.1420169232031958E-3</c:v>
                </c:pt>
                <c:pt idx="113">
                  <c:v>2.2491177693633557E-3</c:v>
                </c:pt>
                <c:pt idx="114">
                  <c:v>2.2491177693633558E-4</c:v>
                </c:pt>
                <c:pt idx="115">
                  <c:v>2.3615736578315238E-4</c:v>
                </c:pt>
                <c:pt idx="116">
                  <c:v>2.4796523407230998E-4</c:v>
                </c:pt>
                <c:pt idx="117">
                  <c:v>2.6036349577592552E-4</c:v>
                </c:pt>
                <c:pt idx="118">
                  <c:v>2.7338167056472181E-4</c:v>
                </c:pt>
                <c:pt idx="119">
                  <c:v>2.870507540929579E-4</c:v>
                </c:pt>
                <c:pt idx="120">
                  <c:v>3.0140329179760583E-4</c:v>
                </c:pt>
                <c:pt idx="121">
                  <c:v>3.1647345638748613E-4</c:v>
                </c:pt>
                <c:pt idx="122">
                  <c:v>3.3229712920686044E-4</c:v>
                </c:pt>
                <c:pt idx="123">
                  <c:v>3.4891198566720349E-4</c:v>
                </c:pt>
                <c:pt idx="124">
                  <c:v>3.6635758495056367E-4</c:v>
                </c:pt>
                <c:pt idx="125">
                  <c:v>3.8467546419809187E-4</c:v>
                </c:pt>
                <c:pt idx="126">
                  <c:v>4.0390923740799646E-4</c:v>
                </c:pt>
                <c:pt idx="127">
                  <c:v>4.2410469927839627E-4</c:v>
                </c:pt>
                <c:pt idx="128">
                  <c:v>4.4530993424231612E-4</c:v>
                </c:pt>
                <c:pt idx="129">
                  <c:v>4.6757543095443194E-4</c:v>
                </c:pt>
                <c:pt idx="130">
                  <c:v>4.9095420250215354E-4</c:v>
                </c:pt>
                <c:pt idx="131">
                  <c:v>5.1550191262726122E-4</c:v>
                </c:pt>
                <c:pt idx="132">
                  <c:v>5.4127700825862431E-4</c:v>
                </c:pt>
                <c:pt idx="133">
                  <c:v>5.6834085867155559E-4</c:v>
                </c:pt>
                <c:pt idx="134">
                  <c:v>5.9675790160513339E-4</c:v>
                </c:pt>
                <c:pt idx="135">
                  <c:v>6.2659579668539005E-4</c:v>
                </c:pt>
                <c:pt idx="136">
                  <c:v>6.5792558651965962E-4</c:v>
                </c:pt>
                <c:pt idx="137">
                  <c:v>6.9082186584564268E-4</c:v>
                </c:pt>
                <c:pt idx="138">
                  <c:v>7.253629591379248E-4</c:v>
                </c:pt>
                <c:pt idx="139">
                  <c:v>7.616311070948211E-4</c:v>
                </c:pt>
                <c:pt idx="140">
                  <c:v>7.9971266244956217E-4</c:v>
                </c:pt>
                <c:pt idx="141">
                  <c:v>8.3969829557204031E-4</c:v>
                </c:pt>
                <c:pt idx="142">
                  <c:v>8.8168321035064236E-4</c:v>
                </c:pt>
                <c:pt idx="143">
                  <c:v>9.2576737086817447E-4</c:v>
                </c:pt>
                <c:pt idx="144">
                  <c:v>9.7205573941158327E-4</c:v>
                </c:pt>
                <c:pt idx="145">
                  <c:v>1.0206585263821625E-3</c:v>
                </c:pt>
                <c:pt idx="146">
                  <c:v>1.0716914527012706E-3</c:v>
                </c:pt>
                <c:pt idx="147">
                  <c:v>1.1252760253363343E-3</c:v>
                </c:pt>
                <c:pt idx="148">
                  <c:v>1.1815398266031511E-3</c:v>
                </c:pt>
                <c:pt idx="149">
                  <c:v>1.2406168179333087E-3</c:v>
                </c:pt>
                <c:pt idx="150">
                  <c:v>1.3026476588299742E-3</c:v>
                </c:pt>
                <c:pt idx="151">
                  <c:v>1.3677800417714729E-3</c:v>
                </c:pt>
                <c:pt idx="152">
                  <c:v>1.4361690438600466E-3</c:v>
                </c:pt>
                <c:pt idx="153">
                  <c:v>1.5079774960530491E-3</c:v>
                </c:pt>
                <c:pt idx="154">
                  <c:v>1.5833763708557017E-3</c:v>
                </c:pt>
                <c:pt idx="155">
                  <c:v>1.6625451893984868E-3</c:v>
                </c:pt>
                <c:pt idx="156">
                  <c:v>1.7456724488684112E-3</c:v>
                </c:pt>
                <c:pt idx="157">
                  <c:v>1.8329560713118318E-3</c:v>
                </c:pt>
                <c:pt idx="158">
                  <c:v>1.9246038748774235E-3</c:v>
                </c:pt>
                <c:pt idx="159">
                  <c:v>2.0208340686212948E-3</c:v>
                </c:pt>
                <c:pt idx="160">
                  <c:v>2.1218757720523596E-3</c:v>
                </c:pt>
                <c:pt idx="161">
                  <c:v>2.2279695606549775E-3</c:v>
                </c:pt>
                <c:pt idx="162">
                  <c:v>2.3393680386877263E-3</c:v>
                </c:pt>
                <c:pt idx="163">
                  <c:v>2.4563364406221125E-3</c:v>
                </c:pt>
                <c:pt idx="164">
                  <c:v>2.5791532626532184E-3</c:v>
                </c:pt>
                <c:pt idx="165">
                  <c:v>2.7081109257858795E-3</c:v>
                </c:pt>
                <c:pt idx="166">
                  <c:v>2.7081109257858795E-4</c:v>
                </c:pt>
                <c:pt idx="167">
                  <c:v>2.8435164720751736E-4</c:v>
                </c:pt>
                <c:pt idx="168">
                  <c:v>2.9856922956789323E-4</c:v>
                </c:pt>
                <c:pt idx="169">
                  <c:v>3.1349769104628788E-4</c:v>
                </c:pt>
                <c:pt idx="170">
                  <c:v>3.2917257559860228E-4</c:v>
                </c:pt>
                <c:pt idx="171">
                  <c:v>3.4563120437853243E-4</c:v>
                </c:pt>
                <c:pt idx="172">
                  <c:v>3.6291276459745909E-4</c:v>
                </c:pt>
                <c:pt idx="173">
                  <c:v>3.8105840282733207E-4</c:v>
                </c:pt>
                <c:pt idx="174">
                  <c:v>4.0011132296869869E-4</c:v>
                </c:pt>
                <c:pt idx="175">
                  <c:v>4.2011688911713365E-4</c:v>
                </c:pt>
                <c:pt idx="176">
                  <c:v>4.4112273357299034E-4</c:v>
                </c:pt>
                <c:pt idx="177">
                  <c:v>4.6317887025163986E-4</c:v>
                </c:pt>
                <c:pt idx="178">
                  <c:v>4.863378137642219E-4</c:v>
                </c:pt>
                <c:pt idx="179">
                  <c:v>5.1065470445243305E-4</c:v>
                </c:pt>
                <c:pt idx="180">
                  <c:v>5.3618743967505475E-4</c:v>
                </c:pt>
                <c:pt idx="181">
                  <c:v>5.6299681165880751E-4</c:v>
                </c:pt>
                <c:pt idx="182">
                  <c:v>5.9114665224174788E-4</c:v>
                </c:pt>
                <c:pt idx="183">
                  <c:v>6.2070398485383532E-4</c:v>
                </c:pt>
                <c:pt idx="184">
                  <c:v>6.5173918409652711E-4</c:v>
                </c:pt>
                <c:pt idx="185">
                  <c:v>6.843261433013535E-4</c:v>
                </c:pt>
                <c:pt idx="186">
                  <c:v>7.1854245046642118E-4</c:v>
                </c:pt>
                <c:pt idx="187">
                  <c:v>7.5446957298974226E-4</c:v>
                </c:pt>
                <c:pt idx="188">
                  <c:v>7.9219305163922941E-4</c:v>
                </c:pt>
                <c:pt idx="189">
                  <c:v>8.3180270422119089E-4</c:v>
                </c:pt>
                <c:pt idx="190">
                  <c:v>8.7339283943225045E-4</c:v>
                </c:pt>
                <c:pt idx="191">
                  <c:v>9.1706248140386302E-4</c:v>
                </c:pt>
                <c:pt idx="192">
                  <c:v>9.6291560547405626E-4</c:v>
                </c:pt>
                <c:pt idx="193">
                  <c:v>1.0110613857477592E-3</c:v>
                </c:pt>
                <c:pt idx="194">
                  <c:v>1.0616144550351472E-3</c:v>
                </c:pt>
                <c:pt idx="195">
                  <c:v>1.1146951777869045E-3</c:v>
                </c:pt>
                <c:pt idx="196">
                  <c:v>1.1704299366762498E-3</c:v>
                </c:pt>
                <c:pt idx="197">
                  <c:v>1.2289514335100623E-3</c:v>
                </c:pt>
                <c:pt idx="198">
                  <c:v>1.2903990051855655E-3</c:v>
                </c:pt>
                <c:pt idx="199">
                  <c:v>1.3549189554448438E-3</c:v>
                </c:pt>
                <c:pt idx="200">
                  <c:v>1.4226649032170861E-3</c:v>
                </c:pt>
                <c:pt idx="201">
                  <c:v>1.4937981483779405E-3</c:v>
                </c:pt>
                <c:pt idx="202">
                  <c:v>1.5684880557968377E-3</c:v>
                </c:pt>
                <c:pt idx="203">
                  <c:v>1.6469124585866796E-3</c:v>
                </c:pt>
                <c:pt idx="204">
                  <c:v>1.7292580815160138E-3</c:v>
                </c:pt>
                <c:pt idx="205">
                  <c:v>1.8157209855918146E-3</c:v>
                </c:pt>
                <c:pt idx="206">
                  <c:v>1.9065070348714055E-3</c:v>
                </c:pt>
                <c:pt idx="207">
                  <c:v>2.001832386614976E-3</c:v>
                </c:pt>
                <c:pt idx="208">
                  <c:v>2.1019240059457251E-3</c:v>
                </c:pt>
                <c:pt idx="209">
                  <c:v>2.2070202062430115E-3</c:v>
                </c:pt>
                <c:pt idx="210">
                  <c:v>2.3173712165551622E-3</c:v>
                </c:pt>
                <c:pt idx="211">
                  <c:v>2.4332397773829204E-3</c:v>
                </c:pt>
                <c:pt idx="212">
                  <c:v>2.5549017662520666E-3</c:v>
                </c:pt>
                <c:pt idx="213">
                  <c:v>2.5549017662520668E-4</c:v>
                </c:pt>
                <c:pt idx="214">
                  <c:v>2.6826468545646702E-4</c:v>
                </c:pt>
                <c:pt idx="215">
                  <c:v>2.8167791972929037E-4</c:v>
                </c:pt>
                <c:pt idx="216">
                  <c:v>2.9576181571575489E-4</c:v>
                </c:pt>
                <c:pt idx="217">
                  <c:v>3.1054990650154264E-4</c:v>
                </c:pt>
                <c:pt idx="218">
                  <c:v>3.260774018266198E-4</c:v>
                </c:pt>
                <c:pt idx="219">
                  <c:v>3.4238127191795083E-4</c:v>
                </c:pt>
                <c:pt idx="220">
                  <c:v>3.5950033551384838E-4</c:v>
                </c:pt>
                <c:pt idx="221">
                  <c:v>3.774753522895408E-4</c:v>
                </c:pt>
                <c:pt idx="222">
                  <c:v>3.9634911990401786E-4</c:v>
                </c:pt>
                <c:pt idx="223">
                  <c:v>4.1616657589921876E-4</c:v>
                </c:pt>
                <c:pt idx="224">
                  <c:v>4.3697490469417973E-4</c:v>
                </c:pt>
                <c:pt idx="225">
                  <c:v>4.5882364992888872E-4</c:v>
                </c:pt>
                <c:pt idx="226">
                  <c:v>4.8176483242533318E-4</c:v>
                </c:pt>
                <c:pt idx="227">
                  <c:v>5.0585307404659981E-4</c:v>
                </c:pt>
                <c:pt idx="228">
                  <c:v>5.3114572774892981E-4</c:v>
                </c:pt>
                <c:pt idx="229">
                  <c:v>5.5770301413637631E-4</c:v>
                </c:pt>
                <c:pt idx="230">
                  <c:v>5.8558816484319514E-4</c:v>
                </c:pt>
                <c:pt idx="231">
                  <c:v>6.1486757308535495E-4</c:v>
                </c:pt>
                <c:pt idx="232">
                  <c:v>6.4561095173962268E-4</c:v>
                </c:pt>
                <c:pt idx="233">
                  <c:v>6.7789149932660385E-4</c:v>
                </c:pt>
                <c:pt idx="234">
                  <c:v>7.1178607429293406E-4</c:v>
                </c:pt>
                <c:pt idx="235">
                  <c:v>7.4737537800758074E-4</c:v>
                </c:pt>
                <c:pt idx="236">
                  <c:v>7.8474414690795984E-4</c:v>
                </c:pt>
                <c:pt idx="237">
                  <c:v>8.2398135425335787E-4</c:v>
                </c:pt>
                <c:pt idx="238">
                  <c:v>8.6518042196602582E-4</c:v>
                </c:pt>
                <c:pt idx="239">
                  <c:v>9.0843944306432712E-4</c:v>
                </c:pt>
                <c:pt idx="240">
                  <c:v>9.5386141521754347E-4</c:v>
                </c:pt>
                <c:pt idx="241">
                  <c:v>1.0015544859784207E-3</c:v>
                </c:pt>
                <c:pt idx="242">
                  <c:v>1.0516322102773418E-3</c:v>
                </c:pt>
                <c:pt idx="243">
                  <c:v>1.104213820791209E-3</c:v>
                </c:pt>
                <c:pt idx="244">
                  <c:v>1.1594245118307694E-3</c:v>
                </c:pt>
                <c:pt idx="245">
                  <c:v>1.2173957374223079E-3</c:v>
                </c:pt>
                <c:pt idx="246">
                  <c:v>1.2782655242934233E-3</c:v>
                </c:pt>
                <c:pt idx="247">
                  <c:v>1.3421788005080946E-3</c:v>
                </c:pt>
                <c:pt idx="248">
                  <c:v>1.4092877405334993E-3</c:v>
                </c:pt>
                <c:pt idx="249">
                  <c:v>1.4797521275601742E-3</c:v>
                </c:pt>
                <c:pt idx="250">
                  <c:v>1.553739733938183E-3</c:v>
                </c:pt>
                <c:pt idx="251">
                  <c:v>1.6314267206350922E-3</c:v>
                </c:pt>
                <c:pt idx="252">
                  <c:v>1.7129980566668469E-3</c:v>
                </c:pt>
                <c:pt idx="253">
                  <c:v>1.7986479595001894E-3</c:v>
                </c:pt>
                <c:pt idx="254">
                  <c:v>1.8885803574751989E-3</c:v>
                </c:pt>
                <c:pt idx="255">
                  <c:v>1.9830093753489589E-3</c:v>
                </c:pt>
                <c:pt idx="256">
                  <c:v>2.0821598441164071E-3</c:v>
                </c:pt>
                <c:pt idx="257">
                  <c:v>2.1862678363222276E-3</c:v>
                </c:pt>
                <c:pt idx="258">
                  <c:v>2.295581228138339E-3</c:v>
                </c:pt>
                <c:pt idx="259">
                  <c:v>2.4103602895452561E-3</c:v>
                </c:pt>
                <c:pt idx="260">
                  <c:v>2.5308783040225188E-3</c:v>
                </c:pt>
                <c:pt idx="261">
                  <c:v>2.6574222192236449E-3</c:v>
                </c:pt>
                <c:pt idx="262">
                  <c:v>2.7902933301848271E-3</c:v>
                </c:pt>
                <c:pt idx="263">
                  <c:v>2.9298079966940684E-3</c:v>
                </c:pt>
                <c:pt idx="264">
                  <c:v>3.0762983965287719E-3</c:v>
                </c:pt>
                <c:pt idx="265">
                  <c:v>3.2301133163552109E-3</c:v>
                </c:pt>
                <c:pt idx="266">
                  <c:v>3.3916189821729717E-3</c:v>
                </c:pt>
                <c:pt idx="267">
                  <c:v>3.5611999312816205E-3</c:v>
                </c:pt>
                <c:pt idx="268">
                  <c:v>3.5611999312816207E-4</c:v>
                </c:pt>
                <c:pt idx="269">
                  <c:v>3.7392599278457021E-4</c:v>
                </c:pt>
                <c:pt idx="270">
                  <c:v>3.9262229242379874E-4</c:v>
                </c:pt>
                <c:pt idx="271">
                  <c:v>4.1225340704498871E-4</c:v>
                </c:pt>
                <c:pt idx="272">
                  <c:v>4.3286607739723815E-4</c:v>
                </c:pt>
                <c:pt idx="273">
                  <c:v>4.5450938126710011E-4</c:v>
                </c:pt>
                <c:pt idx="274">
                  <c:v>4.7723485033045513E-4</c:v>
                </c:pt>
                <c:pt idx="275">
                  <c:v>5.0109659284697792E-4</c:v>
                </c:pt>
                <c:pt idx="276">
                  <c:v>5.2615142248932682E-4</c:v>
                </c:pt>
                <c:pt idx="277">
                  <c:v>5.5245899361379316E-4</c:v>
                </c:pt>
                <c:pt idx="278">
                  <c:v>5.8008194329448287E-4</c:v>
                </c:pt>
                <c:pt idx="279">
                  <c:v>6.0908604045920706E-4</c:v>
                </c:pt>
                <c:pt idx="280">
                  <c:v>6.3954034248216748E-4</c:v>
                </c:pt>
                <c:pt idx="281">
                  <c:v>6.7151735960627591E-4</c:v>
                </c:pt>
                <c:pt idx="282">
                  <c:v>7.0509322758658972E-4</c:v>
                </c:pt>
                <c:pt idx="283">
                  <c:v>7.4034788896591925E-4</c:v>
                </c:pt>
                <c:pt idx="284">
                  <c:v>7.773652834142153E-4</c:v>
                </c:pt>
                <c:pt idx="285">
                  <c:v>8.1623354758492605E-4</c:v>
                </c:pt>
                <c:pt idx="286">
                  <c:v>8.5704522496417236E-4</c:v>
                </c:pt>
                <c:pt idx="287">
                  <c:v>8.9989748621238099E-4</c:v>
                </c:pt>
                <c:pt idx="288">
                  <c:v>9.4489236052300004E-4</c:v>
                </c:pt>
                <c:pt idx="289">
                  <c:v>9.9213697854915015E-4</c:v>
                </c:pt>
                <c:pt idx="290">
                  <c:v>1.0417438274766078E-3</c:v>
                </c:pt>
                <c:pt idx="291">
                  <c:v>1.0938310188504381E-3</c:v>
                </c:pt>
                <c:pt idx="292">
                  <c:v>1.1485225697929601E-3</c:v>
                </c:pt>
                <c:pt idx="293">
                  <c:v>1.2059486982826083E-3</c:v>
                </c:pt>
                <c:pt idx="294">
                  <c:v>1.2662461331967387E-3</c:v>
                </c:pt>
                <c:pt idx="295">
                  <c:v>1.3295584398565756E-3</c:v>
                </c:pt>
                <c:pt idx="296">
                  <c:v>1.3960363618494044E-3</c:v>
                </c:pt>
                <c:pt idx="297">
                  <c:v>1.4658381799418747E-3</c:v>
                </c:pt>
                <c:pt idx="298">
                  <c:v>1.5391300889389685E-3</c:v>
                </c:pt>
                <c:pt idx="299">
                  <c:v>1.6160865933859169E-3</c:v>
                </c:pt>
                <c:pt idx="300">
                  <c:v>1.6968909230552127E-3</c:v>
                </c:pt>
                <c:pt idx="301">
                  <c:v>1.7817354692079735E-3</c:v>
                </c:pt>
                <c:pt idx="302">
                  <c:v>1.8708222426683722E-3</c:v>
                </c:pt>
                <c:pt idx="303">
                  <c:v>1.964363354801791E-3</c:v>
                </c:pt>
                <c:pt idx="304">
                  <c:v>2.0625815225418808E-3</c:v>
                </c:pt>
                <c:pt idx="305">
                  <c:v>2.165710598668975E-3</c:v>
                </c:pt>
                <c:pt idx="306">
                  <c:v>2.2739961286024238E-3</c:v>
                </c:pt>
                <c:pt idx="307">
                  <c:v>2.3876959350325449E-3</c:v>
                </c:pt>
                <c:pt idx="308">
                  <c:v>2.5070807317841724E-3</c:v>
                </c:pt>
                <c:pt idx="309">
                  <c:v>2.6324347683733813E-3</c:v>
                </c:pt>
                <c:pt idx="310">
                  <c:v>2.6324347683733814E-4</c:v>
                </c:pt>
                <c:pt idx="311">
                  <c:v>2.7640565067920504E-4</c:v>
                </c:pt>
                <c:pt idx="312">
                  <c:v>2.9022593321316529E-4</c:v>
                </c:pt>
                <c:pt idx="313">
                  <c:v>3.0473722987382356E-4</c:v>
                </c:pt>
                <c:pt idx="314">
                  <c:v>3.1997409136751473E-4</c:v>
                </c:pt>
                <c:pt idx="315">
                  <c:v>3.3597279593589047E-4</c:v>
                </c:pt>
                <c:pt idx="316">
                  <c:v>3.52771435732685E-4</c:v>
                </c:pt>
                <c:pt idx="317">
                  <c:v>3.7041000751931926E-4</c:v>
                </c:pt>
                <c:pt idx="318">
                  <c:v>3.8893050789528524E-4</c:v>
                </c:pt>
                <c:pt idx="319">
                  <c:v>4.0837703329004951E-4</c:v>
                </c:pt>
                <c:pt idx="320">
                  <c:v>4.2879588495455201E-4</c:v>
                </c:pt>
                <c:pt idx="321">
                  <c:v>4.5023567920227965E-4</c:v>
                </c:pt>
                <c:pt idx="322">
                  <c:v>4.7274746316239367E-4</c:v>
                </c:pt>
                <c:pt idx="323">
                  <c:v>4.9638483632051338E-4</c:v>
                </c:pt>
                <c:pt idx="324">
                  <c:v>5.2120407813653906E-4</c:v>
                </c:pt>
                <c:pt idx="325">
                  <c:v>5.4726428204336609E-4</c:v>
                </c:pt>
                <c:pt idx="326">
                  <c:v>5.7462749614553446E-4</c:v>
                </c:pt>
                <c:pt idx="327">
                  <c:v>6.0335887095281119E-4</c:v>
                </c:pt>
                <c:pt idx="328">
                  <c:v>6.3352681450045182E-4</c:v>
                </c:pt>
                <c:pt idx="329">
                  <c:v>6.6520315522547446E-4</c:v>
                </c:pt>
                <c:pt idx="330">
                  <c:v>6.9846331298674825E-4</c:v>
                </c:pt>
                <c:pt idx="331">
                  <c:v>7.3338647863608567E-4</c:v>
                </c:pt>
                <c:pt idx="332">
                  <c:v>7.7005580256789003E-4</c:v>
                </c:pt>
                <c:pt idx="333">
                  <c:v>8.0855859269628454E-4</c:v>
                </c:pt>
                <c:pt idx="334">
                  <c:v>8.4898652233109876E-4</c:v>
                </c:pt>
                <c:pt idx="335">
                  <c:v>8.9143584844765371E-4</c:v>
                </c:pt>
                <c:pt idx="336">
                  <c:v>9.3600764087003639E-4</c:v>
                </c:pt>
                <c:pt idx="337">
                  <c:v>9.828080229135382E-4</c:v>
                </c:pt>
                <c:pt idx="338">
                  <c:v>1.0319484240592152E-3</c:v>
                </c:pt>
                <c:pt idx="339">
                  <c:v>1.083545845262176E-3</c:v>
                </c:pt>
                <c:pt idx="340">
                  <c:v>1.1377231375252848E-3</c:v>
                </c:pt>
                <c:pt idx="341">
                  <c:v>1.1946092944015491E-3</c:v>
                </c:pt>
                <c:pt idx="342">
                  <c:v>1.2543397591216266E-3</c:v>
                </c:pt>
                <c:pt idx="343">
                  <c:v>1.3170567470777079E-3</c:v>
                </c:pt>
                <c:pt idx="344">
                  <c:v>1.317056747077708E-4</c:v>
                </c:pt>
                <c:pt idx="345">
                  <c:v>1.3829095844315934E-4</c:v>
                </c:pt>
                <c:pt idx="346">
                  <c:v>1.4520550636531733E-4</c:v>
                </c:pt>
                <c:pt idx="347">
                  <c:v>1.5246578168358319E-4</c:v>
                </c:pt>
                <c:pt idx="348">
                  <c:v>1.6008907076776234E-4</c:v>
                </c:pt>
                <c:pt idx="349">
                  <c:v>1.6809352430615046E-4</c:v>
                </c:pt>
                <c:pt idx="350">
                  <c:v>1.76498200521458E-4</c:v>
                </c:pt>
                <c:pt idx="351">
                  <c:v>1.8532311054753091E-4</c:v>
                </c:pt>
                <c:pt idx="352">
                  <c:v>1.9458926607490747E-4</c:v>
                </c:pt>
                <c:pt idx="353">
                  <c:v>2.0431872937865284E-4</c:v>
                </c:pt>
                <c:pt idx="354">
                  <c:v>2.1453466584758549E-4</c:v>
                </c:pt>
                <c:pt idx="355">
                  <c:v>2.2526139913996477E-4</c:v>
                </c:pt>
                <c:pt idx="356">
                  <c:v>2.3652446909696302E-4</c:v>
                </c:pt>
                <c:pt idx="357">
                  <c:v>2.4835069255181119E-4</c:v>
                </c:pt>
                <c:pt idx="358">
                  <c:v>2.6076822717940179E-4</c:v>
                </c:pt>
                <c:pt idx="359">
                  <c:v>2.7380663853837189E-4</c:v>
                </c:pt>
                <c:pt idx="360">
                  <c:v>2.8749697046529047E-4</c:v>
                </c:pt>
                <c:pt idx="361">
                  <c:v>3.0187181898855503E-4</c:v>
                </c:pt>
                <c:pt idx="362">
                  <c:v>3.1696540993798281E-4</c:v>
                </c:pt>
                <c:pt idx="363">
                  <c:v>3.3281368043488194E-4</c:v>
                </c:pt>
                <c:pt idx="364">
                  <c:v>3.4945436445662603E-4</c:v>
                </c:pt>
                <c:pt idx="365">
                  <c:v>3.6692708267945732E-4</c:v>
                </c:pt>
                <c:pt idx="366">
                  <c:v>3.852734368134302E-4</c:v>
                </c:pt>
                <c:pt idx="367">
                  <c:v>4.0453710865410173E-4</c:v>
                </c:pt>
                <c:pt idx="368">
                  <c:v>4.2476396408680685E-4</c:v>
                </c:pt>
                <c:pt idx="369">
                  <c:v>4.4600216229114719E-4</c:v>
                </c:pt>
                <c:pt idx="370">
                  <c:v>4.6830227040570459E-4</c:v>
                </c:pt>
                <c:pt idx="371">
                  <c:v>4.9171738392598987E-4</c:v>
                </c:pt>
                <c:pt idx="372">
                  <c:v>5.1630325312228937E-4</c:v>
                </c:pt>
                <c:pt idx="373">
                  <c:v>5.4211841577840386E-4</c:v>
                </c:pt>
                <c:pt idx="374">
                  <c:v>5.6922433656732404E-4</c:v>
                </c:pt>
                <c:pt idx="375">
                  <c:v>5.9768555339569031E-4</c:v>
                </c:pt>
                <c:pt idx="376">
                  <c:v>6.2756983106547481E-4</c:v>
                </c:pt>
                <c:pt idx="377">
                  <c:v>6.5894832261874858E-4</c:v>
                </c:pt>
                <c:pt idx="378">
                  <c:v>6.9189573874968609E-4</c:v>
                </c:pt>
                <c:pt idx="379">
                  <c:v>7.2649052568717043E-4</c:v>
                </c:pt>
                <c:pt idx="380">
                  <c:v>7.6281505197152899E-4</c:v>
                </c:pt>
                <c:pt idx="381">
                  <c:v>8.0095580457010542E-4</c:v>
                </c:pt>
                <c:pt idx="382">
                  <c:v>8.4100359479861075E-4</c:v>
                </c:pt>
                <c:pt idx="383">
                  <c:v>8.8305377453854134E-4</c:v>
                </c:pt>
                <c:pt idx="384">
                  <c:v>9.2720646326546849E-4</c:v>
                </c:pt>
                <c:pt idx="385">
                  <c:v>9.7356678642874193E-4</c:v>
                </c:pt>
                <c:pt idx="386">
                  <c:v>1.0222451257501791E-3</c:v>
                </c:pt>
                <c:pt idx="387">
                  <c:v>1.0733573820376882E-3</c:v>
                </c:pt>
                <c:pt idx="388">
                  <c:v>1.1270252511395727E-3</c:v>
                </c:pt>
                <c:pt idx="389">
                  <c:v>1.1833765136965513E-3</c:v>
                </c:pt>
                <c:pt idx="390">
                  <c:v>1.242545339381379E-3</c:v>
                </c:pt>
                <c:pt idx="391">
                  <c:v>1.3046726063504479E-3</c:v>
                </c:pt>
                <c:pt idx="392">
                  <c:v>1.3699062366679703E-3</c:v>
                </c:pt>
                <c:pt idx="393">
                  <c:v>1.4384015485013688E-3</c:v>
                </c:pt>
                <c:pt idx="394">
                  <c:v>1.438401548501369E-4</c:v>
                </c:pt>
                <c:pt idx="395">
                  <c:v>1.5103216259264375E-4</c:v>
                </c:pt>
                <c:pt idx="396">
                  <c:v>1.5858377072227594E-4</c:v>
                </c:pt>
                <c:pt idx="397">
                  <c:v>1.6651295925838974E-4</c:v>
                </c:pt>
                <c:pt idx="398">
                  <c:v>1.7483860722130923E-4</c:v>
                </c:pt>
                <c:pt idx="399">
                  <c:v>1.8358053758237469E-4</c:v>
                </c:pt>
                <c:pt idx="400">
                  <c:v>1.9275956446149344E-4</c:v>
                </c:pt>
                <c:pt idx="401">
                  <c:v>2.0239754268456812E-4</c:v>
                </c:pt>
                <c:pt idx="402">
                  <c:v>2.1251741981879655E-4</c:v>
                </c:pt>
                <c:pt idx="403">
                  <c:v>2.2314329080973637E-4</c:v>
                </c:pt>
                <c:pt idx="404">
                  <c:v>2.3430045535022322E-4</c:v>
                </c:pt>
                <c:pt idx="405">
                  <c:v>2.460154781177344E-4</c:v>
                </c:pt>
                <c:pt idx="406">
                  <c:v>2.5831625202362113E-4</c:v>
                </c:pt>
                <c:pt idx="407">
                  <c:v>2.7123206462480219E-4</c:v>
                </c:pt>
                <c:pt idx="408">
                  <c:v>2.8479366785604232E-4</c:v>
                </c:pt>
                <c:pt idx="409">
                  <c:v>2.9903335124884444E-4</c:v>
                </c:pt>
                <c:pt idx="410">
                  <c:v>3.139850188112867E-4</c:v>
                </c:pt>
                <c:pt idx="411">
                  <c:v>3.2968426975185107E-4</c:v>
                </c:pt>
                <c:pt idx="412">
                  <c:v>3.4616848323944363E-4</c:v>
                </c:pt>
                <c:pt idx="413">
                  <c:v>3.6347690740141583E-4</c:v>
                </c:pt>
                <c:pt idx="414">
                  <c:v>3.8165075277148662E-4</c:v>
                </c:pt>
                <c:pt idx="415">
                  <c:v>4.0073329041006098E-4</c:v>
                </c:pt>
                <c:pt idx="416">
                  <c:v>4.2076995493056402E-4</c:v>
                </c:pt>
                <c:pt idx="417">
                  <c:v>4.4180845267709223E-4</c:v>
                </c:pt>
                <c:pt idx="418">
                  <c:v>4.6389887531094685E-4</c:v>
                </c:pt>
                <c:pt idx="419">
                  <c:v>4.870938190764942E-4</c:v>
                </c:pt>
                <c:pt idx="420">
                  <c:v>5.1144851003031894E-4</c:v>
                </c:pt>
                <c:pt idx="421">
                  <c:v>5.3702093553183487E-4</c:v>
                </c:pt>
                <c:pt idx="422">
                  <c:v>5.6387198230842663E-4</c:v>
                </c:pt>
                <c:pt idx="423">
                  <c:v>5.92065581423848E-4</c:v>
                </c:pt>
                <c:pt idx="424">
                  <c:v>6.2166886049504037E-4</c:v>
                </c:pt>
                <c:pt idx="425">
                  <c:v>6.5275230351979246E-4</c:v>
                </c:pt>
                <c:pt idx="426">
                  <c:v>6.8538991869578211E-4</c:v>
                </c:pt>
                <c:pt idx="427">
                  <c:v>7.1965941463057129E-4</c:v>
                </c:pt>
                <c:pt idx="428">
                  <c:v>7.5564238536209992E-4</c:v>
                </c:pt>
                <c:pt idx="429">
                  <c:v>7.9342450463020496E-4</c:v>
                </c:pt>
                <c:pt idx="430">
                  <c:v>8.3309572986171529E-4</c:v>
                </c:pt>
                <c:pt idx="431">
                  <c:v>8.7475051635480113E-4</c:v>
                </c:pt>
                <c:pt idx="432">
                  <c:v>9.1848804217254125E-4</c:v>
                </c:pt>
                <c:pt idx="433">
                  <c:v>9.6441244428116838E-4</c:v>
                </c:pt>
                <c:pt idx="434">
                  <c:v>1.0126330664952268E-3</c:v>
                </c:pt>
                <c:pt idx="435">
                  <c:v>1.0632647198199883E-3</c:v>
                </c:pt>
                <c:pt idx="436">
                  <c:v>1.1164279558109878E-3</c:v>
                </c:pt>
                <c:pt idx="437">
                  <c:v>1.1722493536015371E-3</c:v>
                </c:pt>
                <c:pt idx="438">
                  <c:v>1.2308618212816141E-3</c:v>
                </c:pt>
                <c:pt idx="439">
                  <c:v>1.2924049123456949E-3</c:v>
                </c:pt>
                <c:pt idx="440">
                  <c:v>1.2924049123456949E-4</c:v>
                </c:pt>
                <c:pt idx="441">
                  <c:v>1.3570251579629798E-4</c:v>
                </c:pt>
                <c:pt idx="442">
                  <c:v>1.4248764158611288E-4</c:v>
                </c:pt>
                <c:pt idx="443">
                  <c:v>1.4961202366541853E-4</c:v>
                </c:pt>
                <c:pt idx="444">
                  <c:v>1.5709262484868945E-4</c:v>
                </c:pt>
                <c:pt idx="445">
                  <c:v>1.6494725609112392E-4</c:v>
                </c:pt>
                <c:pt idx="446">
                  <c:v>1.7319461889568012E-4</c:v>
                </c:pt>
                <c:pt idx="447">
                  <c:v>1.8185434984046412E-4</c:v>
                </c:pt>
                <c:pt idx="448">
                  <c:v>1.9094706733248734E-4</c:v>
                </c:pt>
                <c:pt idx="449">
                  <c:v>2.004944206991117E-4</c:v>
                </c:pt>
                <c:pt idx="450">
                  <c:v>2.1051914173406729E-4</c:v>
                </c:pt>
                <c:pt idx="451">
                  <c:v>2.2104509882077067E-4</c:v>
                </c:pt>
                <c:pt idx="452">
                  <c:v>2.3209735376180922E-4</c:v>
                </c:pt>
                <c:pt idx="453">
                  <c:v>2.437022214498997E-4</c:v>
                </c:pt>
                <c:pt idx="454">
                  <c:v>2.5588733252239471E-4</c:v>
                </c:pt>
                <c:pt idx="455">
                  <c:v>2.6868169914851447E-4</c:v>
                </c:pt>
                <c:pt idx="456">
                  <c:v>2.8211578410594022E-4</c:v>
                </c:pt>
                <c:pt idx="457">
                  <c:v>2.9622157331123724E-4</c:v>
                </c:pt>
                <c:pt idx="458">
                  <c:v>3.1103265197679909E-4</c:v>
                </c:pt>
                <c:pt idx="459">
                  <c:v>3.2658428457563903E-4</c:v>
                </c:pt>
                <c:pt idx="460">
                  <c:v>3.4291349880442097E-4</c:v>
                </c:pt>
                <c:pt idx="461">
                  <c:v>3.6005917374464202E-4</c:v>
                </c:pt>
                <c:pt idx="462">
                  <c:v>3.7806213243187414E-4</c:v>
                </c:pt>
                <c:pt idx="463">
                  <c:v>3.9696523905346788E-4</c:v>
                </c:pt>
                <c:pt idx="464">
                  <c:v>4.1681350100614129E-4</c:v>
                </c:pt>
                <c:pt idx="465">
                  <c:v>4.3765417605644839E-4</c:v>
                </c:pt>
                <c:pt idx="466">
                  <c:v>4.5953688485927084E-4</c:v>
                </c:pt>
                <c:pt idx="467">
                  <c:v>4.8251372910223443E-4</c:v>
                </c:pt>
                <c:pt idx="468">
                  <c:v>5.0663941555734616E-4</c:v>
                </c:pt>
                <c:pt idx="469">
                  <c:v>5.319713863352135E-4</c:v>
                </c:pt>
                <c:pt idx="470">
                  <c:v>5.5856995565197419E-4</c:v>
                </c:pt>
                <c:pt idx="471">
                  <c:v>5.8649845343457295E-4</c:v>
                </c:pt>
                <c:pt idx="472">
                  <c:v>6.1582337610630164E-4</c:v>
                </c:pt>
                <c:pt idx="473">
                  <c:v>6.466145449116167E-4</c:v>
                </c:pt>
                <c:pt idx="474">
                  <c:v>6.7894527215719752E-4</c:v>
                </c:pt>
                <c:pt idx="475">
                  <c:v>7.1289253576505745E-4</c:v>
                </c:pt>
                <c:pt idx="476">
                  <c:v>7.485371625533103E-4</c:v>
                </c:pt>
                <c:pt idx="477">
                  <c:v>7.8596402068097581E-4</c:v>
                </c:pt>
                <c:pt idx="478">
                  <c:v>7.8596402068097584E-5</c:v>
                </c:pt>
                <c:pt idx="479">
                  <c:v>8.252622217150247E-5</c:v>
                </c:pt>
                <c:pt idx="480">
                  <c:v>8.6652533280077591E-5</c:v>
                </c:pt>
                <c:pt idx="481">
                  <c:v>9.0985159944081468E-5</c:v>
                </c:pt>
                <c:pt idx="482">
                  <c:v>9.553441794128554E-5</c:v>
                </c:pt>
                <c:pt idx="483">
                  <c:v>1.0031113883834982E-4</c:v>
                </c:pt>
                <c:pt idx="484">
                  <c:v>1.0532669578026731E-4</c:v>
                </c:pt>
                <c:pt idx="485">
                  <c:v>1.1059303056928067E-4</c:v>
                </c:pt>
                <c:pt idx="486">
                  <c:v>1.1612268209774471E-4</c:v>
                </c:pt>
                <c:pt idx="487">
                  <c:v>1.2192881620263195E-4</c:v>
                </c:pt>
                <c:pt idx="488">
                  <c:v>1.2802525701276354E-4</c:v>
                </c:pt>
                <c:pt idx="489">
                  <c:v>1.3442651986340172E-4</c:v>
                </c:pt>
                <c:pt idx="490">
                  <c:v>1.4114784585657182E-4</c:v>
                </c:pt>
                <c:pt idx="491">
                  <c:v>1.4820523814940042E-4</c:v>
                </c:pt>
                <c:pt idx="492">
                  <c:v>1.5561550005687046E-4</c:v>
                </c:pt>
                <c:pt idx="493">
                  <c:v>1.63396275059714E-4</c:v>
                </c:pt>
                <c:pt idx="494">
                  <c:v>1.7156608881269971E-4</c:v>
                </c:pt>
                <c:pt idx="495">
                  <c:v>1.8014439325333471E-4</c:v>
                </c:pt>
                <c:pt idx="496">
                  <c:v>1.8915161291600146E-4</c:v>
                </c:pt>
                <c:pt idx="497">
                  <c:v>1.9860919356180155E-4</c:v>
                </c:pt>
                <c:pt idx="498">
                  <c:v>2.0853965323989164E-4</c:v>
                </c:pt>
                <c:pt idx="499">
                  <c:v>2.1896663590188623E-4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38-4D08-B429-E7E33464DCA1}"/>
            </c:ext>
          </c:extLst>
        </c:ser>
        <c:ser>
          <c:idx val="2"/>
          <c:order val="2"/>
          <c:tx>
            <c:strRef>
              <c:f>Iris!$R$1</c:f>
              <c:strCache>
                <c:ptCount val="1"/>
                <c:pt idx="0">
                  <c:v>ADAM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Iris!$R$2:$R$501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</c:numCache>
            </c:numRef>
          </c:xVal>
          <c:yVal>
            <c:numRef>
              <c:f>Iris!$T$2:$T$501</c:f>
              <c:numCache>
                <c:formatCode>General</c:formatCode>
                <c:ptCount val="500"/>
                <c:pt idx="0">
                  <c:v>1E-3</c:v>
                </c:pt>
                <c:pt idx="1">
                  <c:v>1.0500000000000002E-3</c:v>
                </c:pt>
                <c:pt idx="2">
                  <c:v>1.1025000000000002E-3</c:v>
                </c:pt>
                <c:pt idx="3">
                  <c:v>1.1576250000000002E-3</c:v>
                </c:pt>
                <c:pt idx="4">
                  <c:v>1.2155062500000004E-3</c:v>
                </c:pt>
                <c:pt idx="5">
                  <c:v>1.2762815625000006E-3</c:v>
                </c:pt>
                <c:pt idx="6">
                  <c:v>1.3400956406250007E-3</c:v>
                </c:pt>
                <c:pt idx="7">
                  <c:v>1.4071004226562508E-3</c:v>
                </c:pt>
                <c:pt idx="8">
                  <c:v>1.4774554437890634E-3</c:v>
                </c:pt>
                <c:pt idx="9">
                  <c:v>1.5513282159785166E-3</c:v>
                </c:pt>
                <c:pt idx="10">
                  <c:v>1.6288946267774425E-3</c:v>
                </c:pt>
                <c:pt idx="11">
                  <c:v>1.7103393581163148E-3</c:v>
                </c:pt>
                <c:pt idx="12">
                  <c:v>1.7958563260221305E-3</c:v>
                </c:pt>
                <c:pt idx="13">
                  <c:v>1.8856491423232371E-3</c:v>
                </c:pt>
                <c:pt idx="14">
                  <c:v>1.979931599439399E-3</c:v>
                </c:pt>
                <c:pt idx="15">
                  <c:v>2.0789281794113693E-3</c:v>
                </c:pt>
                <c:pt idx="16">
                  <c:v>2.1828745883819378E-3</c:v>
                </c:pt>
                <c:pt idx="17">
                  <c:v>2.2920183178010349E-3</c:v>
                </c:pt>
                <c:pt idx="18">
                  <c:v>2.4066192336910869E-3</c:v>
                </c:pt>
                <c:pt idx="19">
                  <c:v>2.5269501953756415E-3</c:v>
                </c:pt>
                <c:pt idx="20">
                  <c:v>2.6532977051444235E-3</c:v>
                </c:pt>
                <c:pt idx="21">
                  <c:v>2.785962590401645E-3</c:v>
                </c:pt>
                <c:pt idx="22">
                  <c:v>2.9252607199217275E-3</c:v>
                </c:pt>
                <c:pt idx="23">
                  <c:v>3.0715237559178141E-3</c:v>
                </c:pt>
                <c:pt idx="24">
                  <c:v>3.2250999437137048E-3</c:v>
                </c:pt>
                <c:pt idx="25">
                  <c:v>3.3863549408993904E-3</c:v>
                </c:pt>
                <c:pt idx="26">
                  <c:v>3.5556726879443601E-3</c:v>
                </c:pt>
                <c:pt idx="27">
                  <c:v>3.7334563223415784E-3</c:v>
                </c:pt>
                <c:pt idx="28">
                  <c:v>3.9201291384586574E-3</c:v>
                </c:pt>
                <c:pt idx="29">
                  <c:v>4.1161355953815903E-3</c:v>
                </c:pt>
                <c:pt idx="30">
                  <c:v>4.3219423751506697E-3</c:v>
                </c:pt>
                <c:pt idx="31">
                  <c:v>4.5380394939082032E-3</c:v>
                </c:pt>
                <c:pt idx="32">
                  <c:v>4.7649414686036133E-3</c:v>
                </c:pt>
                <c:pt idx="33">
                  <c:v>5.0031885420337941E-3</c:v>
                </c:pt>
                <c:pt idx="34">
                  <c:v>5.2533479691354839E-3</c:v>
                </c:pt>
                <c:pt idx="35">
                  <c:v>5.5160153675922587E-3</c:v>
                </c:pt>
                <c:pt idx="36">
                  <c:v>5.7918161359718718E-3</c:v>
                </c:pt>
                <c:pt idx="37">
                  <c:v>6.081406942770466E-3</c:v>
                </c:pt>
                <c:pt idx="38">
                  <c:v>6.3854772899089897E-3</c:v>
                </c:pt>
                <c:pt idx="39">
                  <c:v>6.7047511544044399E-3</c:v>
                </c:pt>
                <c:pt idx="40">
                  <c:v>6.7047511544044401E-4</c:v>
                </c:pt>
                <c:pt idx="41">
                  <c:v>7.0399887121246627E-4</c:v>
                </c:pt>
                <c:pt idx="42">
                  <c:v>7.0399887121246635E-5</c:v>
                </c:pt>
                <c:pt idx="43">
                  <c:v>7.3919881477308973E-5</c:v>
                </c:pt>
                <c:pt idx="44">
                  <c:v>7.761587555117443E-5</c:v>
                </c:pt>
                <c:pt idx="45">
                  <c:v>8.1496669328733152E-5</c:v>
                </c:pt>
                <c:pt idx="46">
                  <c:v>8.5571502795169809E-5</c:v>
                </c:pt>
                <c:pt idx="47">
                  <c:v>8.9850077934928302E-5</c:v>
                </c:pt>
                <c:pt idx="48">
                  <c:v>9.4342581831674717E-5</c:v>
                </c:pt>
                <c:pt idx="49">
                  <c:v>9.9059710923258456E-5</c:v>
                </c:pt>
                <c:pt idx="50">
                  <c:v>1.0401269646942138E-4</c:v>
                </c:pt>
                <c:pt idx="51">
                  <c:v>1.0921333129289245E-4</c:v>
                </c:pt>
                <c:pt idx="52">
                  <c:v>1.1467399785753708E-4</c:v>
                </c:pt>
                <c:pt idx="53">
                  <c:v>1.2040769775041394E-4</c:v>
                </c:pt>
                <c:pt idx="54">
                  <c:v>1.2642808263793465E-4</c:v>
                </c:pt>
                <c:pt idx="55">
                  <c:v>1.3274948676983138E-4</c:v>
                </c:pt>
                <c:pt idx="56">
                  <c:v>1.3938696110832294E-4</c:v>
                </c:pt>
                <c:pt idx="57">
                  <c:v>1.4635630916373909E-4</c:v>
                </c:pt>
                <c:pt idx="58">
                  <c:v>1.5367412462192605E-4</c:v>
                </c:pt>
                <c:pt idx="59">
                  <c:v>1.6135783085302236E-4</c:v>
                </c:pt>
                <c:pt idx="60">
                  <c:v>1.6942572239567348E-4</c:v>
                </c:pt>
                <c:pt idx="61">
                  <c:v>1.7789700851545716E-4</c:v>
                </c:pt>
                <c:pt idx="62">
                  <c:v>1.8679185894123003E-4</c:v>
                </c:pt>
                <c:pt idx="63">
                  <c:v>1.9613145188829154E-4</c:v>
                </c:pt>
                <c:pt idx="64">
                  <c:v>2.0593802448270614E-4</c:v>
                </c:pt>
                <c:pt idx="65">
                  <c:v>2.1623492570684147E-4</c:v>
                </c:pt>
                <c:pt idx="66">
                  <c:v>2.2704667199218356E-4</c:v>
                </c:pt>
                <c:pt idx="67">
                  <c:v>2.3839900559179274E-4</c:v>
                </c:pt>
                <c:pt idx="68">
                  <c:v>2.503189558713824E-4</c:v>
                </c:pt>
                <c:pt idx="69">
                  <c:v>2.6283490366495155E-4</c:v>
                </c:pt>
                <c:pt idx="70">
                  <c:v>2.7597664884819917E-4</c:v>
                </c:pt>
                <c:pt idx="71">
                  <c:v>2.8977548129060913E-4</c:v>
                </c:pt>
                <c:pt idx="72">
                  <c:v>3.0426425535513959E-4</c:v>
                </c:pt>
                <c:pt idx="73">
                  <c:v>3.194774681228966E-4</c:v>
                </c:pt>
                <c:pt idx="74">
                  <c:v>3.3545134152904144E-4</c:v>
                </c:pt>
                <c:pt idx="75">
                  <c:v>3.522239086054935E-4</c:v>
                </c:pt>
                <c:pt idx="76">
                  <c:v>3.6983510403576817E-4</c:v>
                </c:pt>
                <c:pt idx="77">
                  <c:v>3.8832685923755658E-4</c:v>
                </c:pt>
                <c:pt idx="78">
                  <c:v>4.077432021994344E-4</c:v>
                </c:pt>
                <c:pt idx="79">
                  <c:v>4.2813036230940615E-4</c:v>
                </c:pt>
                <c:pt idx="80">
                  <c:v>4.4953688042487645E-4</c:v>
                </c:pt>
                <c:pt idx="81">
                  <c:v>4.720137244461203E-4</c:v>
                </c:pt>
                <c:pt idx="82">
                  <c:v>4.9561441066842636E-4</c:v>
                </c:pt>
                <c:pt idx="83">
                  <c:v>5.2039513120184767E-4</c:v>
                </c:pt>
                <c:pt idx="84">
                  <c:v>5.4641488776194008E-4</c:v>
                </c:pt>
                <c:pt idx="85">
                  <c:v>5.7373563215003709E-4</c:v>
                </c:pt>
                <c:pt idx="86">
                  <c:v>6.02422413757539E-4</c:v>
                </c:pt>
                <c:pt idx="87">
                  <c:v>6.3254353444541593E-4</c:v>
                </c:pt>
                <c:pt idx="88">
                  <c:v>6.6417071116768676E-4</c:v>
                </c:pt>
                <c:pt idx="89">
                  <c:v>6.9737924672607114E-4</c:v>
                </c:pt>
                <c:pt idx="90">
                  <c:v>7.3224820906237474E-4</c:v>
                </c:pt>
                <c:pt idx="91">
                  <c:v>7.6886061951549349E-4</c:v>
                </c:pt>
                <c:pt idx="92">
                  <c:v>8.0730365049126816E-4</c:v>
                </c:pt>
                <c:pt idx="93">
                  <c:v>8.4766883301583165E-4</c:v>
                </c:pt>
                <c:pt idx="94">
                  <c:v>8.9005227466662322E-4</c:v>
                </c:pt>
                <c:pt idx="95">
                  <c:v>9.3455488839995439E-4</c:v>
                </c:pt>
                <c:pt idx="96">
                  <c:v>9.8128263281995224E-4</c:v>
                </c:pt>
                <c:pt idx="97">
                  <c:v>1.03034676446095E-3</c:v>
                </c:pt>
                <c:pt idx="98">
                  <c:v>1.0818641026839975E-3</c:v>
                </c:pt>
                <c:pt idx="99">
                  <c:v>1.1359573078181973E-3</c:v>
                </c:pt>
                <c:pt idx="100">
                  <c:v>1.1927551732091072E-3</c:v>
                </c:pt>
                <c:pt idx="101">
                  <c:v>1.2523929318695626E-3</c:v>
                </c:pt>
                <c:pt idx="102">
                  <c:v>1.3150125784630409E-3</c:v>
                </c:pt>
                <c:pt idx="103">
                  <c:v>1.380763207386193E-3</c:v>
                </c:pt>
                <c:pt idx="104">
                  <c:v>1.4498013677555026E-3</c:v>
                </c:pt>
                <c:pt idx="105">
                  <c:v>1.5222914361432778E-3</c:v>
                </c:pt>
                <c:pt idx="106">
                  <c:v>1.5984060079504417E-3</c:v>
                </c:pt>
                <c:pt idx="107">
                  <c:v>1.6783263083479639E-3</c:v>
                </c:pt>
                <c:pt idx="108">
                  <c:v>1.7622426237653621E-3</c:v>
                </c:pt>
                <c:pt idx="109">
                  <c:v>1.8503547549536302E-3</c:v>
                </c:pt>
                <c:pt idx="110">
                  <c:v>1.9428724927013118E-3</c:v>
                </c:pt>
                <c:pt idx="111">
                  <c:v>2.0400161173363776E-3</c:v>
                </c:pt>
                <c:pt idx="112">
                  <c:v>2.1420169232031967E-3</c:v>
                </c:pt>
                <c:pt idx="113">
                  <c:v>2.2491177693633566E-3</c:v>
                </c:pt>
                <c:pt idx="114">
                  <c:v>2.3615736578315246E-3</c:v>
                </c:pt>
                <c:pt idx="115">
                  <c:v>2.4796523407231009E-3</c:v>
                </c:pt>
                <c:pt idx="116">
                  <c:v>2.6036349577592561E-3</c:v>
                </c:pt>
                <c:pt idx="117">
                  <c:v>2.7338167056472191E-3</c:v>
                </c:pt>
                <c:pt idx="118">
                  <c:v>2.8705075409295802E-3</c:v>
                </c:pt>
                <c:pt idx="119">
                  <c:v>3.0140329179760591E-3</c:v>
                </c:pt>
                <c:pt idx="120">
                  <c:v>3.1647345638748624E-3</c:v>
                </c:pt>
                <c:pt idx="121">
                  <c:v>3.3229712920686055E-3</c:v>
                </c:pt>
                <c:pt idx="122">
                  <c:v>3.489119856672036E-3</c:v>
                </c:pt>
                <c:pt idx="123">
                  <c:v>3.6635758495056378E-3</c:v>
                </c:pt>
                <c:pt idx="124">
                  <c:v>3.8467546419809198E-3</c:v>
                </c:pt>
                <c:pt idx="125">
                  <c:v>4.039092374079966E-3</c:v>
                </c:pt>
                <c:pt idx="126">
                  <c:v>4.2410469927839645E-3</c:v>
                </c:pt>
                <c:pt idx="127">
                  <c:v>4.453099342423163E-3</c:v>
                </c:pt>
                <c:pt idx="128">
                  <c:v>4.6757543095443214E-3</c:v>
                </c:pt>
                <c:pt idx="129">
                  <c:v>4.909542025021538E-3</c:v>
                </c:pt>
                <c:pt idx="130">
                  <c:v>5.155019126272615E-3</c:v>
                </c:pt>
                <c:pt idx="131">
                  <c:v>5.4127700825862459E-3</c:v>
                </c:pt>
                <c:pt idx="132">
                  <c:v>5.6834085867155581E-3</c:v>
                </c:pt>
                <c:pt idx="133">
                  <c:v>5.9675790160513362E-3</c:v>
                </c:pt>
                <c:pt idx="134">
                  <c:v>6.2659579668539033E-3</c:v>
                </c:pt>
                <c:pt idx="135">
                  <c:v>6.5792558651965984E-3</c:v>
                </c:pt>
                <c:pt idx="136">
                  <c:v>6.908218658456429E-3</c:v>
                </c:pt>
                <c:pt idx="137">
                  <c:v>7.2536295913792504E-3</c:v>
                </c:pt>
                <c:pt idx="138">
                  <c:v>7.6163110709482132E-3</c:v>
                </c:pt>
                <c:pt idx="139">
                  <c:v>7.9971266244956239E-3</c:v>
                </c:pt>
                <c:pt idx="140">
                  <c:v>8.3969829557204046E-3</c:v>
                </c:pt>
                <c:pt idx="141">
                  <c:v>8.3969829557204053E-4</c:v>
                </c:pt>
                <c:pt idx="142">
                  <c:v>8.8168321035064258E-4</c:v>
                </c:pt>
                <c:pt idx="143">
                  <c:v>9.257673708681748E-4</c:v>
                </c:pt>
                <c:pt idx="144">
                  <c:v>9.720557394115836E-4</c:v>
                </c:pt>
                <c:pt idx="145">
                  <c:v>1.0206585263821629E-3</c:v>
                </c:pt>
                <c:pt idx="146">
                  <c:v>1.0716914527012711E-3</c:v>
                </c:pt>
                <c:pt idx="147">
                  <c:v>1.1252760253363347E-3</c:v>
                </c:pt>
                <c:pt idx="148">
                  <c:v>1.1815398266031515E-3</c:v>
                </c:pt>
                <c:pt idx="149">
                  <c:v>1.2406168179333091E-3</c:v>
                </c:pt>
                <c:pt idx="150">
                  <c:v>1.3026476588299746E-3</c:v>
                </c:pt>
                <c:pt idx="151">
                  <c:v>1.3677800417714733E-3</c:v>
                </c:pt>
                <c:pt idx="152">
                  <c:v>1.436169043860047E-3</c:v>
                </c:pt>
                <c:pt idx="153">
                  <c:v>1.5079774960530495E-3</c:v>
                </c:pt>
                <c:pt idx="154">
                  <c:v>1.5833763708557021E-3</c:v>
                </c:pt>
                <c:pt idx="155">
                  <c:v>1.6625451893984872E-3</c:v>
                </c:pt>
                <c:pt idx="156">
                  <c:v>1.7456724488684116E-3</c:v>
                </c:pt>
                <c:pt idx="157">
                  <c:v>1.8329560713118323E-3</c:v>
                </c:pt>
                <c:pt idx="158">
                  <c:v>1.924603874877424E-3</c:v>
                </c:pt>
                <c:pt idx="159">
                  <c:v>2.0208340686212953E-3</c:v>
                </c:pt>
                <c:pt idx="160">
                  <c:v>2.12187577205236E-3</c:v>
                </c:pt>
                <c:pt idx="161">
                  <c:v>2.227969560654978E-3</c:v>
                </c:pt>
                <c:pt idx="162">
                  <c:v>2.3393680386877272E-3</c:v>
                </c:pt>
                <c:pt idx="163">
                  <c:v>2.4563364406221138E-3</c:v>
                </c:pt>
                <c:pt idx="164">
                  <c:v>2.5791532626532197E-3</c:v>
                </c:pt>
                <c:pt idx="165">
                  <c:v>2.7081109257858808E-3</c:v>
                </c:pt>
                <c:pt idx="166">
                  <c:v>2.8435164720751749E-3</c:v>
                </c:pt>
                <c:pt idx="167">
                  <c:v>2.9856922956789339E-3</c:v>
                </c:pt>
                <c:pt idx="168">
                  <c:v>3.1349769104628807E-3</c:v>
                </c:pt>
                <c:pt idx="169">
                  <c:v>3.2917257559860248E-3</c:v>
                </c:pt>
                <c:pt idx="170">
                  <c:v>3.4563120437853261E-3</c:v>
                </c:pt>
                <c:pt idx="171">
                  <c:v>3.6291276459745926E-3</c:v>
                </c:pt>
                <c:pt idx="172">
                  <c:v>3.8105840282733226E-3</c:v>
                </c:pt>
                <c:pt idx="173">
                  <c:v>4.0011132296869888E-3</c:v>
                </c:pt>
                <c:pt idx="174">
                  <c:v>4.201168891171338E-3</c:v>
                </c:pt>
                <c:pt idx="175">
                  <c:v>4.411227335729905E-3</c:v>
                </c:pt>
                <c:pt idx="176">
                  <c:v>4.6317887025164005E-3</c:v>
                </c:pt>
                <c:pt idx="177">
                  <c:v>4.8633781376422203E-3</c:v>
                </c:pt>
                <c:pt idx="178">
                  <c:v>5.1065470445243316E-3</c:v>
                </c:pt>
                <c:pt idx="179">
                  <c:v>5.3618743967505482E-3</c:v>
                </c:pt>
                <c:pt idx="180">
                  <c:v>5.629968116588076E-3</c:v>
                </c:pt>
                <c:pt idx="181">
                  <c:v>5.9114665224174797E-3</c:v>
                </c:pt>
                <c:pt idx="182">
                  <c:v>6.2070398485383543E-3</c:v>
                </c:pt>
                <c:pt idx="183">
                  <c:v>6.5173918409652722E-3</c:v>
                </c:pt>
                <c:pt idx="184">
                  <c:v>6.8432614330135363E-3</c:v>
                </c:pt>
                <c:pt idx="185">
                  <c:v>7.1854245046642133E-3</c:v>
                </c:pt>
                <c:pt idx="186">
                  <c:v>7.185424504664214E-4</c:v>
                </c:pt>
                <c:pt idx="187">
                  <c:v>7.1854245046642137E-5</c:v>
                </c:pt>
                <c:pt idx="188">
                  <c:v>7.5446957298974245E-5</c:v>
                </c:pt>
                <c:pt idx="189">
                  <c:v>7.9219305163922955E-5</c:v>
                </c:pt>
                <c:pt idx="190">
                  <c:v>8.3180270422119105E-5</c:v>
                </c:pt>
                <c:pt idx="191">
                  <c:v>8.7339283943225064E-5</c:v>
                </c:pt>
                <c:pt idx="192">
                  <c:v>9.1706248140386323E-5</c:v>
                </c:pt>
                <c:pt idx="193">
                  <c:v>9.6291560547405642E-5</c:v>
                </c:pt>
                <c:pt idx="194">
                  <c:v>1.0110613857477593E-4</c:v>
                </c:pt>
                <c:pt idx="195">
                  <c:v>1.0616144550351472E-4</c:v>
                </c:pt>
                <c:pt idx="196">
                  <c:v>1.1146951777869046E-4</c:v>
                </c:pt>
                <c:pt idx="197">
                  <c:v>1.1704299366762498E-4</c:v>
                </c:pt>
                <c:pt idx="198">
                  <c:v>1.2289514335100623E-4</c:v>
                </c:pt>
                <c:pt idx="199">
                  <c:v>1.2903990051855654E-4</c:v>
                </c:pt>
                <c:pt idx="200">
                  <c:v>1.3549189554448439E-4</c:v>
                </c:pt>
                <c:pt idx="201">
                  <c:v>1.4226649032170861E-4</c:v>
                </c:pt>
                <c:pt idx="202">
                  <c:v>1.4937981483779405E-4</c:v>
                </c:pt>
                <c:pt idx="203">
                  <c:v>1.5684880557968376E-4</c:v>
                </c:pt>
                <c:pt idx="204">
                  <c:v>1.6469124585866796E-4</c:v>
                </c:pt>
                <c:pt idx="205">
                  <c:v>1.7292580815160137E-4</c:v>
                </c:pt>
                <c:pt idx="206">
                  <c:v>1.8157209855918145E-4</c:v>
                </c:pt>
                <c:pt idx="207">
                  <c:v>1.9065070348714053E-4</c:v>
                </c:pt>
                <c:pt idx="208">
                  <c:v>2.0018323866149756E-4</c:v>
                </c:pt>
                <c:pt idx="209">
                  <c:v>2.1019240059457246E-4</c:v>
                </c:pt>
                <c:pt idx="210">
                  <c:v>2.207020206243011E-4</c:v>
                </c:pt>
                <c:pt idx="211">
                  <c:v>2.3173712165551615E-4</c:v>
                </c:pt>
                <c:pt idx="212">
                  <c:v>2.4332397773829198E-4</c:v>
                </c:pt>
                <c:pt idx="213">
                  <c:v>2.5549017662520658E-4</c:v>
                </c:pt>
                <c:pt idx="214">
                  <c:v>2.6826468545646691E-4</c:v>
                </c:pt>
                <c:pt idx="215">
                  <c:v>2.8167791972929027E-4</c:v>
                </c:pt>
                <c:pt idx="216">
                  <c:v>2.9576181571575478E-4</c:v>
                </c:pt>
                <c:pt idx="217">
                  <c:v>3.1054990650154253E-4</c:v>
                </c:pt>
                <c:pt idx="218">
                  <c:v>3.260774018266197E-4</c:v>
                </c:pt>
                <c:pt idx="219">
                  <c:v>3.4238127191795072E-4</c:v>
                </c:pt>
                <c:pt idx="220">
                  <c:v>3.5950033551384827E-4</c:v>
                </c:pt>
                <c:pt idx="221">
                  <c:v>3.7747535228954069E-4</c:v>
                </c:pt>
                <c:pt idx="222">
                  <c:v>3.9634911990401775E-4</c:v>
                </c:pt>
                <c:pt idx="223">
                  <c:v>4.1616657589921865E-4</c:v>
                </c:pt>
                <c:pt idx="224">
                  <c:v>4.3697490469417962E-4</c:v>
                </c:pt>
                <c:pt idx="225">
                  <c:v>4.5882364992888862E-4</c:v>
                </c:pt>
                <c:pt idx="226">
                  <c:v>4.8176483242533307E-4</c:v>
                </c:pt>
                <c:pt idx="227">
                  <c:v>5.058530740465997E-4</c:v>
                </c:pt>
                <c:pt idx="228">
                  <c:v>5.3114572774892971E-4</c:v>
                </c:pt>
                <c:pt idx="229">
                  <c:v>5.577030141363762E-4</c:v>
                </c:pt>
                <c:pt idx="230">
                  <c:v>5.8558816484319503E-4</c:v>
                </c:pt>
                <c:pt idx="231">
                  <c:v>6.1486757308535484E-4</c:v>
                </c:pt>
                <c:pt idx="232">
                  <c:v>6.4561095173962257E-4</c:v>
                </c:pt>
                <c:pt idx="233">
                  <c:v>6.7789149932660374E-4</c:v>
                </c:pt>
                <c:pt idx="234">
                  <c:v>7.1178607429293395E-4</c:v>
                </c:pt>
                <c:pt idx="235">
                  <c:v>7.4737537800758063E-4</c:v>
                </c:pt>
                <c:pt idx="236">
                  <c:v>7.8474414690795974E-4</c:v>
                </c:pt>
                <c:pt idx="237">
                  <c:v>8.2398135425335777E-4</c:v>
                </c:pt>
                <c:pt idx="238">
                  <c:v>8.6518042196602571E-4</c:v>
                </c:pt>
                <c:pt idx="239">
                  <c:v>9.0843944306432702E-4</c:v>
                </c:pt>
                <c:pt idx="240">
                  <c:v>9.5386141521754337E-4</c:v>
                </c:pt>
                <c:pt idx="241">
                  <c:v>1.0015544859784205E-3</c:v>
                </c:pt>
                <c:pt idx="242">
                  <c:v>1.0015544859784205E-4</c:v>
                </c:pt>
                <c:pt idx="243">
                  <c:v>1.0516322102773416E-4</c:v>
                </c:pt>
                <c:pt idx="244">
                  <c:v>1.1042138207912087E-4</c:v>
                </c:pt>
                <c:pt idx="245">
                  <c:v>1.1594245118307692E-4</c:v>
                </c:pt>
                <c:pt idx="246">
                  <c:v>1.2173957374223078E-4</c:v>
                </c:pt>
                <c:pt idx="247">
                  <c:v>1.2782655242934231E-4</c:v>
                </c:pt>
                <c:pt idx="248">
                  <c:v>1.3421788005080944E-4</c:v>
                </c:pt>
                <c:pt idx="249">
                  <c:v>1.4092877405334992E-4</c:v>
                </c:pt>
                <c:pt idx="250">
                  <c:v>1.4797521275601743E-4</c:v>
                </c:pt>
                <c:pt idx="251">
                  <c:v>1.5537397339381831E-4</c:v>
                </c:pt>
                <c:pt idx="252">
                  <c:v>1.6314267206350925E-4</c:v>
                </c:pt>
                <c:pt idx="253">
                  <c:v>1.7129980566668471E-4</c:v>
                </c:pt>
                <c:pt idx="254">
                  <c:v>1.7986479595001896E-4</c:v>
                </c:pt>
                <c:pt idx="255">
                  <c:v>1.8885803574751991E-4</c:v>
                </c:pt>
                <c:pt idx="256">
                  <c:v>1.983009375348959E-4</c:v>
                </c:pt>
                <c:pt idx="257">
                  <c:v>2.082159844116407E-4</c:v>
                </c:pt>
                <c:pt idx="258">
                  <c:v>2.1862678363222275E-4</c:v>
                </c:pt>
                <c:pt idx="259">
                  <c:v>2.295581228138339E-4</c:v>
                </c:pt>
                <c:pt idx="260">
                  <c:v>2.410360289545256E-4</c:v>
                </c:pt>
                <c:pt idx="261">
                  <c:v>2.5308783040225188E-4</c:v>
                </c:pt>
                <c:pt idx="262">
                  <c:v>2.6574222192236451E-4</c:v>
                </c:pt>
                <c:pt idx="263">
                  <c:v>2.7902933301848277E-4</c:v>
                </c:pt>
                <c:pt idx="264">
                  <c:v>2.9298079966940695E-4</c:v>
                </c:pt>
                <c:pt idx="265">
                  <c:v>3.076298396528773E-4</c:v>
                </c:pt>
                <c:pt idx="266">
                  <c:v>3.2301133163552118E-4</c:v>
                </c:pt>
                <c:pt idx="267">
                  <c:v>3.3916189821729724E-4</c:v>
                </c:pt>
                <c:pt idx="268">
                  <c:v>3.5611999312816213E-4</c:v>
                </c:pt>
                <c:pt idx="269">
                  <c:v>3.7392599278457026E-4</c:v>
                </c:pt>
                <c:pt idx="270">
                  <c:v>3.9262229242379879E-4</c:v>
                </c:pt>
                <c:pt idx="271">
                  <c:v>4.1225340704498876E-4</c:v>
                </c:pt>
                <c:pt idx="272">
                  <c:v>4.3286607739723821E-4</c:v>
                </c:pt>
                <c:pt idx="273">
                  <c:v>4.5450938126710016E-4</c:v>
                </c:pt>
                <c:pt idx="274">
                  <c:v>4.7723485033045518E-4</c:v>
                </c:pt>
                <c:pt idx="275">
                  <c:v>5.0109659284697792E-4</c:v>
                </c:pt>
                <c:pt idx="276">
                  <c:v>5.2615142248932682E-4</c:v>
                </c:pt>
                <c:pt idx="277">
                  <c:v>5.5245899361379316E-4</c:v>
                </c:pt>
                <c:pt idx="278">
                  <c:v>5.8008194329448287E-4</c:v>
                </c:pt>
                <c:pt idx="279">
                  <c:v>6.0908604045920706E-4</c:v>
                </c:pt>
                <c:pt idx="280">
                  <c:v>6.3954034248216748E-4</c:v>
                </c:pt>
                <c:pt idx="281">
                  <c:v>6.7151735960627591E-4</c:v>
                </c:pt>
                <c:pt idx="282">
                  <c:v>7.0509322758658972E-4</c:v>
                </c:pt>
                <c:pt idx="283">
                  <c:v>7.4034788896591925E-4</c:v>
                </c:pt>
                <c:pt idx="284">
                  <c:v>7.773652834142153E-4</c:v>
                </c:pt>
                <c:pt idx="285">
                  <c:v>8.1623354758492605E-4</c:v>
                </c:pt>
                <c:pt idx="286">
                  <c:v>8.1623354758492616E-5</c:v>
                </c:pt>
                <c:pt idx="287">
                  <c:v>8.1623354758492613E-6</c:v>
                </c:pt>
                <c:pt idx="288">
                  <c:v>8.5704522496417251E-6</c:v>
                </c:pt>
                <c:pt idx="289">
                  <c:v>8.9989748621238119E-6</c:v>
                </c:pt>
                <c:pt idx="290">
                  <c:v>9.4489236052300027E-6</c:v>
                </c:pt>
                <c:pt idx="291">
                  <c:v>9.921369785491504E-6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38-4D08-B429-E7E33464D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461935"/>
        <c:axId val="1714462415"/>
      </c:scatterChart>
      <c:valAx>
        <c:axId val="1714461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2415"/>
        <c:crosses val="autoZero"/>
        <c:crossBetween val="midCat"/>
      </c:valAx>
      <c:valAx>
        <c:axId val="1714462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19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4095138888889"/>
          <c:y val="0.12341712962962968"/>
          <c:w val="0.47099351851851851"/>
          <c:h val="0.10119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Iris!$AF$1</c:f>
              <c:strCache>
                <c:ptCount val="1"/>
                <c:pt idx="0">
                  <c:v>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Iris!$AE$2:$AE$102</c:f>
              <c:numCache>
                <c:formatCode>General</c:formatCode>
                <c:ptCount val="101"/>
                <c:pt idx="0">
                  <c:v>0.35000000000000014</c:v>
                </c:pt>
                <c:pt idx="1">
                  <c:v>0.3000000000000001</c:v>
                </c:pt>
                <c:pt idx="2">
                  <c:v>0.34000000000000014</c:v>
                </c:pt>
                <c:pt idx="3">
                  <c:v>0.9200000000000006</c:v>
                </c:pt>
                <c:pt idx="4">
                  <c:v>0.99000000000000066</c:v>
                </c:pt>
                <c:pt idx="5">
                  <c:v>0.04</c:v>
                </c:pt>
                <c:pt idx="6">
                  <c:v>0.80000000000000049</c:v>
                </c:pt>
                <c:pt idx="7">
                  <c:v>0.75000000000000044</c:v>
                </c:pt>
                <c:pt idx="8">
                  <c:v>7.0000000000000007E-2</c:v>
                </c:pt>
                <c:pt idx="9">
                  <c:v>0.73000000000000043</c:v>
                </c:pt>
                <c:pt idx="10">
                  <c:v>0.82000000000000051</c:v>
                </c:pt>
                <c:pt idx="11">
                  <c:v>0.96000000000000063</c:v>
                </c:pt>
                <c:pt idx="12">
                  <c:v>0.19000000000000003</c:v>
                </c:pt>
                <c:pt idx="13">
                  <c:v>0.42000000000000021</c:v>
                </c:pt>
                <c:pt idx="14">
                  <c:v>0.33000000000000013</c:v>
                </c:pt>
                <c:pt idx="15">
                  <c:v>0.20000000000000004</c:v>
                </c:pt>
                <c:pt idx="16">
                  <c:v>0.89000000000000057</c:v>
                </c:pt>
                <c:pt idx="17">
                  <c:v>0.50000000000000022</c:v>
                </c:pt>
                <c:pt idx="18">
                  <c:v>0.78000000000000047</c:v>
                </c:pt>
                <c:pt idx="19">
                  <c:v>0.52000000000000024</c:v>
                </c:pt>
                <c:pt idx="20">
                  <c:v>0.36000000000000015</c:v>
                </c:pt>
                <c:pt idx="21">
                  <c:v>0.9300000000000006</c:v>
                </c:pt>
                <c:pt idx="22">
                  <c:v>0.58000000000000029</c:v>
                </c:pt>
                <c:pt idx="23">
                  <c:v>9.9999999999999992E-2</c:v>
                </c:pt>
                <c:pt idx="24">
                  <c:v>0.71000000000000041</c:v>
                </c:pt>
                <c:pt idx="25">
                  <c:v>0.16</c:v>
                </c:pt>
                <c:pt idx="26">
                  <c:v>0.40000000000000019</c:v>
                </c:pt>
                <c:pt idx="27">
                  <c:v>0.44000000000000022</c:v>
                </c:pt>
                <c:pt idx="28">
                  <c:v>0.43000000000000022</c:v>
                </c:pt>
                <c:pt idx="29">
                  <c:v>0.49000000000000027</c:v>
                </c:pt>
                <c:pt idx="30">
                  <c:v>0.28000000000000008</c:v>
                </c:pt>
                <c:pt idx="31">
                  <c:v>0.23000000000000007</c:v>
                </c:pt>
                <c:pt idx="32">
                  <c:v>0.18000000000000002</c:v>
                </c:pt>
                <c:pt idx="33">
                  <c:v>0.76000000000000045</c:v>
                </c:pt>
                <c:pt idx="34">
                  <c:v>0.13999999999999999</c:v>
                </c:pt>
                <c:pt idx="35">
                  <c:v>0.38000000000000017</c:v>
                </c:pt>
                <c:pt idx="36">
                  <c:v>0.87000000000000055</c:v>
                </c:pt>
                <c:pt idx="37">
                  <c:v>0.90000000000000058</c:v>
                </c:pt>
                <c:pt idx="38">
                  <c:v>0.86000000000000054</c:v>
                </c:pt>
                <c:pt idx="39">
                  <c:v>0.46000000000000024</c:v>
                </c:pt>
                <c:pt idx="40">
                  <c:v>0.62000000000000033</c:v>
                </c:pt>
                <c:pt idx="41">
                  <c:v>0.27000000000000007</c:v>
                </c:pt>
                <c:pt idx="42">
                  <c:v>0.31000000000000011</c:v>
                </c:pt>
                <c:pt idx="43">
                  <c:v>0.32000000000000012</c:v>
                </c:pt>
                <c:pt idx="44">
                  <c:v>0.21000000000000005</c:v>
                </c:pt>
                <c:pt idx="45">
                  <c:v>0.10999999999999999</c:v>
                </c:pt>
                <c:pt idx="46">
                  <c:v>0.55000000000000027</c:v>
                </c:pt>
                <c:pt idx="47">
                  <c:v>0.47000000000000025</c:v>
                </c:pt>
                <c:pt idx="48">
                  <c:v>0.39000000000000018</c:v>
                </c:pt>
                <c:pt idx="49">
                  <c:v>0.26000000000000006</c:v>
                </c:pt>
                <c:pt idx="50">
                  <c:v>0.51000000000000023</c:v>
                </c:pt>
                <c:pt idx="51">
                  <c:v>0.11999999999999998</c:v>
                </c:pt>
                <c:pt idx="52">
                  <c:v>0.53000000000000025</c:v>
                </c:pt>
                <c:pt idx="53">
                  <c:v>0.83000000000000052</c:v>
                </c:pt>
                <c:pt idx="54">
                  <c:v>0.7000000000000004</c:v>
                </c:pt>
                <c:pt idx="55">
                  <c:v>0.56000000000000028</c:v>
                </c:pt>
                <c:pt idx="56">
                  <c:v>0.69000000000000039</c:v>
                </c:pt>
                <c:pt idx="57">
                  <c:v>0.91000000000000059</c:v>
                </c:pt>
                <c:pt idx="58">
                  <c:v>0.17</c:v>
                </c:pt>
                <c:pt idx="59">
                  <c:v>0.12999999999999998</c:v>
                </c:pt>
                <c:pt idx="60">
                  <c:v>0.72000000000000042</c:v>
                </c:pt>
                <c:pt idx="61">
                  <c:v>0.08</c:v>
                </c:pt>
                <c:pt idx="62">
                  <c:v>0.74000000000000044</c:v>
                </c:pt>
                <c:pt idx="63">
                  <c:v>0.98000000000000065</c:v>
                </c:pt>
                <c:pt idx="64">
                  <c:v>0.03</c:v>
                </c:pt>
                <c:pt idx="65">
                  <c:v>0.5900000000000003</c:v>
                </c:pt>
                <c:pt idx="66">
                  <c:v>0.45000000000000023</c:v>
                </c:pt>
                <c:pt idx="67">
                  <c:v>0.48000000000000026</c:v>
                </c:pt>
                <c:pt idx="68">
                  <c:v>0.67000000000000037</c:v>
                </c:pt>
                <c:pt idx="69">
                  <c:v>0.94000000000000061</c:v>
                </c:pt>
                <c:pt idx="70">
                  <c:v>0.02</c:v>
                </c:pt>
                <c:pt idx="71">
                  <c:v>6.0000000000000005E-2</c:v>
                </c:pt>
                <c:pt idx="72">
                  <c:v>0.57000000000000028</c:v>
                </c:pt>
                <c:pt idx="73">
                  <c:v>0.63000000000000034</c:v>
                </c:pt>
                <c:pt idx="74">
                  <c:v>0.61000000000000032</c:v>
                </c:pt>
                <c:pt idx="75">
                  <c:v>0</c:v>
                </c:pt>
                <c:pt idx="76">
                  <c:v>0.15</c:v>
                </c:pt>
                <c:pt idx="77">
                  <c:v>1.0000000000000007</c:v>
                </c:pt>
                <c:pt idx="78">
                  <c:v>0.37000000000000016</c:v>
                </c:pt>
                <c:pt idx="79">
                  <c:v>0.4100000000000002</c:v>
                </c:pt>
                <c:pt idx="80">
                  <c:v>0.22000000000000006</c:v>
                </c:pt>
                <c:pt idx="81">
                  <c:v>0.84000000000000052</c:v>
                </c:pt>
                <c:pt idx="82">
                  <c:v>0.66000000000000036</c:v>
                </c:pt>
                <c:pt idx="83">
                  <c:v>0.29000000000000009</c:v>
                </c:pt>
                <c:pt idx="84">
                  <c:v>0.77000000000000046</c:v>
                </c:pt>
                <c:pt idx="85">
                  <c:v>0.54000000000000026</c:v>
                </c:pt>
                <c:pt idx="86">
                  <c:v>0.95000000000000062</c:v>
                </c:pt>
                <c:pt idx="87">
                  <c:v>0.68000000000000038</c:v>
                </c:pt>
                <c:pt idx="88">
                  <c:v>0.79000000000000048</c:v>
                </c:pt>
                <c:pt idx="89">
                  <c:v>0.65000000000000036</c:v>
                </c:pt>
                <c:pt idx="90">
                  <c:v>0.09</c:v>
                </c:pt>
                <c:pt idx="91">
                  <c:v>0.24000000000000007</c:v>
                </c:pt>
                <c:pt idx="92">
                  <c:v>0.64000000000000035</c:v>
                </c:pt>
                <c:pt idx="93">
                  <c:v>0.97000000000000064</c:v>
                </c:pt>
                <c:pt idx="94">
                  <c:v>0.8100000000000005</c:v>
                </c:pt>
                <c:pt idx="95">
                  <c:v>0.60000000000000031</c:v>
                </c:pt>
                <c:pt idx="96">
                  <c:v>0.88000000000000056</c:v>
                </c:pt>
                <c:pt idx="97">
                  <c:v>0.01</c:v>
                </c:pt>
                <c:pt idx="98">
                  <c:v>0.05</c:v>
                </c:pt>
                <c:pt idx="99">
                  <c:v>0.25000000000000006</c:v>
                </c:pt>
                <c:pt idx="100">
                  <c:v>0.85000000000000053</c:v>
                </c:pt>
              </c:numCache>
            </c:numRef>
          </c:xVal>
          <c:yVal>
            <c:numRef>
              <c:f>Iris!$AF$2:$AF$102</c:f>
              <c:numCache>
                <c:formatCode>General</c:formatCode>
                <c:ptCount val="101"/>
                <c:pt idx="0">
                  <c:v>-1.5544548452760956</c:v>
                </c:pt>
                <c:pt idx="1">
                  <c:v>-0.61591384657191028</c:v>
                </c:pt>
                <c:pt idx="2">
                  <c:v>-1.3950444955108732</c:v>
                </c:pt>
                <c:pt idx="3">
                  <c:v>-0.33048813093575308</c:v>
                </c:pt>
                <c:pt idx="4">
                  <c:v>1.8300546105888296</c:v>
                </c:pt>
                <c:pt idx="5">
                  <c:v>1.8186485634698273</c:v>
                </c:pt>
                <c:pt idx="6">
                  <c:v>-0.52533593784832744</c:v>
                </c:pt>
                <c:pt idx="7">
                  <c:v>-0.6037830797493724</c:v>
                </c:pt>
                <c:pt idx="8">
                  <c:v>1.3769698209020529</c:v>
                </c:pt>
                <c:pt idx="9">
                  <c:v>0.14729107929989191</c:v>
                </c:pt>
                <c:pt idx="10">
                  <c:v>-0.76994757281236981</c:v>
                </c:pt>
                <c:pt idx="11">
                  <c:v>0.72027335086141797</c:v>
                </c:pt>
                <c:pt idx="12">
                  <c:v>0.96598388666438073</c:v>
                </c:pt>
                <c:pt idx="13">
                  <c:v>-1.7852379687657634</c:v>
                </c:pt>
                <c:pt idx="14">
                  <c:v>-0.93376245019082815</c:v>
                </c:pt>
                <c:pt idx="15">
                  <c:v>8.0485212916618656E-2</c:v>
                </c:pt>
                <c:pt idx="16">
                  <c:v>-0.67682087855348982</c:v>
                </c:pt>
                <c:pt idx="17">
                  <c:v>-0.39290869424875774</c:v>
                </c:pt>
                <c:pt idx="18">
                  <c:v>-0.98681875190269575</c:v>
                </c:pt>
                <c:pt idx="19">
                  <c:v>6.4308257905106248E-2</c:v>
                </c:pt>
                <c:pt idx="20">
                  <c:v>-1.3902450054933866</c:v>
                </c:pt>
                <c:pt idx="21">
                  <c:v>-3.0530543833434357E-2</c:v>
                </c:pt>
                <c:pt idx="22">
                  <c:v>-7.1093975163189244E-2</c:v>
                </c:pt>
                <c:pt idx="23">
                  <c:v>1.3791795964365074</c:v>
                </c:pt>
                <c:pt idx="24">
                  <c:v>-0.3905952026984042</c:v>
                </c:pt>
                <c:pt idx="25">
                  <c:v>1.3144000807026794</c:v>
                </c:pt>
                <c:pt idx="26">
                  <c:v>-1.7027509056411636</c:v>
                </c:pt>
                <c:pt idx="27">
                  <c:v>-1.3668948913591217</c:v>
                </c:pt>
                <c:pt idx="28">
                  <c:v>-1.2056769958121596</c:v>
                </c:pt>
                <c:pt idx="29">
                  <c:v>-1.1538808626920265</c:v>
                </c:pt>
                <c:pt idx="30">
                  <c:v>-0.66020255830828056</c:v>
                </c:pt>
                <c:pt idx="31">
                  <c:v>-4.1548989416199569E-2</c:v>
                </c:pt>
                <c:pt idx="32">
                  <c:v>0.89150683846706236</c:v>
                </c:pt>
                <c:pt idx="33">
                  <c:v>-0.39809084462793204</c:v>
                </c:pt>
                <c:pt idx="34">
                  <c:v>0.89803675613146738</c:v>
                </c:pt>
                <c:pt idx="35">
                  <c:v>-1.7917624268449821</c:v>
                </c:pt>
                <c:pt idx="36">
                  <c:v>-0.87528665264445038</c:v>
                </c:pt>
                <c:pt idx="37">
                  <c:v>-0.42527060030863312</c:v>
                </c:pt>
                <c:pt idx="38">
                  <c:v>-0.85076431090730442</c:v>
                </c:pt>
                <c:pt idx="39">
                  <c:v>-0.9709511362109251</c:v>
                </c:pt>
                <c:pt idx="40">
                  <c:v>0.26751905927586772</c:v>
                </c:pt>
                <c:pt idx="41">
                  <c:v>-0.96662666902966632</c:v>
                </c:pt>
                <c:pt idx="42">
                  <c:v>-1.5462311780104703</c:v>
                </c:pt>
                <c:pt idx="43">
                  <c:v>-1.329852558034371</c:v>
                </c:pt>
                <c:pt idx="44">
                  <c:v>0.48957904940925523</c:v>
                </c:pt>
                <c:pt idx="45">
                  <c:v>0.98760010564206324</c:v>
                </c:pt>
                <c:pt idx="46">
                  <c:v>-0.43597909668473295</c:v>
                </c:pt>
                <c:pt idx="47">
                  <c:v>-0.5545597777602792</c:v>
                </c:pt>
                <c:pt idx="48">
                  <c:v>-1.3188145780024696</c:v>
                </c:pt>
                <c:pt idx="49">
                  <c:v>-1.0060189757556215E-2</c:v>
                </c:pt>
                <c:pt idx="50">
                  <c:v>-0.91869269247967678</c:v>
                </c:pt>
                <c:pt idx="51">
                  <c:v>1.1976128997196374</c:v>
                </c:pt>
                <c:pt idx="52">
                  <c:v>-3.0053910885582177E-2</c:v>
                </c:pt>
                <c:pt idx="53">
                  <c:v>-0.84917424085816084</c:v>
                </c:pt>
                <c:pt idx="54">
                  <c:v>-0.2156831358240911</c:v>
                </c:pt>
                <c:pt idx="55">
                  <c:v>0.41370488461690746</c:v>
                </c:pt>
                <c:pt idx="56">
                  <c:v>0.42984606124468022</c:v>
                </c:pt>
                <c:pt idx="57">
                  <c:v>-0.44143875995841897</c:v>
                </c:pt>
                <c:pt idx="58">
                  <c:v>1.2355467670262945</c:v>
                </c:pt>
                <c:pt idx="59">
                  <c:v>1.5375939510159269</c:v>
                </c:pt>
                <c:pt idx="60">
                  <c:v>0.12162433168497017</c:v>
                </c:pt>
                <c:pt idx="61">
                  <c:v>1.157200219025156</c:v>
                </c:pt>
                <c:pt idx="62">
                  <c:v>-0.57596623077615894</c:v>
                </c:pt>
                <c:pt idx="63">
                  <c:v>1.1377651354458445</c:v>
                </c:pt>
                <c:pt idx="64">
                  <c:v>2.1165246071389476</c:v>
                </c:pt>
                <c:pt idx="65">
                  <c:v>0.59559107452490845</c:v>
                </c:pt>
                <c:pt idx="66">
                  <c:v>-0.78690256730685904</c:v>
                </c:pt>
                <c:pt idx="67">
                  <c:v>-0.66792027056516245</c:v>
                </c:pt>
                <c:pt idx="68">
                  <c:v>0.3376514676773516</c:v>
                </c:pt>
                <c:pt idx="69">
                  <c:v>-0.17463688069501462</c:v>
                </c:pt>
                <c:pt idx="70">
                  <c:v>1.3158098266487348</c:v>
                </c:pt>
                <c:pt idx="71">
                  <c:v>1.1995894221033272</c:v>
                </c:pt>
                <c:pt idx="72">
                  <c:v>-0.13060897886401746</c:v>
                </c:pt>
                <c:pt idx="73">
                  <c:v>0.80788342254245038</c:v>
                </c:pt>
                <c:pt idx="74">
                  <c:v>0.75806957588300194</c:v>
                </c:pt>
                <c:pt idx="75">
                  <c:v>2.0639404483020409</c:v>
                </c:pt>
                <c:pt idx="76">
                  <c:v>1.2542920509944651</c:v>
                </c:pt>
                <c:pt idx="77">
                  <c:v>1.4584598186017315</c:v>
                </c:pt>
                <c:pt idx="78">
                  <c:v>-1.5553137207229291</c:v>
                </c:pt>
                <c:pt idx="79">
                  <c:v>-1.212424388548184</c:v>
                </c:pt>
                <c:pt idx="80">
                  <c:v>0.56207505153349846</c:v>
                </c:pt>
                <c:pt idx="81">
                  <c:v>-1.2042841006390772</c:v>
                </c:pt>
                <c:pt idx="82">
                  <c:v>0.51571860204728837</c:v>
                </c:pt>
                <c:pt idx="83">
                  <c:v>-0.46602817895844928</c:v>
                </c:pt>
                <c:pt idx="84">
                  <c:v>-0.52895814143836328</c:v>
                </c:pt>
                <c:pt idx="85">
                  <c:v>-0.26263623426867927</c:v>
                </c:pt>
                <c:pt idx="86">
                  <c:v>0.57703042287198059</c:v>
                </c:pt>
                <c:pt idx="87">
                  <c:v>0.495428709292761</c:v>
                </c:pt>
                <c:pt idx="88">
                  <c:v>-0.12711987240511324</c:v>
                </c:pt>
                <c:pt idx="89">
                  <c:v>0.51834428671943988</c:v>
                </c:pt>
                <c:pt idx="90">
                  <c:v>1.8008686691338132</c:v>
                </c:pt>
                <c:pt idx="91">
                  <c:v>-3.0333782777252235E-2</c:v>
                </c:pt>
                <c:pt idx="92">
                  <c:v>0.37766253965129049</c:v>
                </c:pt>
                <c:pt idx="93">
                  <c:v>1.1610505397741118</c:v>
                </c:pt>
                <c:pt idx="94">
                  <c:v>-0.38025752111090411</c:v>
                </c:pt>
                <c:pt idx="95">
                  <c:v>0.77187959722011201</c:v>
                </c:pt>
                <c:pt idx="96">
                  <c:v>-0.72111719830586707</c:v>
                </c:pt>
                <c:pt idx="97">
                  <c:v>1.7813480288249628</c:v>
                </c:pt>
                <c:pt idx="98">
                  <c:v>1.3759563371840533</c:v>
                </c:pt>
                <c:pt idx="99">
                  <c:v>3.9628386015104572E-2</c:v>
                </c:pt>
                <c:pt idx="100">
                  <c:v>-1.0097959941424843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B-425A-A693-4A567B4989AD}"/>
            </c:ext>
          </c:extLst>
        </c:ser>
        <c:ser>
          <c:idx val="1"/>
          <c:order val="1"/>
          <c:tx>
            <c:strRef>
              <c:f>Iris!$AG$1</c:f>
              <c:strCache>
                <c:ptCount val="1"/>
                <c:pt idx="0">
                  <c:v>y_fit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Iris!$AE$2:$AE$102</c:f>
              <c:numCache>
                <c:formatCode>General</c:formatCode>
                <c:ptCount val="101"/>
                <c:pt idx="0">
                  <c:v>0.35000000000000014</c:v>
                </c:pt>
                <c:pt idx="1">
                  <c:v>0.3000000000000001</c:v>
                </c:pt>
                <c:pt idx="2">
                  <c:v>0.34000000000000014</c:v>
                </c:pt>
                <c:pt idx="3">
                  <c:v>0.9200000000000006</c:v>
                </c:pt>
                <c:pt idx="4">
                  <c:v>0.99000000000000066</c:v>
                </c:pt>
                <c:pt idx="5">
                  <c:v>0.04</c:v>
                </c:pt>
                <c:pt idx="6">
                  <c:v>0.80000000000000049</c:v>
                </c:pt>
                <c:pt idx="7">
                  <c:v>0.75000000000000044</c:v>
                </c:pt>
                <c:pt idx="8">
                  <c:v>7.0000000000000007E-2</c:v>
                </c:pt>
                <c:pt idx="9">
                  <c:v>0.73000000000000043</c:v>
                </c:pt>
                <c:pt idx="10">
                  <c:v>0.82000000000000051</c:v>
                </c:pt>
                <c:pt idx="11">
                  <c:v>0.96000000000000063</c:v>
                </c:pt>
                <c:pt idx="12">
                  <c:v>0.19000000000000003</c:v>
                </c:pt>
                <c:pt idx="13">
                  <c:v>0.42000000000000021</c:v>
                </c:pt>
                <c:pt idx="14">
                  <c:v>0.33000000000000013</c:v>
                </c:pt>
                <c:pt idx="15">
                  <c:v>0.20000000000000004</c:v>
                </c:pt>
                <c:pt idx="16">
                  <c:v>0.89000000000000057</c:v>
                </c:pt>
                <c:pt idx="17">
                  <c:v>0.50000000000000022</c:v>
                </c:pt>
                <c:pt idx="18">
                  <c:v>0.78000000000000047</c:v>
                </c:pt>
                <c:pt idx="19">
                  <c:v>0.52000000000000024</c:v>
                </c:pt>
                <c:pt idx="20">
                  <c:v>0.36000000000000015</c:v>
                </c:pt>
                <c:pt idx="21">
                  <c:v>0.9300000000000006</c:v>
                </c:pt>
                <c:pt idx="22">
                  <c:v>0.58000000000000029</c:v>
                </c:pt>
                <c:pt idx="23">
                  <c:v>9.9999999999999992E-2</c:v>
                </c:pt>
                <c:pt idx="24">
                  <c:v>0.71000000000000041</c:v>
                </c:pt>
                <c:pt idx="25">
                  <c:v>0.16</c:v>
                </c:pt>
                <c:pt idx="26">
                  <c:v>0.40000000000000019</c:v>
                </c:pt>
                <c:pt idx="27">
                  <c:v>0.44000000000000022</c:v>
                </c:pt>
                <c:pt idx="28">
                  <c:v>0.43000000000000022</c:v>
                </c:pt>
                <c:pt idx="29">
                  <c:v>0.49000000000000027</c:v>
                </c:pt>
                <c:pt idx="30">
                  <c:v>0.28000000000000008</c:v>
                </c:pt>
                <c:pt idx="31">
                  <c:v>0.23000000000000007</c:v>
                </c:pt>
                <c:pt idx="32">
                  <c:v>0.18000000000000002</c:v>
                </c:pt>
                <c:pt idx="33">
                  <c:v>0.76000000000000045</c:v>
                </c:pt>
                <c:pt idx="34">
                  <c:v>0.13999999999999999</c:v>
                </c:pt>
                <c:pt idx="35">
                  <c:v>0.38000000000000017</c:v>
                </c:pt>
                <c:pt idx="36">
                  <c:v>0.87000000000000055</c:v>
                </c:pt>
                <c:pt idx="37">
                  <c:v>0.90000000000000058</c:v>
                </c:pt>
                <c:pt idx="38">
                  <c:v>0.86000000000000054</c:v>
                </c:pt>
                <c:pt idx="39">
                  <c:v>0.46000000000000024</c:v>
                </c:pt>
                <c:pt idx="40">
                  <c:v>0.62000000000000033</c:v>
                </c:pt>
                <c:pt idx="41">
                  <c:v>0.27000000000000007</c:v>
                </c:pt>
                <c:pt idx="42">
                  <c:v>0.31000000000000011</c:v>
                </c:pt>
                <c:pt idx="43">
                  <c:v>0.32000000000000012</c:v>
                </c:pt>
                <c:pt idx="44">
                  <c:v>0.21000000000000005</c:v>
                </c:pt>
                <c:pt idx="45">
                  <c:v>0.10999999999999999</c:v>
                </c:pt>
                <c:pt idx="46">
                  <c:v>0.55000000000000027</c:v>
                </c:pt>
                <c:pt idx="47">
                  <c:v>0.47000000000000025</c:v>
                </c:pt>
                <c:pt idx="48">
                  <c:v>0.39000000000000018</c:v>
                </c:pt>
                <c:pt idx="49">
                  <c:v>0.26000000000000006</c:v>
                </c:pt>
                <c:pt idx="50">
                  <c:v>0.51000000000000023</c:v>
                </c:pt>
                <c:pt idx="51">
                  <c:v>0.11999999999999998</c:v>
                </c:pt>
                <c:pt idx="52">
                  <c:v>0.53000000000000025</c:v>
                </c:pt>
                <c:pt idx="53">
                  <c:v>0.83000000000000052</c:v>
                </c:pt>
                <c:pt idx="54">
                  <c:v>0.7000000000000004</c:v>
                </c:pt>
                <c:pt idx="55">
                  <c:v>0.56000000000000028</c:v>
                </c:pt>
                <c:pt idx="56">
                  <c:v>0.69000000000000039</c:v>
                </c:pt>
                <c:pt idx="57">
                  <c:v>0.91000000000000059</c:v>
                </c:pt>
                <c:pt idx="58">
                  <c:v>0.17</c:v>
                </c:pt>
                <c:pt idx="59">
                  <c:v>0.12999999999999998</c:v>
                </c:pt>
                <c:pt idx="60">
                  <c:v>0.72000000000000042</c:v>
                </c:pt>
                <c:pt idx="61">
                  <c:v>0.08</c:v>
                </c:pt>
                <c:pt idx="62">
                  <c:v>0.74000000000000044</c:v>
                </c:pt>
                <c:pt idx="63">
                  <c:v>0.98000000000000065</c:v>
                </c:pt>
                <c:pt idx="64">
                  <c:v>0.03</c:v>
                </c:pt>
                <c:pt idx="65">
                  <c:v>0.5900000000000003</c:v>
                </c:pt>
                <c:pt idx="66">
                  <c:v>0.45000000000000023</c:v>
                </c:pt>
                <c:pt idx="67">
                  <c:v>0.48000000000000026</c:v>
                </c:pt>
                <c:pt idx="68">
                  <c:v>0.67000000000000037</c:v>
                </c:pt>
                <c:pt idx="69">
                  <c:v>0.94000000000000061</c:v>
                </c:pt>
                <c:pt idx="70">
                  <c:v>0.02</c:v>
                </c:pt>
                <c:pt idx="71">
                  <c:v>6.0000000000000005E-2</c:v>
                </c:pt>
                <c:pt idx="72">
                  <c:v>0.57000000000000028</c:v>
                </c:pt>
                <c:pt idx="73">
                  <c:v>0.63000000000000034</c:v>
                </c:pt>
                <c:pt idx="74">
                  <c:v>0.61000000000000032</c:v>
                </c:pt>
                <c:pt idx="75">
                  <c:v>0</c:v>
                </c:pt>
                <c:pt idx="76">
                  <c:v>0.15</c:v>
                </c:pt>
                <c:pt idx="77">
                  <c:v>1.0000000000000007</c:v>
                </c:pt>
                <c:pt idx="78">
                  <c:v>0.37000000000000016</c:v>
                </c:pt>
                <c:pt idx="79">
                  <c:v>0.4100000000000002</c:v>
                </c:pt>
                <c:pt idx="80">
                  <c:v>0.22000000000000006</c:v>
                </c:pt>
                <c:pt idx="81">
                  <c:v>0.84000000000000052</c:v>
                </c:pt>
                <c:pt idx="82">
                  <c:v>0.66000000000000036</c:v>
                </c:pt>
                <c:pt idx="83">
                  <c:v>0.29000000000000009</c:v>
                </c:pt>
                <c:pt idx="84">
                  <c:v>0.77000000000000046</c:v>
                </c:pt>
                <c:pt idx="85">
                  <c:v>0.54000000000000026</c:v>
                </c:pt>
                <c:pt idx="86">
                  <c:v>0.95000000000000062</c:v>
                </c:pt>
                <c:pt idx="87">
                  <c:v>0.68000000000000038</c:v>
                </c:pt>
                <c:pt idx="88">
                  <c:v>0.79000000000000048</c:v>
                </c:pt>
                <c:pt idx="89">
                  <c:v>0.65000000000000036</c:v>
                </c:pt>
                <c:pt idx="90">
                  <c:v>0.09</c:v>
                </c:pt>
                <c:pt idx="91">
                  <c:v>0.24000000000000007</c:v>
                </c:pt>
                <c:pt idx="92">
                  <c:v>0.64000000000000035</c:v>
                </c:pt>
                <c:pt idx="93">
                  <c:v>0.97000000000000064</c:v>
                </c:pt>
                <c:pt idx="94">
                  <c:v>0.8100000000000005</c:v>
                </c:pt>
                <c:pt idx="95">
                  <c:v>0.60000000000000031</c:v>
                </c:pt>
                <c:pt idx="96">
                  <c:v>0.88000000000000056</c:v>
                </c:pt>
                <c:pt idx="97">
                  <c:v>0.01</c:v>
                </c:pt>
                <c:pt idx="98">
                  <c:v>0.05</c:v>
                </c:pt>
                <c:pt idx="99">
                  <c:v>0.25000000000000006</c:v>
                </c:pt>
                <c:pt idx="100">
                  <c:v>0.85000000000000053</c:v>
                </c:pt>
              </c:numCache>
            </c:numRef>
          </c:xVal>
          <c:yVal>
            <c:numRef>
              <c:f>Iris!$AG$2:$AG$102</c:f>
              <c:numCache>
                <c:formatCode>General</c:formatCode>
                <c:ptCount val="101"/>
                <c:pt idx="0">
                  <c:v>-1.4258446331422121</c:v>
                </c:pt>
                <c:pt idx="1">
                  <c:v>-0.93413063560085163</c:v>
                </c:pt>
                <c:pt idx="2">
                  <c:v>-1.3582212845857526</c:v>
                </c:pt>
                <c:pt idx="3">
                  <c:v>-0.23072713829319724</c:v>
                </c:pt>
                <c:pt idx="4">
                  <c:v>1.4998148105932572</c:v>
                </c:pt>
                <c:pt idx="5">
                  <c:v>1.5717841929223866</c:v>
                </c:pt>
                <c:pt idx="6">
                  <c:v>-0.73790248730926322</c:v>
                </c:pt>
                <c:pt idx="7">
                  <c:v>-0.30971941532035174</c:v>
                </c:pt>
                <c:pt idx="8">
                  <c:v>1.3933721209687349</c:v>
                </c:pt>
                <c:pt idx="9">
                  <c:v>-0.11678014236883882</c:v>
                </c:pt>
                <c:pt idx="10">
                  <c:v>-0.8471537630178787</c:v>
                </c:pt>
                <c:pt idx="11">
                  <c:v>0.67067494839314179</c:v>
                </c:pt>
                <c:pt idx="12">
                  <c:v>0.79081025150834705</c:v>
                </c:pt>
                <c:pt idx="13">
                  <c:v>-1.4087233943171569</c:v>
                </c:pt>
                <c:pt idx="14">
                  <c:v>-1.2742177603212355</c:v>
                </c:pt>
                <c:pt idx="15">
                  <c:v>0.65203855941156519</c:v>
                </c:pt>
                <c:pt idx="16">
                  <c:v>-0.66403245994310822</c:v>
                </c:pt>
                <c:pt idx="17">
                  <c:v>-0.55688749687923433</c:v>
                </c:pt>
                <c:pt idx="18">
                  <c:v>-0.58530997855709899</c:v>
                </c:pt>
                <c:pt idx="19">
                  <c:v>-0.29982034928854517</c:v>
                </c:pt>
                <c:pt idx="20">
                  <c:v>-1.476360424413798</c:v>
                </c:pt>
                <c:pt idx="21">
                  <c:v>-3.6737312026609459E-2</c:v>
                </c:pt>
                <c:pt idx="22">
                  <c:v>0.31022782653742098</c:v>
                </c:pt>
                <c:pt idx="23">
                  <c:v>1.3216263825327133</c:v>
                </c:pt>
                <c:pt idx="24">
                  <c:v>6.7125355407817722E-2</c:v>
                </c:pt>
                <c:pt idx="25">
                  <c:v>1.1119764365305684</c:v>
                </c:pt>
                <c:pt idx="26">
                  <c:v>-1.5007378752400129</c:v>
                </c:pt>
                <c:pt idx="27">
                  <c:v>-1.2554448652776884</c:v>
                </c:pt>
                <c:pt idx="28">
                  <c:v>-1.339126187435788</c:v>
                </c:pt>
                <c:pt idx="29">
                  <c:v>-0.68644028705080729</c:v>
                </c:pt>
                <c:pt idx="30">
                  <c:v>-0.64727269349109662</c:v>
                </c:pt>
                <c:pt idx="31">
                  <c:v>0.17690144901246185</c:v>
                </c:pt>
                <c:pt idx="32">
                  <c:v>0.91514899914549375</c:v>
                </c:pt>
                <c:pt idx="33">
                  <c:v>-0.40525435044047242</c:v>
                </c:pt>
                <c:pt idx="34">
                  <c:v>1.2342150684038344</c:v>
                </c:pt>
                <c:pt idx="35">
                  <c:v>-1.5242631639491293</c:v>
                </c:pt>
                <c:pt idx="36">
                  <c:v>-0.8264470542599085</c:v>
                </c:pt>
                <c:pt idx="37">
                  <c:v>-0.5450614233408615</c:v>
                </c:pt>
                <c:pt idx="38">
                  <c:v>-0.87164414832331971</c:v>
                </c:pt>
                <c:pt idx="39">
                  <c:v>-1.0521936028937233</c:v>
                </c:pt>
                <c:pt idx="40">
                  <c:v>0.47161669342745682</c:v>
                </c:pt>
                <c:pt idx="41">
                  <c:v>-0.49063495298192095</c:v>
                </c:pt>
                <c:pt idx="42">
                  <c:v>-1.0609708911388651</c:v>
                </c:pt>
                <c:pt idx="43">
                  <c:v>-1.1747626893506578</c:v>
                </c:pt>
                <c:pt idx="44">
                  <c:v>0.50154377914720527</c:v>
                </c:pt>
                <c:pt idx="45">
                  <c:v>1.3087684734190006</c:v>
                </c:pt>
                <c:pt idx="46">
                  <c:v>4.8776344396898708E-2</c:v>
                </c:pt>
                <c:pt idx="47">
                  <c:v>-0.93631501235836367</c:v>
                </c:pt>
                <c:pt idx="48">
                  <c:v>-1.5213455570677468</c:v>
                </c:pt>
                <c:pt idx="49">
                  <c:v>-0.32771136332279127</c:v>
                </c:pt>
                <c:pt idx="50">
                  <c:v>-0.42727176701747993</c:v>
                </c:pt>
                <c:pt idx="51">
                  <c:v>1.2933456927961657</c:v>
                </c:pt>
                <c:pt idx="52">
                  <c:v>-0.17667756584879157</c:v>
                </c:pt>
                <c:pt idx="53">
                  <c:v>-0.88047730628933607</c:v>
                </c:pt>
                <c:pt idx="54">
                  <c:v>0.15161014854587052</c:v>
                </c:pt>
                <c:pt idx="55">
                  <c:v>0.14758162310263145</c:v>
                </c:pt>
                <c:pt idx="56">
                  <c:v>0.22908832666568912</c:v>
                </c:pt>
                <c:pt idx="57">
                  <c:v>-0.40050135220939609</c:v>
                </c:pt>
                <c:pt idx="58">
                  <c:v>1.0227442213473594</c:v>
                </c:pt>
                <c:pt idx="59">
                  <c:v>1.2700605399505136</c:v>
                </c:pt>
                <c:pt idx="60">
                  <c:v>-2.2864800093373105E-2</c:v>
                </c:pt>
                <c:pt idx="61">
                  <c:v>1.3599391055999277</c:v>
                </c:pt>
                <c:pt idx="62">
                  <c:v>-0.21296996104029375</c:v>
                </c:pt>
                <c:pt idx="63">
                  <c:v>1.2163335554827128</c:v>
                </c:pt>
                <c:pt idx="64">
                  <c:v>1.656320907925469</c:v>
                </c:pt>
                <c:pt idx="65">
                  <c:v>0.37195997341766684</c:v>
                </c:pt>
                <c:pt idx="66">
                  <c:v>-1.1592162981020451</c:v>
                </c:pt>
                <c:pt idx="67">
                  <c:v>-0.81366664861815963</c:v>
                </c:pt>
                <c:pt idx="68">
                  <c:v>0.35748034343074409</c:v>
                </c:pt>
                <c:pt idx="69">
                  <c:v>0.17981021752548543</c:v>
                </c:pt>
                <c:pt idx="70">
                  <c:v>1.7510355260066817</c:v>
                </c:pt>
                <c:pt idx="71">
                  <c:v>1.4395213403877989</c:v>
                </c:pt>
                <c:pt idx="72">
                  <c:v>0.23512648493287003</c:v>
                </c:pt>
                <c:pt idx="73">
                  <c:v>0.47582624233755411</c:v>
                </c:pt>
                <c:pt idx="74">
                  <c:v>0.45292753915831696</c:v>
                </c:pt>
                <c:pt idx="75">
                  <c:v>1.9632813046836546</c:v>
                </c:pt>
                <c:pt idx="76">
                  <c:v>1.1822372481090966</c:v>
                </c:pt>
                <c:pt idx="77">
                  <c:v>1.784722674003909</c:v>
                </c:pt>
                <c:pt idx="78">
                  <c:v>-1.509258728859848</c:v>
                </c:pt>
                <c:pt idx="79">
                  <c:v>-1.4629401680651881</c:v>
                </c:pt>
                <c:pt idx="80">
                  <c:v>0.34220378271108842</c:v>
                </c:pt>
                <c:pt idx="81">
                  <c:v>-0.89693250778747569</c:v>
                </c:pt>
                <c:pt idx="82">
                  <c:v>0.40589304933479298</c:v>
                </c:pt>
                <c:pt idx="83">
                  <c:v>-0.79569422868934936</c:v>
                </c:pt>
                <c:pt idx="84">
                  <c:v>-0.49774509368542397</c:v>
                </c:pt>
                <c:pt idx="85">
                  <c:v>-5.9861232690707311E-2</c:v>
                </c:pt>
                <c:pt idx="86">
                  <c:v>0.41659572971349945</c:v>
                </c:pt>
                <c:pt idx="87">
                  <c:v>0.29814816288187984</c:v>
                </c:pt>
                <c:pt idx="88">
                  <c:v>-0.66601953596168073</c:v>
                </c:pt>
                <c:pt idx="89">
                  <c:v>0.44232898174323765</c:v>
                </c:pt>
                <c:pt idx="90">
                  <c:v>1.3371629339356232</c:v>
                </c:pt>
                <c:pt idx="91">
                  <c:v>8.4223976486157426E-3</c:v>
                </c:pt>
                <c:pt idx="92">
                  <c:v>0.46588391983974731</c:v>
                </c:pt>
                <c:pt idx="93">
                  <c:v>0.93855877418896938</c:v>
                </c:pt>
                <c:pt idx="94">
                  <c:v>-0.79895486607076549</c:v>
                </c:pt>
                <c:pt idx="95">
                  <c:v>0.4196601502580819</c:v>
                </c:pt>
                <c:pt idx="96">
                  <c:v>-0.75760265662984949</c:v>
                </c:pt>
                <c:pt idx="97">
                  <c:v>1.8540049898595257</c:v>
                </c:pt>
                <c:pt idx="98">
                  <c:v>1.4991194505538559</c:v>
                </c:pt>
                <c:pt idx="99">
                  <c:v>-0.16060059736690135</c:v>
                </c:pt>
                <c:pt idx="100">
                  <c:v>-0.89459247623568672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FB-425A-A693-4A567B498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777055"/>
        <c:axId val="1703773215"/>
      </c:scatterChart>
      <c:valAx>
        <c:axId val="1703777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73215"/>
        <c:crosses val="autoZero"/>
        <c:crossBetween val="midCat"/>
      </c:valAx>
      <c:valAx>
        <c:axId val="17037732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770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Iris!$AF$1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Iris!$AI$2:$AI$5002</c:f>
              <c:numCache>
                <c:formatCode>General</c:formatCode>
                <c:ptCount val="5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</c:numCache>
            </c:numRef>
          </c:xVal>
          <c:yVal>
            <c:numRef>
              <c:f>Iris!$AJ$2:$AJ$5002</c:f>
              <c:numCache>
                <c:formatCode>General</c:formatCode>
                <c:ptCount val="5001"/>
                <c:pt idx="0">
                  <c:v>0.49761555658668088</c:v>
                </c:pt>
                <c:pt idx="1">
                  <c:v>0.4960268990569231</c:v>
                </c:pt>
                <c:pt idx="2">
                  <c:v>0.47908385530854769</c:v>
                </c:pt>
                <c:pt idx="3">
                  <c:v>0.4703164149170378</c:v>
                </c:pt>
                <c:pt idx="4">
                  <c:v>0.46841715246425208</c:v>
                </c:pt>
                <c:pt idx="5">
                  <c:v>0.4624532273597316</c:v>
                </c:pt>
                <c:pt idx="6">
                  <c:v>0.45892902785562401</c:v>
                </c:pt>
                <c:pt idx="7">
                  <c:v>0.45369209303459801</c:v>
                </c:pt>
                <c:pt idx="8">
                  <c:v>0.45225309676622316</c:v>
                </c:pt>
                <c:pt idx="9">
                  <c:v>0.43396566782845475</c:v>
                </c:pt>
                <c:pt idx="10">
                  <c:v>0.38703427911239968</c:v>
                </c:pt>
                <c:pt idx="11">
                  <c:v>0.37346016450676622</c:v>
                </c:pt>
                <c:pt idx="12">
                  <c:v>0.3309589848488354</c:v>
                </c:pt>
                <c:pt idx="13">
                  <c:v>0.27928028246163156</c:v>
                </c:pt>
                <c:pt idx="14">
                  <c:v>0.23160601561595989</c:v>
                </c:pt>
                <c:pt idx="15">
                  <c:v>0.22917006801396403</c:v>
                </c:pt>
                <c:pt idx="16">
                  <c:v>0.22693791314163836</c:v>
                </c:pt>
                <c:pt idx="17">
                  <c:v>0.22681262244204087</c:v>
                </c:pt>
                <c:pt idx="18">
                  <c:v>0.22677508041000016</c:v>
                </c:pt>
                <c:pt idx="19">
                  <c:v>0.22675433779462259</c:v>
                </c:pt>
                <c:pt idx="20">
                  <c:v>0.22663689882355084</c:v>
                </c:pt>
                <c:pt idx="21">
                  <c:v>0.22641452284161295</c:v>
                </c:pt>
                <c:pt idx="22">
                  <c:v>0.22591955690776411</c:v>
                </c:pt>
                <c:pt idx="23">
                  <c:v>0.2252971657537727</c:v>
                </c:pt>
                <c:pt idx="24">
                  <c:v>0.2247395812055448</c:v>
                </c:pt>
                <c:pt idx="25">
                  <c:v>0.22448134042993279</c:v>
                </c:pt>
                <c:pt idx="26">
                  <c:v>0.22445874993417866</c:v>
                </c:pt>
                <c:pt idx="27">
                  <c:v>0.22442591141147697</c:v>
                </c:pt>
                <c:pt idx="28">
                  <c:v>0.22431523302340473</c:v>
                </c:pt>
                <c:pt idx="29">
                  <c:v>0.22404974091380855</c:v>
                </c:pt>
                <c:pt idx="30">
                  <c:v>0.22337842380572798</c:v>
                </c:pt>
                <c:pt idx="31">
                  <c:v>0.22262664431203935</c:v>
                </c:pt>
                <c:pt idx="32">
                  <c:v>0.22062664851898192</c:v>
                </c:pt>
                <c:pt idx="33">
                  <c:v>0.21522636285255523</c:v>
                </c:pt>
                <c:pt idx="34">
                  <c:v>0.20685219705405264</c:v>
                </c:pt>
                <c:pt idx="35">
                  <c:v>0.20330718166261813</c:v>
                </c:pt>
                <c:pt idx="36">
                  <c:v>0.20102597769975306</c:v>
                </c:pt>
                <c:pt idx="37">
                  <c:v>0.19252774754156052</c:v>
                </c:pt>
                <c:pt idx="38">
                  <c:v>0.18795933734375755</c:v>
                </c:pt>
                <c:pt idx="39">
                  <c:v>0.18045839869486546</c:v>
                </c:pt>
                <c:pt idx="40">
                  <c:v>0.17842611800990929</c:v>
                </c:pt>
                <c:pt idx="41">
                  <c:v>0.17749813810657947</c:v>
                </c:pt>
                <c:pt idx="42">
                  <c:v>0.17733407200296003</c:v>
                </c:pt>
                <c:pt idx="43">
                  <c:v>0.17730789205465128</c:v>
                </c:pt>
                <c:pt idx="44">
                  <c:v>0.17729436182777991</c:v>
                </c:pt>
                <c:pt idx="45">
                  <c:v>0.17727704461867225</c:v>
                </c:pt>
                <c:pt idx="46">
                  <c:v>0.17722917598537674</c:v>
                </c:pt>
                <c:pt idx="47">
                  <c:v>0.17712243937053518</c:v>
                </c:pt>
                <c:pt idx="48">
                  <c:v>0.17686283550658524</c:v>
                </c:pt>
                <c:pt idx="49">
                  <c:v>0.17641031626372461</c:v>
                </c:pt>
                <c:pt idx="50">
                  <c:v>0.17545395839043434</c:v>
                </c:pt>
                <c:pt idx="51">
                  <c:v>0.17371874676042326</c:v>
                </c:pt>
                <c:pt idx="52">
                  <c:v>0.17265210372495951</c:v>
                </c:pt>
                <c:pt idx="53">
                  <c:v>0.17173922890198651</c:v>
                </c:pt>
                <c:pt idx="54">
                  <c:v>0.17053857581988571</c:v>
                </c:pt>
                <c:pt idx="55">
                  <c:v>0.16965391617562003</c:v>
                </c:pt>
                <c:pt idx="56">
                  <c:v>0.16810148494786439</c:v>
                </c:pt>
                <c:pt idx="57">
                  <c:v>0.16748829986551309</c:v>
                </c:pt>
                <c:pt idx="58">
                  <c:v>0.16706058715274974</c:v>
                </c:pt>
                <c:pt idx="59">
                  <c:v>0.16696283430823106</c:v>
                </c:pt>
                <c:pt idx="60">
                  <c:v>0.16686056327177953</c:v>
                </c:pt>
                <c:pt idx="61">
                  <c:v>0.16681907048125544</c:v>
                </c:pt>
                <c:pt idx="62">
                  <c:v>0.16677171882581704</c:v>
                </c:pt>
                <c:pt idx="63">
                  <c:v>0.16672975991806982</c:v>
                </c:pt>
                <c:pt idx="64">
                  <c:v>0.16668919575730795</c:v>
                </c:pt>
                <c:pt idx="65">
                  <c:v>0.16651425087876251</c:v>
                </c:pt>
                <c:pt idx="66">
                  <c:v>0.16610849926805266</c:v>
                </c:pt>
                <c:pt idx="67">
                  <c:v>0.16506970296504189</c:v>
                </c:pt>
                <c:pt idx="68">
                  <c:v>0.16372076470371233</c:v>
                </c:pt>
                <c:pt idx="69">
                  <c:v>0.16195723679128057</c:v>
                </c:pt>
                <c:pt idx="70">
                  <c:v>0.15946004510582271</c:v>
                </c:pt>
                <c:pt idx="71">
                  <c:v>0.15884284305845059</c:v>
                </c:pt>
                <c:pt idx="72">
                  <c:v>0.15829743949618985</c:v>
                </c:pt>
                <c:pt idx="73">
                  <c:v>0.1581131591420194</c:v>
                </c:pt>
                <c:pt idx="74">
                  <c:v>0.15802433570344196</c:v>
                </c:pt>
                <c:pt idx="75">
                  <c:v>0.1579116818658664</c:v>
                </c:pt>
                <c:pt idx="76">
                  <c:v>0.15776716381657044</c:v>
                </c:pt>
                <c:pt idx="77">
                  <c:v>0.15753126749079599</c:v>
                </c:pt>
                <c:pt idx="78">
                  <c:v>0.15737349415385404</c:v>
                </c:pt>
                <c:pt idx="79">
                  <c:v>0.15700141903943046</c:v>
                </c:pt>
                <c:pt idx="80">
                  <c:v>0.15639017087275772</c:v>
                </c:pt>
                <c:pt idx="81">
                  <c:v>0.15514958248081176</c:v>
                </c:pt>
                <c:pt idx="82">
                  <c:v>0.15389507858809107</c:v>
                </c:pt>
                <c:pt idx="83">
                  <c:v>0.15340292258779023</c:v>
                </c:pt>
                <c:pt idx="84">
                  <c:v>0.15181751584973094</c:v>
                </c:pt>
                <c:pt idx="85">
                  <c:v>0.14999587585006807</c:v>
                </c:pt>
                <c:pt idx="86">
                  <c:v>0.14897602981687155</c:v>
                </c:pt>
                <c:pt idx="87">
                  <c:v>0.1472440581613228</c:v>
                </c:pt>
                <c:pt idx="88">
                  <c:v>0.14512110634603986</c:v>
                </c:pt>
                <c:pt idx="89">
                  <c:v>0.14400549845310343</c:v>
                </c:pt>
                <c:pt idx="90">
                  <c:v>0.1430496375621268</c:v>
                </c:pt>
                <c:pt idx="91">
                  <c:v>0.14264217110374475</c:v>
                </c:pt>
                <c:pt idx="92">
                  <c:v>0.14234565604603705</c:v>
                </c:pt>
                <c:pt idx="93">
                  <c:v>0.14230995037747229</c:v>
                </c:pt>
                <c:pt idx="94">
                  <c:v>0.14228618094653761</c:v>
                </c:pt>
                <c:pt idx="95">
                  <c:v>0.1422662839204164</c:v>
                </c:pt>
                <c:pt idx="96">
                  <c:v>0.14222836826614818</c:v>
                </c:pt>
                <c:pt idx="97">
                  <c:v>0.14216856957948482</c:v>
                </c:pt>
                <c:pt idx="98">
                  <c:v>0.14205196167948958</c:v>
                </c:pt>
                <c:pt idx="99">
                  <c:v>0.14187284936287531</c:v>
                </c:pt>
                <c:pt idx="100">
                  <c:v>0.14162044035602661</c:v>
                </c:pt>
                <c:pt idx="101">
                  <c:v>0.14152383630510057</c:v>
                </c:pt>
                <c:pt idx="102">
                  <c:v>0.14107362734944653</c:v>
                </c:pt>
                <c:pt idx="103">
                  <c:v>0.14032534504187635</c:v>
                </c:pt>
                <c:pt idx="104">
                  <c:v>0.13988630471393151</c:v>
                </c:pt>
                <c:pt idx="105">
                  <c:v>0.13928718766658463</c:v>
                </c:pt>
                <c:pt idx="106">
                  <c:v>0.13913770412004733</c:v>
                </c:pt>
                <c:pt idx="107">
                  <c:v>0.13862703152239639</c:v>
                </c:pt>
                <c:pt idx="108">
                  <c:v>0.13850380316365143</c:v>
                </c:pt>
                <c:pt idx="109">
                  <c:v>0.13827639747200693</c:v>
                </c:pt>
                <c:pt idx="110">
                  <c:v>0.13800452647354425</c:v>
                </c:pt>
                <c:pt idx="111">
                  <c:v>0.13777557801133111</c:v>
                </c:pt>
                <c:pt idx="112">
                  <c:v>0.13753731957177684</c:v>
                </c:pt>
                <c:pt idx="113">
                  <c:v>0.13736858049096368</c:v>
                </c:pt>
                <c:pt idx="114">
                  <c:v>0.13717517406080071</c:v>
                </c:pt>
                <c:pt idx="115">
                  <c:v>0.13700920313648074</c:v>
                </c:pt>
                <c:pt idx="116">
                  <c:v>0.13682137803422934</c:v>
                </c:pt>
                <c:pt idx="117">
                  <c:v>0.13652387691215831</c:v>
                </c:pt>
                <c:pt idx="118">
                  <c:v>0.13643282944559373</c:v>
                </c:pt>
                <c:pt idx="119">
                  <c:v>0.13623706796719176</c:v>
                </c:pt>
                <c:pt idx="120">
                  <c:v>0.13613884809642451</c:v>
                </c:pt>
                <c:pt idx="121">
                  <c:v>0.13601341934167507</c:v>
                </c:pt>
                <c:pt idx="122">
                  <c:v>0.13580762160020474</c:v>
                </c:pt>
                <c:pt idx="123">
                  <c:v>0.13565283507690112</c:v>
                </c:pt>
                <c:pt idx="124">
                  <c:v>0.13550812133538759</c:v>
                </c:pt>
                <c:pt idx="125">
                  <c:v>0.13523673908182279</c:v>
                </c:pt>
                <c:pt idx="126">
                  <c:v>0.13492758842802621</c:v>
                </c:pt>
                <c:pt idx="127">
                  <c:v>0.13457261717386232</c:v>
                </c:pt>
                <c:pt idx="128">
                  <c:v>0.13442690868583249</c:v>
                </c:pt>
                <c:pt idx="129">
                  <c:v>0.13360100075201772</c:v>
                </c:pt>
                <c:pt idx="130">
                  <c:v>0.13335506130680841</c:v>
                </c:pt>
                <c:pt idx="131">
                  <c:v>0.13313695764453903</c:v>
                </c:pt>
                <c:pt idx="132">
                  <c:v>0.13288385931308258</c:v>
                </c:pt>
                <c:pt idx="133">
                  <c:v>0.13265015271290587</c:v>
                </c:pt>
                <c:pt idx="134">
                  <c:v>0.13252895265633705</c:v>
                </c:pt>
                <c:pt idx="135">
                  <c:v>0.13246976700010588</c:v>
                </c:pt>
                <c:pt idx="136">
                  <c:v>0.13243653111898596</c:v>
                </c:pt>
                <c:pt idx="137">
                  <c:v>0.13241508260680354</c:v>
                </c:pt>
                <c:pt idx="138">
                  <c:v>0.1323828824547989</c:v>
                </c:pt>
                <c:pt idx="139">
                  <c:v>0.13230879068969154</c:v>
                </c:pt>
                <c:pt idx="140">
                  <c:v>0.13213886430606878</c:v>
                </c:pt>
                <c:pt idx="141">
                  <c:v>0.13178798033970318</c:v>
                </c:pt>
                <c:pt idx="142">
                  <c:v>0.13122554466832603</c:v>
                </c:pt>
                <c:pt idx="143">
                  <c:v>0.13024633668411165</c:v>
                </c:pt>
                <c:pt idx="144">
                  <c:v>0.12914965374667239</c:v>
                </c:pt>
                <c:pt idx="145">
                  <c:v>0.12876740521273261</c:v>
                </c:pt>
                <c:pt idx="146">
                  <c:v>0.12855475755158352</c:v>
                </c:pt>
                <c:pt idx="147">
                  <c:v>0.1283635996529601</c:v>
                </c:pt>
                <c:pt idx="148">
                  <c:v>0.12807134897686473</c:v>
                </c:pt>
                <c:pt idx="149">
                  <c:v>0.12780228610112987</c:v>
                </c:pt>
                <c:pt idx="150">
                  <c:v>0.12758966251199549</c:v>
                </c:pt>
                <c:pt idx="151">
                  <c:v>0.12735574195721108</c:v>
                </c:pt>
                <c:pt idx="152">
                  <c:v>0.12723216151855007</c:v>
                </c:pt>
                <c:pt idx="153">
                  <c:v>0.12714886799269587</c:v>
                </c:pt>
                <c:pt idx="154">
                  <c:v>0.12705777322259595</c:v>
                </c:pt>
                <c:pt idx="155">
                  <c:v>0.1269499263367336</c:v>
                </c:pt>
                <c:pt idx="156">
                  <c:v>0.12682395231558258</c:v>
                </c:pt>
                <c:pt idx="157">
                  <c:v>0.1267050787933072</c:v>
                </c:pt>
                <c:pt idx="158">
                  <c:v>0.12667413814509582</c:v>
                </c:pt>
                <c:pt idx="159">
                  <c:v>0.12664046647833857</c:v>
                </c:pt>
                <c:pt idx="160">
                  <c:v>0.12660994047778873</c:v>
                </c:pt>
                <c:pt idx="161">
                  <c:v>0.12657669537322808</c:v>
                </c:pt>
                <c:pt idx="162">
                  <c:v>0.12652897693024134</c:v>
                </c:pt>
                <c:pt idx="163">
                  <c:v>0.12648220265128379</c:v>
                </c:pt>
                <c:pt idx="164">
                  <c:v>0.1263977419006086</c:v>
                </c:pt>
                <c:pt idx="165">
                  <c:v>0.1262647526553618</c:v>
                </c:pt>
                <c:pt idx="166">
                  <c:v>0.1260283487709189</c:v>
                </c:pt>
                <c:pt idx="167">
                  <c:v>0.12558157907229012</c:v>
                </c:pt>
                <c:pt idx="168">
                  <c:v>0.12452639230652859</c:v>
                </c:pt>
                <c:pt idx="169">
                  <c:v>0.12362068802061263</c:v>
                </c:pt>
                <c:pt idx="170">
                  <c:v>0.12323580545142374</c:v>
                </c:pt>
                <c:pt idx="171">
                  <c:v>0.12220147124600417</c:v>
                </c:pt>
                <c:pt idx="172">
                  <c:v>0.12195952137771184</c:v>
                </c:pt>
                <c:pt idx="173">
                  <c:v>0.12140121812422336</c:v>
                </c:pt>
                <c:pt idx="174">
                  <c:v>0.12108073165639831</c:v>
                </c:pt>
                <c:pt idx="175">
                  <c:v>0.12078533732249475</c:v>
                </c:pt>
                <c:pt idx="176">
                  <c:v>0.12039642824046398</c:v>
                </c:pt>
                <c:pt idx="177">
                  <c:v>0.11995241382935826</c:v>
                </c:pt>
                <c:pt idx="178">
                  <c:v>0.11974300232418859</c:v>
                </c:pt>
                <c:pt idx="179">
                  <c:v>0.11962117394139582</c:v>
                </c:pt>
                <c:pt idx="180">
                  <c:v>0.11948350253779422</c:v>
                </c:pt>
                <c:pt idx="181">
                  <c:v>0.11939019234138255</c:v>
                </c:pt>
                <c:pt idx="182">
                  <c:v>0.11916912997471533</c:v>
                </c:pt>
                <c:pt idx="183">
                  <c:v>0.11868385778587638</c:v>
                </c:pt>
                <c:pt idx="184">
                  <c:v>0.11789966478981811</c:v>
                </c:pt>
                <c:pt idx="185">
                  <c:v>0.11731559667034343</c:v>
                </c:pt>
                <c:pt idx="186">
                  <c:v>0.11632428272979403</c:v>
                </c:pt>
                <c:pt idx="187">
                  <c:v>0.11564612059996064</c:v>
                </c:pt>
                <c:pt idx="188">
                  <c:v>0.11442714122267268</c:v>
                </c:pt>
                <c:pt idx="189">
                  <c:v>0.11379408192723364</c:v>
                </c:pt>
                <c:pt idx="190">
                  <c:v>0.11300047007159916</c:v>
                </c:pt>
                <c:pt idx="191">
                  <c:v>0.11186101910218793</c:v>
                </c:pt>
                <c:pt idx="192">
                  <c:v>0.11038415741695305</c:v>
                </c:pt>
                <c:pt idx="193">
                  <c:v>0.1095289887693749</c:v>
                </c:pt>
                <c:pt idx="194">
                  <c:v>0.10761259670615997</c:v>
                </c:pt>
                <c:pt idx="195">
                  <c:v>0.10587998465722374</c:v>
                </c:pt>
                <c:pt idx="196">
                  <c:v>0.10555513875856895</c:v>
                </c:pt>
                <c:pt idx="197">
                  <c:v>0.1054045444778417</c:v>
                </c:pt>
                <c:pt idx="198">
                  <c:v>0.10507416577475041</c:v>
                </c:pt>
                <c:pt idx="199">
                  <c:v>0.10393724144722466</c:v>
                </c:pt>
                <c:pt idx="200">
                  <c:v>0.10096215118198333</c:v>
                </c:pt>
                <c:pt idx="201">
                  <c:v>9.7692453661681319E-2</c:v>
                </c:pt>
                <c:pt idx="202">
                  <c:v>9.3899580532902885E-2</c:v>
                </c:pt>
                <c:pt idx="203">
                  <c:v>9.0347227785168863E-2</c:v>
                </c:pt>
                <c:pt idx="204">
                  <c:v>8.9294802907500567E-2</c:v>
                </c:pt>
                <c:pt idx="205">
                  <c:v>8.5445890526150467E-2</c:v>
                </c:pt>
                <c:pt idx="206">
                  <c:v>7.8015865911070806E-2</c:v>
                </c:pt>
                <c:pt idx="207">
                  <c:v>7.5672668408779536E-2</c:v>
                </c:pt>
                <c:pt idx="208">
                  <c:v>6.8542000466876779E-2</c:v>
                </c:pt>
                <c:pt idx="209">
                  <c:v>6.0667119515954646E-2</c:v>
                </c:pt>
                <c:pt idx="210">
                  <c:v>5.7963481237582111E-2</c:v>
                </c:pt>
                <c:pt idx="211">
                  <c:v>5.0249829513253623E-2</c:v>
                </c:pt>
                <c:pt idx="212">
                  <c:v>4.4984153735757662E-2</c:v>
                </c:pt>
                <c:pt idx="213">
                  <c:v>4.3519939867540443E-2</c:v>
                </c:pt>
                <c:pt idx="214">
                  <c:v>4.2888897369090039E-2</c:v>
                </c:pt>
                <c:pt idx="215">
                  <c:v>4.2135704999526534E-2</c:v>
                </c:pt>
                <c:pt idx="216">
                  <c:v>4.1821601672813513E-2</c:v>
                </c:pt>
                <c:pt idx="217">
                  <c:v>4.168550577232575E-2</c:v>
                </c:pt>
                <c:pt idx="218">
                  <c:v>4.1407465249338138E-2</c:v>
                </c:pt>
                <c:pt idx="219">
                  <c:v>4.1340216431140178E-2</c:v>
                </c:pt>
                <c:pt idx="220">
                  <c:v>4.1329635041250472E-2</c:v>
                </c:pt>
                <c:pt idx="221">
                  <c:v>4.1326929603927649E-2</c:v>
                </c:pt>
                <c:pt idx="222">
                  <c:v>4.1325124337634481E-2</c:v>
                </c:pt>
                <c:pt idx="223">
                  <c:v>4.132404931873003E-2</c:v>
                </c:pt>
                <c:pt idx="224">
                  <c:v>4.1323538213228941E-2</c:v>
                </c:pt>
                <c:pt idx="225">
                  <c:v>4.1323240258463553E-2</c:v>
                </c:pt>
                <c:pt idx="226">
                  <c:v>4.1322628588534693E-2</c:v>
                </c:pt>
                <c:pt idx="227">
                  <c:v>4.1321129090917147E-2</c:v>
                </c:pt>
                <c:pt idx="228">
                  <c:v>4.1317232819589753E-2</c:v>
                </c:pt>
                <c:pt idx="229">
                  <c:v>4.1307405659759211E-2</c:v>
                </c:pt>
                <c:pt idx="230">
                  <c:v>4.1283657349148503E-2</c:v>
                </c:pt>
                <c:pt idx="231">
                  <c:v>4.1240399273588767E-2</c:v>
                </c:pt>
                <c:pt idx="232">
                  <c:v>4.1188678687795841E-2</c:v>
                </c:pt>
                <c:pt idx="233">
                  <c:v>4.1104735208980329E-2</c:v>
                </c:pt>
                <c:pt idx="234">
                  <c:v>4.1077071296033454E-2</c:v>
                </c:pt>
                <c:pt idx="235">
                  <c:v>4.1068307038213563E-2</c:v>
                </c:pt>
                <c:pt idx="236">
                  <c:v>4.1053443340750527E-2</c:v>
                </c:pt>
                <c:pt idx="237">
                  <c:v>4.1041660302854298E-2</c:v>
                </c:pt>
                <c:pt idx="238">
                  <c:v>4.1028926741989415E-2</c:v>
                </c:pt>
                <c:pt idx="239">
                  <c:v>4.1021444679617727E-2</c:v>
                </c:pt>
                <c:pt idx="240">
                  <c:v>4.1017707814627179E-2</c:v>
                </c:pt>
                <c:pt idx="241">
                  <c:v>4.1014814793878779E-2</c:v>
                </c:pt>
                <c:pt idx="242">
                  <c:v>4.1012741140782995E-2</c:v>
                </c:pt>
                <c:pt idx="243">
                  <c:v>4.1012145926449868E-2</c:v>
                </c:pt>
                <c:pt idx="244">
                  <c:v>4.1011238207337902E-2</c:v>
                </c:pt>
                <c:pt idx="245">
                  <c:v>4.1010336038090622E-2</c:v>
                </c:pt>
                <c:pt idx="246">
                  <c:v>4.1006401503201145E-2</c:v>
                </c:pt>
                <c:pt idx="247">
                  <c:v>4.0998131840764902E-2</c:v>
                </c:pt>
                <c:pt idx="248">
                  <c:v>4.0975271758831908E-2</c:v>
                </c:pt>
                <c:pt idx="249">
                  <c:v>4.0907822091594659E-2</c:v>
                </c:pt>
                <c:pt idx="250">
                  <c:v>4.0893679356038777E-2</c:v>
                </c:pt>
                <c:pt idx="251">
                  <c:v>4.0792857056748684E-2</c:v>
                </c:pt>
                <c:pt idx="252">
                  <c:v>4.0543682526386897E-2</c:v>
                </c:pt>
                <c:pt idx="253">
                  <c:v>4.0190085590106089E-2</c:v>
                </c:pt>
                <c:pt idx="254">
                  <c:v>4.0077574616492778E-2</c:v>
                </c:pt>
                <c:pt idx="255">
                  <c:v>3.9940233309476693E-2</c:v>
                </c:pt>
                <c:pt idx="256">
                  <c:v>3.9639835847231471E-2</c:v>
                </c:pt>
                <c:pt idx="257">
                  <c:v>3.9441259114094004E-2</c:v>
                </c:pt>
                <c:pt idx="258">
                  <c:v>3.9047726647724559E-2</c:v>
                </c:pt>
                <c:pt idx="259">
                  <c:v>3.8865417292052722E-2</c:v>
                </c:pt>
                <c:pt idx="260">
                  <c:v>3.869283247424915E-2</c:v>
                </c:pt>
                <c:pt idx="261">
                  <c:v>3.8648830687075496E-2</c:v>
                </c:pt>
                <c:pt idx="262">
                  <c:v>3.8617042083145939E-2</c:v>
                </c:pt>
                <c:pt idx="263">
                  <c:v>3.8602944746417643E-2</c:v>
                </c:pt>
                <c:pt idx="264">
                  <c:v>3.8601489714753495E-2</c:v>
                </c:pt>
                <c:pt idx="265">
                  <c:v>3.8599820130858789E-2</c:v>
                </c:pt>
                <c:pt idx="266">
                  <c:v>3.859691860374443E-2</c:v>
                </c:pt>
                <c:pt idx="267">
                  <c:v>3.8588372978918879E-2</c:v>
                </c:pt>
                <c:pt idx="268">
                  <c:v>3.8571262720614306E-2</c:v>
                </c:pt>
                <c:pt idx="269">
                  <c:v>3.8546293722631235E-2</c:v>
                </c:pt>
                <c:pt idx="270">
                  <c:v>3.8512131114098333E-2</c:v>
                </c:pt>
                <c:pt idx="271">
                  <c:v>3.8467847760274863E-2</c:v>
                </c:pt>
                <c:pt idx="272">
                  <c:v>3.8464142712645213E-2</c:v>
                </c:pt>
                <c:pt idx="273">
                  <c:v>3.845496918817265E-2</c:v>
                </c:pt>
                <c:pt idx="274">
                  <c:v>3.8449900254949008E-2</c:v>
                </c:pt>
                <c:pt idx="275">
                  <c:v>3.8444943570265303E-2</c:v>
                </c:pt>
                <c:pt idx="276">
                  <c:v>3.8443030829592141E-2</c:v>
                </c:pt>
                <c:pt idx="277">
                  <c:v>3.8439742875512883E-2</c:v>
                </c:pt>
                <c:pt idx="278">
                  <c:v>3.843454296341451E-2</c:v>
                </c:pt>
                <c:pt idx="279">
                  <c:v>3.842343986625571E-2</c:v>
                </c:pt>
                <c:pt idx="280">
                  <c:v>3.8389527598262391E-2</c:v>
                </c:pt>
                <c:pt idx="281">
                  <c:v>3.8377308766051492E-2</c:v>
                </c:pt>
                <c:pt idx="282">
                  <c:v>3.8340025020936037E-2</c:v>
                </c:pt>
                <c:pt idx="283">
                  <c:v>3.8208334620092765E-2</c:v>
                </c:pt>
                <c:pt idx="284">
                  <c:v>3.8014460320788812E-2</c:v>
                </c:pt>
                <c:pt idx="285">
                  <c:v>3.7980522062123677E-2</c:v>
                </c:pt>
                <c:pt idx="286">
                  <c:v>3.7935367736111059E-2</c:v>
                </c:pt>
                <c:pt idx="287">
                  <c:v>3.784405922855321E-2</c:v>
                </c:pt>
                <c:pt idx="288">
                  <c:v>3.7742353553032647E-2</c:v>
                </c:pt>
                <c:pt idx="289">
                  <c:v>3.7613555254598127E-2</c:v>
                </c:pt>
                <c:pt idx="290">
                  <c:v>3.7527165401744278E-2</c:v>
                </c:pt>
                <c:pt idx="291">
                  <c:v>3.7383401291281732E-2</c:v>
                </c:pt>
                <c:pt idx="292">
                  <c:v>3.723380418001624E-2</c:v>
                </c:pt>
                <c:pt idx="293">
                  <c:v>3.7192607171193756E-2</c:v>
                </c:pt>
                <c:pt idx="294">
                  <c:v>3.7070743283371087E-2</c:v>
                </c:pt>
                <c:pt idx="295">
                  <c:v>3.7041272761707621E-2</c:v>
                </c:pt>
                <c:pt idx="296">
                  <c:v>3.6998963843918091E-2</c:v>
                </c:pt>
                <c:pt idx="297">
                  <c:v>3.6941335340552085E-2</c:v>
                </c:pt>
                <c:pt idx="298">
                  <c:v>3.6917784740663533E-2</c:v>
                </c:pt>
                <c:pt idx="299">
                  <c:v>3.6897262978471408E-2</c:v>
                </c:pt>
                <c:pt idx="300">
                  <c:v>3.6883355140947913E-2</c:v>
                </c:pt>
                <c:pt idx="301">
                  <c:v>3.6878381203354509E-2</c:v>
                </c:pt>
                <c:pt idx="302">
                  <c:v>3.6874231743700206E-2</c:v>
                </c:pt>
                <c:pt idx="303">
                  <c:v>3.6870265010845435E-2</c:v>
                </c:pt>
                <c:pt idx="304">
                  <c:v>3.68694366598993E-2</c:v>
                </c:pt>
                <c:pt idx="305">
                  <c:v>3.6868757056599727E-2</c:v>
                </c:pt>
                <c:pt idx="306">
                  <c:v>3.6867467944326826E-2</c:v>
                </c:pt>
                <c:pt idx="307">
                  <c:v>3.6863718614496707E-2</c:v>
                </c:pt>
                <c:pt idx="308">
                  <c:v>3.6854775612203808E-2</c:v>
                </c:pt>
                <c:pt idx="309">
                  <c:v>3.6838961628711031E-2</c:v>
                </c:pt>
                <c:pt idx="310">
                  <c:v>3.6805812757054558E-2</c:v>
                </c:pt>
                <c:pt idx="311">
                  <c:v>3.6791740546931934E-2</c:v>
                </c:pt>
                <c:pt idx="312">
                  <c:v>3.6764268005514314E-2</c:v>
                </c:pt>
                <c:pt idx="313">
                  <c:v>3.6706171938139187E-2</c:v>
                </c:pt>
                <c:pt idx="314">
                  <c:v>3.66916470463792E-2</c:v>
                </c:pt>
                <c:pt idx="315">
                  <c:v>3.6669287238506688E-2</c:v>
                </c:pt>
                <c:pt idx="316">
                  <c:v>3.6652276500231978E-2</c:v>
                </c:pt>
                <c:pt idx="317">
                  <c:v>3.6639972426127917E-2</c:v>
                </c:pt>
                <c:pt idx="318">
                  <c:v>3.6624090276629016E-2</c:v>
                </c:pt>
                <c:pt idx="319">
                  <c:v>3.6604910663449085E-2</c:v>
                </c:pt>
                <c:pt idx="320">
                  <c:v>3.659072964335304E-2</c:v>
                </c:pt>
                <c:pt idx="321">
                  <c:v>3.6581022109591167E-2</c:v>
                </c:pt>
                <c:pt idx="322">
                  <c:v>3.6575967915909724E-2</c:v>
                </c:pt>
                <c:pt idx="323">
                  <c:v>3.6572060403190519E-2</c:v>
                </c:pt>
                <c:pt idx="324">
                  <c:v>3.6569115618703088E-2</c:v>
                </c:pt>
                <c:pt idx="325">
                  <c:v>3.656740163857785E-2</c:v>
                </c:pt>
                <c:pt idx="326">
                  <c:v>3.6566722842814717E-2</c:v>
                </c:pt>
                <c:pt idx="327">
                  <c:v>3.6566197455338047E-2</c:v>
                </c:pt>
                <c:pt idx="328">
                  <c:v>3.6565727287957664E-2</c:v>
                </c:pt>
                <c:pt idx="329">
                  <c:v>3.6565191471245838E-2</c:v>
                </c:pt>
                <c:pt idx="330">
                  <c:v>3.6564168149025723E-2</c:v>
                </c:pt>
                <c:pt idx="331">
                  <c:v>3.656180967867384E-2</c:v>
                </c:pt>
                <c:pt idx="332">
                  <c:v>3.6556429057254099E-2</c:v>
                </c:pt>
                <c:pt idx="333">
                  <c:v>3.6554277041068325E-2</c:v>
                </c:pt>
                <c:pt idx="334">
                  <c:v>3.6546238498692686E-2</c:v>
                </c:pt>
                <c:pt idx="335">
                  <c:v>3.6522982128802145E-2</c:v>
                </c:pt>
                <c:pt idx="336">
                  <c:v>3.6509296441084069E-2</c:v>
                </c:pt>
                <c:pt idx="337">
                  <c:v>3.6480794230959894E-2</c:v>
                </c:pt>
                <c:pt idx="338">
                  <c:v>3.6440562400985053E-2</c:v>
                </c:pt>
                <c:pt idx="339">
                  <c:v>3.6432741849350948E-2</c:v>
                </c:pt>
                <c:pt idx="340">
                  <c:v>3.6405884501628315E-2</c:v>
                </c:pt>
                <c:pt idx="341">
                  <c:v>3.6390933440903946E-2</c:v>
                </c:pt>
                <c:pt idx="342">
                  <c:v>3.6384745892247571E-2</c:v>
                </c:pt>
                <c:pt idx="343">
                  <c:v>3.6367138054163577E-2</c:v>
                </c:pt>
                <c:pt idx="344">
                  <c:v>3.6361222497223913E-2</c:v>
                </c:pt>
                <c:pt idx="345">
                  <c:v>3.6346535292181785E-2</c:v>
                </c:pt>
                <c:pt idx="346">
                  <c:v>3.6327803473670553E-2</c:v>
                </c:pt>
                <c:pt idx="347">
                  <c:v>3.6287124869275766E-2</c:v>
                </c:pt>
                <c:pt idx="348">
                  <c:v>3.6122187028597645E-2</c:v>
                </c:pt>
                <c:pt idx="349">
                  <c:v>3.6085157939306826E-2</c:v>
                </c:pt>
                <c:pt idx="350">
                  <c:v>3.6047266585394158E-2</c:v>
                </c:pt>
                <c:pt idx="351">
                  <c:v>3.5900224579682824E-2</c:v>
                </c:pt>
                <c:pt idx="352">
                  <c:v>3.5845196925992411E-2</c:v>
                </c:pt>
                <c:pt idx="353">
                  <c:v>3.5802196262221857E-2</c:v>
                </c:pt>
                <c:pt idx="354">
                  <c:v>3.5752807780986356E-2</c:v>
                </c:pt>
                <c:pt idx="355">
                  <c:v>3.5704242567341095E-2</c:v>
                </c:pt>
                <c:pt idx="356">
                  <c:v>3.5634762516671699E-2</c:v>
                </c:pt>
                <c:pt idx="357">
                  <c:v>3.5618774714613756E-2</c:v>
                </c:pt>
                <c:pt idx="358">
                  <c:v>3.5532338157103785E-2</c:v>
                </c:pt>
                <c:pt idx="359">
                  <c:v>3.550401099968091E-2</c:v>
                </c:pt>
                <c:pt idx="360">
                  <c:v>3.5490224391625538E-2</c:v>
                </c:pt>
                <c:pt idx="361">
                  <c:v>3.5461751247402508E-2</c:v>
                </c:pt>
                <c:pt idx="362">
                  <c:v>3.5433840092274196E-2</c:v>
                </c:pt>
                <c:pt idx="363">
                  <c:v>3.539195512843514E-2</c:v>
                </c:pt>
                <c:pt idx="364">
                  <c:v>3.5330262201062619E-2</c:v>
                </c:pt>
                <c:pt idx="365">
                  <c:v>3.5296515625959708E-2</c:v>
                </c:pt>
                <c:pt idx="366">
                  <c:v>3.5282932636784843E-2</c:v>
                </c:pt>
                <c:pt idx="367">
                  <c:v>3.5270589688996573E-2</c:v>
                </c:pt>
                <c:pt idx="368">
                  <c:v>3.5264428393015398E-2</c:v>
                </c:pt>
                <c:pt idx="369">
                  <c:v>3.5260286114867159E-2</c:v>
                </c:pt>
                <c:pt idx="370">
                  <c:v>3.5257403339827964E-2</c:v>
                </c:pt>
                <c:pt idx="371">
                  <c:v>3.5252398817582312E-2</c:v>
                </c:pt>
                <c:pt idx="372">
                  <c:v>3.5239988666119187E-2</c:v>
                </c:pt>
                <c:pt idx="373">
                  <c:v>3.5225956367313328E-2</c:v>
                </c:pt>
                <c:pt idx="374">
                  <c:v>3.5186472474819055E-2</c:v>
                </c:pt>
                <c:pt idx="375">
                  <c:v>3.5158007753239365E-2</c:v>
                </c:pt>
                <c:pt idx="376">
                  <c:v>3.5098952066693105E-2</c:v>
                </c:pt>
                <c:pt idx="377">
                  <c:v>3.5074660503375474E-2</c:v>
                </c:pt>
                <c:pt idx="378">
                  <c:v>3.5047624409665398E-2</c:v>
                </c:pt>
                <c:pt idx="379">
                  <c:v>3.5037955564210257E-2</c:v>
                </c:pt>
                <c:pt idx="380">
                  <c:v>3.5033021670445107E-2</c:v>
                </c:pt>
                <c:pt idx="381">
                  <c:v>3.5030607107844378E-2</c:v>
                </c:pt>
                <c:pt idx="382">
                  <c:v>3.5025354296523405E-2</c:v>
                </c:pt>
                <c:pt idx="383">
                  <c:v>3.5019288661179274E-2</c:v>
                </c:pt>
                <c:pt idx="384">
                  <c:v>3.5011147877867792E-2</c:v>
                </c:pt>
                <c:pt idx="385">
                  <c:v>3.4982150818228253E-2</c:v>
                </c:pt>
                <c:pt idx="386">
                  <c:v>3.4953245843545241E-2</c:v>
                </c:pt>
                <c:pt idx="387">
                  <c:v>3.4949720292116994E-2</c:v>
                </c:pt>
                <c:pt idx="388">
                  <c:v>3.4946256135350115E-2</c:v>
                </c:pt>
                <c:pt idx="389">
                  <c:v>3.4939172025242951E-2</c:v>
                </c:pt>
                <c:pt idx="390">
                  <c:v>3.493611035177422E-2</c:v>
                </c:pt>
                <c:pt idx="391">
                  <c:v>3.4932722375514341E-2</c:v>
                </c:pt>
                <c:pt idx="392">
                  <c:v>3.4921099258466946E-2</c:v>
                </c:pt>
                <c:pt idx="393">
                  <c:v>3.4911162900020679E-2</c:v>
                </c:pt>
                <c:pt idx="394">
                  <c:v>3.4904087917312483E-2</c:v>
                </c:pt>
                <c:pt idx="395">
                  <c:v>3.4899699908354773E-2</c:v>
                </c:pt>
                <c:pt idx="396">
                  <c:v>3.4896640159149485E-2</c:v>
                </c:pt>
                <c:pt idx="397">
                  <c:v>3.4894090413994022E-2</c:v>
                </c:pt>
                <c:pt idx="398">
                  <c:v>3.4892584484649262E-2</c:v>
                </c:pt>
                <c:pt idx="399">
                  <c:v>3.4891340060594127E-2</c:v>
                </c:pt>
                <c:pt idx="400">
                  <c:v>3.489042694004095E-2</c:v>
                </c:pt>
                <c:pt idx="401">
                  <c:v>3.4889436072918396E-2</c:v>
                </c:pt>
                <c:pt idx="402">
                  <c:v>3.4888558487078843E-2</c:v>
                </c:pt>
                <c:pt idx="403">
                  <c:v>3.4887448632981516E-2</c:v>
                </c:pt>
                <c:pt idx="404">
                  <c:v>3.4886635730126521E-2</c:v>
                </c:pt>
                <c:pt idx="405">
                  <c:v>3.4886446378050745E-2</c:v>
                </c:pt>
                <c:pt idx="406">
                  <c:v>3.4886253171090488E-2</c:v>
                </c:pt>
                <c:pt idx="407">
                  <c:v>3.4885869342206041E-2</c:v>
                </c:pt>
                <c:pt idx="408">
                  <c:v>3.4884421556719877E-2</c:v>
                </c:pt>
                <c:pt idx="409">
                  <c:v>3.4881262366886601E-2</c:v>
                </c:pt>
                <c:pt idx="410">
                  <c:v>3.4872320394012633E-2</c:v>
                </c:pt>
                <c:pt idx="411">
                  <c:v>3.4862985295765599E-2</c:v>
                </c:pt>
                <c:pt idx="412">
                  <c:v>3.4858886084824611E-2</c:v>
                </c:pt>
                <c:pt idx="413">
                  <c:v>3.4851866603916939E-2</c:v>
                </c:pt>
                <c:pt idx="414">
                  <c:v>3.4834652349036099E-2</c:v>
                </c:pt>
                <c:pt idx="415">
                  <c:v>3.4818195139678411E-2</c:v>
                </c:pt>
                <c:pt idx="416">
                  <c:v>3.4813667038547921E-2</c:v>
                </c:pt>
                <c:pt idx="417">
                  <c:v>3.4807402586441154E-2</c:v>
                </c:pt>
                <c:pt idx="418">
                  <c:v>3.4803531568638323E-2</c:v>
                </c:pt>
                <c:pt idx="419">
                  <c:v>3.4799284174412248E-2</c:v>
                </c:pt>
                <c:pt idx="420">
                  <c:v>3.4794844233933891E-2</c:v>
                </c:pt>
                <c:pt idx="421">
                  <c:v>3.479197941817249E-2</c:v>
                </c:pt>
                <c:pt idx="422">
                  <c:v>3.4788293344035208E-2</c:v>
                </c:pt>
                <c:pt idx="423">
                  <c:v>3.4786487840551716E-2</c:v>
                </c:pt>
                <c:pt idx="424">
                  <c:v>3.4784754818354684E-2</c:v>
                </c:pt>
                <c:pt idx="425">
                  <c:v>3.4783465892312827E-2</c:v>
                </c:pt>
                <c:pt idx="426">
                  <c:v>3.4782106309293556E-2</c:v>
                </c:pt>
                <c:pt idx="427">
                  <c:v>3.4780646000880301E-2</c:v>
                </c:pt>
                <c:pt idx="428">
                  <c:v>3.4779033746884694E-2</c:v>
                </c:pt>
                <c:pt idx="429">
                  <c:v>3.4777734628568216E-2</c:v>
                </c:pt>
                <c:pt idx="430">
                  <c:v>3.4776456092457733E-2</c:v>
                </c:pt>
                <c:pt idx="431">
                  <c:v>3.477551096876811E-2</c:v>
                </c:pt>
                <c:pt idx="432">
                  <c:v>3.4774830405651755E-2</c:v>
                </c:pt>
                <c:pt idx="433">
                  <c:v>3.4773574740876279E-2</c:v>
                </c:pt>
                <c:pt idx="434">
                  <c:v>3.4772954642167064E-2</c:v>
                </c:pt>
                <c:pt idx="435">
                  <c:v>3.4771833540810003E-2</c:v>
                </c:pt>
                <c:pt idx="436">
                  <c:v>3.4771627051417953E-2</c:v>
                </c:pt>
                <c:pt idx="437">
                  <c:v>3.477136168626957E-2</c:v>
                </c:pt>
                <c:pt idx="438">
                  <c:v>3.4771110684746788E-2</c:v>
                </c:pt>
                <c:pt idx="439">
                  <c:v>3.477065687209966E-2</c:v>
                </c:pt>
                <c:pt idx="440">
                  <c:v>3.4770288081124479E-2</c:v>
                </c:pt>
                <c:pt idx="441">
                  <c:v>3.4769553917867631E-2</c:v>
                </c:pt>
                <c:pt idx="442">
                  <c:v>3.4768572815220937E-2</c:v>
                </c:pt>
                <c:pt idx="443">
                  <c:v>3.4768081195743601E-2</c:v>
                </c:pt>
                <c:pt idx="444">
                  <c:v>3.4767413891217763E-2</c:v>
                </c:pt>
                <c:pt idx="445">
                  <c:v>3.4766761361827124E-2</c:v>
                </c:pt>
                <c:pt idx="446">
                  <c:v>3.4766494058175001E-2</c:v>
                </c:pt>
                <c:pt idx="447">
                  <c:v>3.4766216774575601E-2</c:v>
                </c:pt>
                <c:pt idx="448">
                  <c:v>3.4766040073608957E-2</c:v>
                </c:pt>
                <c:pt idx="449">
                  <c:v>3.4765905527663205E-2</c:v>
                </c:pt>
                <c:pt idx="450">
                  <c:v>3.4765834223859544E-2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B-43E1-AB18-9CAA8B4E2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777055"/>
        <c:axId val="1703773215"/>
      </c:scatterChart>
      <c:scatterChart>
        <c:scatterStyle val="lineMarker"/>
        <c:varyColors val="0"/>
        <c:ser>
          <c:idx val="1"/>
          <c:order val="1"/>
          <c:tx>
            <c:strRef>
              <c:f>Iris!$AK$1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Iris!$AI$2:$AI$5002</c:f>
              <c:numCache>
                <c:formatCode>General</c:formatCode>
                <c:ptCount val="5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</c:numCache>
            </c:numRef>
          </c:xVal>
          <c:yVal>
            <c:numRef>
              <c:f>Iris!$AK$2:$AK$5002</c:f>
              <c:numCache>
                <c:formatCode>General</c:formatCode>
                <c:ptCount val="5001"/>
                <c:pt idx="0">
                  <c:v>1</c:v>
                </c:pt>
                <c:pt idx="1">
                  <c:v>9.4375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0.25</c:v>
                </c:pt>
                <c:pt idx="12">
                  <c:v>1</c:v>
                </c:pt>
                <c:pt idx="13">
                  <c:v>0.25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0.5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1</c:v>
                </c:pt>
                <c:pt idx="37">
                  <c:v>1</c:v>
                </c:pt>
                <c:pt idx="38">
                  <c:v>0.5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0.25</c:v>
                </c:pt>
                <c:pt idx="54">
                  <c:v>1</c:v>
                </c:pt>
                <c:pt idx="55">
                  <c:v>0.5</c:v>
                </c:pt>
                <c:pt idx="56">
                  <c:v>1</c:v>
                </c:pt>
                <c:pt idx="57">
                  <c:v>1</c:v>
                </c:pt>
                <c:pt idx="58">
                  <c:v>0.5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0.5</c:v>
                </c:pt>
                <c:pt idx="71">
                  <c:v>0.5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0.5</c:v>
                </c:pt>
                <c:pt idx="85">
                  <c:v>0.5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0.5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0.25</c:v>
                </c:pt>
                <c:pt idx="102">
                  <c:v>1</c:v>
                </c:pt>
                <c:pt idx="103">
                  <c:v>1</c:v>
                </c:pt>
                <c:pt idx="104">
                  <c:v>0.5</c:v>
                </c:pt>
                <c:pt idx="105">
                  <c:v>0.5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0.5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0.5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0.5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0.5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0.5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0.5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0.5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0.5</c:v>
                </c:pt>
                <c:pt idx="170">
                  <c:v>0.5</c:v>
                </c:pt>
                <c:pt idx="171">
                  <c:v>1</c:v>
                </c:pt>
                <c:pt idx="172">
                  <c:v>0.5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0.5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0.25</c:v>
                </c:pt>
                <c:pt idx="186">
                  <c:v>1</c:v>
                </c:pt>
                <c:pt idx="187">
                  <c:v>0.5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0.5</c:v>
                </c:pt>
                <c:pt idx="192">
                  <c:v>0.5</c:v>
                </c:pt>
                <c:pt idx="193">
                  <c:v>0.125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0.5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0.125</c:v>
                </c:pt>
                <c:pt idx="205">
                  <c:v>1</c:v>
                </c:pt>
                <c:pt idx="206">
                  <c:v>1</c:v>
                </c:pt>
                <c:pt idx="207">
                  <c:v>0.25</c:v>
                </c:pt>
                <c:pt idx="208">
                  <c:v>1</c:v>
                </c:pt>
                <c:pt idx="209">
                  <c:v>0.5</c:v>
                </c:pt>
                <c:pt idx="210">
                  <c:v>1</c:v>
                </c:pt>
                <c:pt idx="211">
                  <c:v>0.25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0.5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0.125</c:v>
                </c:pt>
                <c:pt idx="251">
                  <c:v>1</c:v>
                </c:pt>
                <c:pt idx="252">
                  <c:v>1</c:v>
                </c:pt>
                <c:pt idx="253">
                  <c:v>0.25</c:v>
                </c:pt>
                <c:pt idx="254">
                  <c:v>0.125</c:v>
                </c:pt>
                <c:pt idx="255">
                  <c:v>0.125</c:v>
                </c:pt>
                <c:pt idx="256">
                  <c:v>1</c:v>
                </c:pt>
                <c:pt idx="257">
                  <c:v>0.5</c:v>
                </c:pt>
                <c:pt idx="258">
                  <c:v>1</c:v>
                </c:pt>
                <c:pt idx="259">
                  <c:v>1</c:v>
                </c:pt>
                <c:pt idx="260">
                  <c:v>0.5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0.25</c:v>
                </c:pt>
                <c:pt idx="282">
                  <c:v>0.25</c:v>
                </c:pt>
                <c:pt idx="283">
                  <c:v>1</c:v>
                </c:pt>
                <c:pt idx="284">
                  <c:v>1</c:v>
                </c:pt>
                <c:pt idx="285">
                  <c:v>0.125</c:v>
                </c:pt>
                <c:pt idx="286">
                  <c:v>0.25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0.25</c:v>
                </c:pt>
                <c:pt idx="291">
                  <c:v>1</c:v>
                </c:pt>
                <c:pt idx="292">
                  <c:v>1</c:v>
                </c:pt>
                <c:pt idx="293">
                  <c:v>0.5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0.25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0.5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0.25</c:v>
                </c:pt>
                <c:pt idx="334">
                  <c:v>1</c:v>
                </c:pt>
                <c:pt idx="335">
                  <c:v>1</c:v>
                </c:pt>
                <c:pt idx="336">
                  <c:v>0.25</c:v>
                </c:pt>
                <c:pt idx="337">
                  <c:v>1</c:v>
                </c:pt>
                <c:pt idx="338">
                  <c:v>0.5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0.25</c:v>
                </c:pt>
                <c:pt idx="350">
                  <c:v>0.125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0.5</c:v>
                </c:pt>
                <c:pt idx="359">
                  <c:v>0.5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0.5</c:v>
                </c:pt>
                <c:pt idx="367">
                  <c:v>0.5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0.5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0.5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0.25</c:v>
                </c:pt>
                <c:pt idx="395">
                  <c:v>0.5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0.25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0.25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0.5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0.5</c:v>
                </c:pt>
                <c:pt idx="433">
                  <c:v>1</c:v>
                </c:pt>
                <c:pt idx="434">
                  <c:v>1</c:v>
                </c:pt>
                <c:pt idx="435">
                  <c:v>0.5</c:v>
                </c:pt>
                <c:pt idx="436">
                  <c:v>0.5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0.5</c:v>
                </c:pt>
                <c:pt idx="441">
                  <c:v>1</c:v>
                </c:pt>
                <c:pt idx="442">
                  <c:v>1</c:v>
                </c:pt>
                <c:pt idx="443">
                  <c:v>0.5</c:v>
                </c:pt>
                <c:pt idx="444">
                  <c:v>1</c:v>
                </c:pt>
                <c:pt idx="445">
                  <c:v>1</c:v>
                </c:pt>
                <c:pt idx="446">
                  <c:v>0.5</c:v>
                </c:pt>
                <c:pt idx="447">
                  <c:v>0.5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CB-43E1-AB18-9CAA8B4E2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798175"/>
        <c:axId val="1703783775"/>
      </c:scatterChart>
      <c:valAx>
        <c:axId val="1703777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73215"/>
        <c:crosses val="autoZero"/>
        <c:crossBetween val="midCat"/>
      </c:valAx>
      <c:valAx>
        <c:axId val="170377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77055"/>
        <c:crosses val="autoZero"/>
        <c:crossBetween val="midCat"/>
      </c:valAx>
      <c:valAx>
        <c:axId val="170378377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98175"/>
        <c:crosses val="max"/>
        <c:crossBetween val="midCat"/>
      </c:valAx>
      <c:valAx>
        <c:axId val="17037981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3783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76200</xdr:colOff>
      <xdr:row>5</xdr:row>
      <xdr:rowOff>38100</xdr:rowOff>
    </xdr:from>
    <xdr:to>
      <xdr:col>16</xdr:col>
      <xdr:colOff>558600</xdr:colOff>
      <xdr:row>17</xdr:row>
      <xdr:rowOff>92100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133350</xdr:colOff>
      <xdr:row>18</xdr:row>
      <xdr:rowOff>104775</xdr:rowOff>
    </xdr:from>
    <xdr:to>
      <xdr:col>11</xdr:col>
      <xdr:colOff>419100</xdr:colOff>
      <xdr:row>22</xdr:row>
      <xdr:rowOff>152400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09950" y="3533775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10</xdr:col>
      <xdr:colOff>481012</xdr:colOff>
      <xdr:row>19</xdr:row>
      <xdr:rowOff>176214</xdr:rowOff>
    </xdr:from>
    <xdr:to>
      <xdr:col>12</xdr:col>
      <xdr:colOff>71437</xdr:colOff>
      <xdr:row>21</xdr:row>
      <xdr:rowOff>80964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5400000">
          <a:off x="3409950" y="3533776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14</xdr:col>
      <xdr:colOff>466725</xdr:colOff>
      <xdr:row>20</xdr:row>
      <xdr:rowOff>19050</xdr:rowOff>
    </xdr:from>
    <xdr:to>
      <xdr:col>15</xdr:col>
      <xdr:colOff>257175</xdr:colOff>
      <xdr:row>22</xdr:row>
      <xdr:rowOff>38100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572125" y="38290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15</xdr:col>
      <xdr:colOff>485775</xdr:colOff>
      <xdr:row>19</xdr:row>
      <xdr:rowOff>19050</xdr:rowOff>
    </xdr:from>
    <xdr:to>
      <xdr:col>16</xdr:col>
      <xdr:colOff>276225</xdr:colOff>
      <xdr:row>21</xdr:row>
      <xdr:rowOff>38100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200775" y="36385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22</xdr:row>
          <xdr:rowOff>66675</xdr:rowOff>
        </xdr:from>
        <xdr:to>
          <xdr:col>14</xdr:col>
          <xdr:colOff>133350</xdr:colOff>
          <xdr:row>24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Train Mario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18</xdr:row>
          <xdr:rowOff>38100</xdr:rowOff>
        </xdr:from>
        <xdr:to>
          <xdr:col>14</xdr:col>
          <xdr:colOff>123825</xdr:colOff>
          <xdr:row>19</xdr:row>
          <xdr:rowOff>133350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10 Games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328612</xdr:colOff>
      <xdr:row>1</xdr:row>
      <xdr:rowOff>95250</xdr:rowOff>
    </xdr:from>
    <xdr:to>
      <xdr:col>38</xdr:col>
      <xdr:colOff>23812</xdr:colOff>
      <xdr:row>15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20</xdr:row>
          <xdr:rowOff>47625</xdr:rowOff>
        </xdr:from>
        <xdr:to>
          <xdr:col>14</xdr:col>
          <xdr:colOff>123825</xdr:colOff>
          <xdr:row>21</xdr:row>
          <xdr:rowOff>142875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219075</xdr:colOff>
      <xdr:row>5</xdr:row>
      <xdr:rowOff>0</xdr:rowOff>
    </xdr:from>
    <xdr:to>
      <xdr:col>15</xdr:col>
      <xdr:colOff>120675</xdr:colOff>
      <xdr:row>17</xdr:row>
      <xdr:rowOff>54000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133350</xdr:colOff>
      <xdr:row>18</xdr:row>
      <xdr:rowOff>104775</xdr:rowOff>
    </xdr:from>
    <xdr:to>
      <xdr:col>11</xdr:col>
      <xdr:colOff>419100</xdr:colOff>
      <xdr:row>22</xdr:row>
      <xdr:rowOff>152400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838950" y="3724275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10</xdr:col>
      <xdr:colOff>481012</xdr:colOff>
      <xdr:row>19</xdr:row>
      <xdr:rowOff>176214</xdr:rowOff>
    </xdr:from>
    <xdr:to>
      <xdr:col>12</xdr:col>
      <xdr:colOff>71437</xdr:colOff>
      <xdr:row>21</xdr:row>
      <xdr:rowOff>80964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rot="5400000">
          <a:off x="6838950" y="3724276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14</xdr:col>
      <xdr:colOff>466725</xdr:colOff>
      <xdr:row>20</xdr:row>
      <xdr:rowOff>19050</xdr:rowOff>
    </xdr:from>
    <xdr:to>
      <xdr:col>15</xdr:col>
      <xdr:colOff>257175</xdr:colOff>
      <xdr:row>22</xdr:row>
      <xdr:rowOff>38100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9001125" y="40195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15</xdr:col>
      <xdr:colOff>485775</xdr:colOff>
      <xdr:row>19</xdr:row>
      <xdr:rowOff>19050</xdr:rowOff>
    </xdr:from>
    <xdr:to>
      <xdr:col>16</xdr:col>
      <xdr:colOff>276225</xdr:colOff>
      <xdr:row>21</xdr:row>
      <xdr:rowOff>38100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629775" y="38290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22</xdr:row>
          <xdr:rowOff>66675</xdr:rowOff>
        </xdr:from>
        <xdr:to>
          <xdr:col>14</xdr:col>
          <xdr:colOff>133350</xdr:colOff>
          <xdr:row>24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Train Mario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18</xdr:row>
          <xdr:rowOff>38100</xdr:rowOff>
        </xdr:from>
        <xdr:to>
          <xdr:col>14</xdr:col>
          <xdr:colOff>123825</xdr:colOff>
          <xdr:row>19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10 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20</xdr:row>
          <xdr:rowOff>57150</xdr:rowOff>
        </xdr:from>
        <xdr:to>
          <xdr:col>14</xdr:col>
          <xdr:colOff>123825</xdr:colOff>
          <xdr:row>21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66675</xdr:colOff>
      <xdr:row>5</xdr:row>
      <xdr:rowOff>0</xdr:rowOff>
    </xdr:from>
    <xdr:to>
      <xdr:col>16</xdr:col>
      <xdr:colOff>549075</xdr:colOff>
      <xdr:row>17</xdr:row>
      <xdr:rowOff>54000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133350</xdr:colOff>
      <xdr:row>18</xdr:row>
      <xdr:rowOff>104775</xdr:rowOff>
    </xdr:from>
    <xdr:to>
      <xdr:col>11</xdr:col>
      <xdr:colOff>419100</xdr:colOff>
      <xdr:row>22</xdr:row>
      <xdr:rowOff>152400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409950" y="3533775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10</xdr:col>
      <xdr:colOff>481012</xdr:colOff>
      <xdr:row>19</xdr:row>
      <xdr:rowOff>176214</xdr:rowOff>
    </xdr:from>
    <xdr:to>
      <xdr:col>12</xdr:col>
      <xdr:colOff>71437</xdr:colOff>
      <xdr:row>21</xdr:row>
      <xdr:rowOff>80964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3409950" y="3533776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14</xdr:col>
      <xdr:colOff>466725</xdr:colOff>
      <xdr:row>20</xdr:row>
      <xdr:rowOff>19050</xdr:rowOff>
    </xdr:from>
    <xdr:to>
      <xdr:col>15</xdr:col>
      <xdr:colOff>257175</xdr:colOff>
      <xdr:row>22</xdr:row>
      <xdr:rowOff>38100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572125" y="38290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15</xdr:col>
      <xdr:colOff>485775</xdr:colOff>
      <xdr:row>19</xdr:row>
      <xdr:rowOff>19050</xdr:rowOff>
    </xdr:from>
    <xdr:to>
      <xdr:col>16</xdr:col>
      <xdr:colOff>276225</xdr:colOff>
      <xdr:row>21</xdr:row>
      <xdr:rowOff>38100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200775" y="36385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22</xdr:row>
          <xdr:rowOff>66675</xdr:rowOff>
        </xdr:from>
        <xdr:to>
          <xdr:col>14</xdr:col>
          <xdr:colOff>133350</xdr:colOff>
          <xdr:row>24</xdr:row>
          <xdr:rowOff>76200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Train Mario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18</xdr:row>
          <xdr:rowOff>38100</xdr:rowOff>
        </xdr:from>
        <xdr:to>
          <xdr:col>14</xdr:col>
          <xdr:colOff>123825</xdr:colOff>
          <xdr:row>19</xdr:row>
          <xdr:rowOff>133350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10 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20</xdr:row>
          <xdr:rowOff>57150</xdr:rowOff>
        </xdr:from>
        <xdr:to>
          <xdr:col>14</xdr:col>
          <xdr:colOff>123825</xdr:colOff>
          <xdr:row>21</xdr:row>
          <xdr:rowOff>152400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2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</xdr:row>
      <xdr:rowOff>0</xdr:rowOff>
    </xdr:from>
    <xdr:to>
      <xdr:col>15</xdr:col>
      <xdr:colOff>302400</xdr:colOff>
      <xdr:row>17</xdr:row>
      <xdr:rowOff>64500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219075</xdr:colOff>
      <xdr:row>6</xdr:row>
      <xdr:rowOff>0</xdr:rowOff>
    </xdr:from>
    <xdr:to>
      <xdr:col>21</xdr:col>
      <xdr:colOff>521475</xdr:colOff>
      <xdr:row>17</xdr:row>
      <xdr:rowOff>64500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504825</xdr:colOff>
      <xdr:row>1</xdr:row>
      <xdr:rowOff>38100</xdr:rowOff>
    </xdr:from>
    <xdr:to>
      <xdr:col>14</xdr:col>
      <xdr:colOff>197625</xdr:colOff>
      <xdr:row>12</xdr:row>
      <xdr:rowOff>102600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302400</xdr:colOff>
      <xdr:row>24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504825</xdr:colOff>
      <xdr:row>1</xdr:row>
      <xdr:rowOff>38100</xdr:rowOff>
    </xdr:from>
    <xdr:to>
      <xdr:col>14</xdr:col>
      <xdr:colOff>197625</xdr:colOff>
      <xdr:row>12</xdr:row>
      <xdr:rowOff>102600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302400</xdr:colOff>
      <xdr:row>24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200025</xdr:colOff>
      <xdr:row>2</xdr:row>
      <xdr:rowOff>152400</xdr:rowOff>
    </xdr:from>
    <xdr:to>
      <xdr:col>15</xdr:col>
      <xdr:colOff>502425</xdr:colOff>
      <xdr:row>14</xdr:row>
      <xdr:rowOff>26400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15</xdr:row>
      <xdr:rowOff>0</xdr:rowOff>
    </xdr:from>
    <xdr:to>
      <xdr:col>15</xdr:col>
      <xdr:colOff>302400</xdr:colOff>
      <xdr:row>26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2</xdr:row>
      <xdr:rowOff>0</xdr:rowOff>
    </xdr:from>
    <xdr:to>
      <xdr:col>28</xdr:col>
      <xdr:colOff>52800</xdr:colOff>
      <xdr:row>13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13</xdr:row>
      <xdr:rowOff>0</xdr:rowOff>
    </xdr:from>
    <xdr:to>
      <xdr:col>28</xdr:col>
      <xdr:colOff>52800</xdr:colOff>
      <xdr:row>24</xdr:row>
      <xdr:rowOff>64500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0</xdr:colOff>
      <xdr:row>2</xdr:row>
      <xdr:rowOff>0</xdr:rowOff>
    </xdr:from>
    <xdr:to>
      <xdr:col>44</xdr:col>
      <xdr:colOff>482400</xdr:colOff>
      <xdr:row>13</xdr:row>
      <xdr:rowOff>64500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9525</xdr:colOff>
      <xdr:row>13</xdr:row>
      <xdr:rowOff>85725</xdr:rowOff>
    </xdr:from>
    <xdr:to>
      <xdr:col>44</xdr:col>
      <xdr:colOff>491925</xdr:colOff>
      <xdr:row>24</xdr:row>
      <xdr:rowOff>150225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AEB90-1DCD-4F83-902E-4B746ADCC875}">
  <sheetPr codeName="Sheet8">
    <tabColor rgb="FFFFFF00"/>
  </sheetPr>
  <dimension ref="B1:AD25"/>
  <sheetViews>
    <sheetView topLeftCell="B1" workbookViewId="0">
      <selection activeCell="B3" sqref="B3"/>
    </sheetView>
  </sheetViews>
  <sheetFormatPr defaultRowHeight="15" x14ac:dyDescent="0.25"/>
  <cols>
    <col min="2" max="10" width="3.42578125" customWidth="1"/>
  </cols>
  <sheetData>
    <row r="1" spans="2:30" x14ac:dyDescent="0.25">
      <c r="U1" t="s">
        <v>35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36</v>
      </c>
    </row>
    <row r="2" spans="2:30" x14ac:dyDescent="0.25">
      <c r="K2" s="12" t="s">
        <v>19</v>
      </c>
      <c r="L2" s="16" t="s">
        <v>21</v>
      </c>
      <c r="M2" s="2"/>
      <c r="N2" s="2"/>
      <c r="O2" s="2"/>
      <c r="P2" s="2"/>
      <c r="Q2" s="2"/>
    </row>
    <row r="3" spans="2:30" x14ac:dyDescent="0.25">
      <c r="B3" t="s">
        <v>0</v>
      </c>
      <c r="E3" t="s">
        <v>16</v>
      </c>
      <c r="H3" t="s">
        <v>17</v>
      </c>
      <c r="K3" s="12" t="s">
        <v>3</v>
      </c>
      <c r="L3" s="16">
        <v>30</v>
      </c>
      <c r="M3" s="13" t="s">
        <v>4</v>
      </c>
      <c r="N3" s="2"/>
      <c r="O3" s="2"/>
      <c r="P3" s="2"/>
      <c r="Q3" s="2"/>
    </row>
    <row r="4" spans="2:30" x14ac:dyDescent="0.25">
      <c r="B4" t="s">
        <v>1</v>
      </c>
      <c r="C4" t="s">
        <v>2</v>
      </c>
      <c r="E4" t="s">
        <v>1</v>
      </c>
      <c r="F4" t="s">
        <v>2</v>
      </c>
      <c r="H4" t="s">
        <v>1</v>
      </c>
      <c r="I4" t="s">
        <v>2</v>
      </c>
      <c r="K4" s="12" t="s">
        <v>8</v>
      </c>
      <c r="L4" s="16" t="s">
        <v>20</v>
      </c>
      <c r="M4" s="13" t="s">
        <v>59</v>
      </c>
      <c r="N4" s="2"/>
      <c r="O4" s="2"/>
      <c r="P4" s="2"/>
      <c r="Q4" s="2"/>
    </row>
    <row r="5" spans="2:30" x14ac:dyDescent="0.25">
      <c r="B5">
        <v>0</v>
      </c>
      <c r="C5" s="1">
        <v>0</v>
      </c>
      <c r="E5" s="1">
        <v>30</v>
      </c>
      <c r="F5">
        <v>10</v>
      </c>
      <c r="H5">
        <v>15</v>
      </c>
      <c r="I5">
        <v>30</v>
      </c>
      <c r="K5" s="3" t="s">
        <v>38</v>
      </c>
      <c r="L5" s="4"/>
      <c r="M5" s="4"/>
      <c r="N5" s="4"/>
      <c r="O5" s="4"/>
      <c r="P5" s="4"/>
      <c r="Q5" s="5"/>
    </row>
    <row r="6" spans="2:30" x14ac:dyDescent="0.25">
      <c r="B6">
        <f>B5-4</f>
        <v>-4</v>
      </c>
      <c r="C6">
        <f>C5+8</f>
        <v>8</v>
      </c>
      <c r="E6">
        <f>E$5+10</f>
        <v>40</v>
      </c>
      <c r="F6">
        <f>$F$5</f>
        <v>10</v>
      </c>
      <c r="K6" s="6"/>
      <c r="L6" s="7"/>
      <c r="M6" s="7"/>
      <c r="N6" s="7"/>
      <c r="O6" s="7"/>
      <c r="P6" s="7"/>
      <c r="Q6" s="8"/>
    </row>
    <row r="7" spans="2:30" x14ac:dyDescent="0.25">
      <c r="B7">
        <f>B5</f>
        <v>0</v>
      </c>
      <c r="C7">
        <f>C6+8</f>
        <v>16</v>
      </c>
      <c r="E7">
        <f>E$5+12</f>
        <v>42</v>
      </c>
      <c r="F7">
        <v>0</v>
      </c>
      <c r="K7" s="6"/>
      <c r="L7" s="7"/>
      <c r="M7" s="7"/>
      <c r="N7" s="7"/>
      <c r="O7" s="7"/>
      <c r="P7" s="7"/>
      <c r="Q7" s="8"/>
    </row>
    <row r="8" spans="2:30" x14ac:dyDescent="0.25">
      <c r="B8">
        <f>B7+4</f>
        <v>4</v>
      </c>
      <c r="C8">
        <f>C6</f>
        <v>8</v>
      </c>
      <c r="E8">
        <f>E$5-2</f>
        <v>28</v>
      </c>
      <c r="F8">
        <v>0</v>
      </c>
      <c r="K8" s="6"/>
      <c r="L8" s="7"/>
      <c r="M8" s="7"/>
      <c r="N8" s="7"/>
      <c r="O8" s="7"/>
      <c r="P8" s="7"/>
      <c r="Q8" s="8"/>
    </row>
    <row r="9" spans="2:30" x14ac:dyDescent="0.25">
      <c r="B9">
        <f>B5</f>
        <v>0</v>
      </c>
      <c r="C9">
        <f>C5</f>
        <v>0</v>
      </c>
      <c r="E9">
        <f>E$5</f>
        <v>30</v>
      </c>
      <c r="F9">
        <f>$F$5</f>
        <v>10</v>
      </c>
      <c r="K9" s="6"/>
      <c r="L9" s="7"/>
      <c r="M9" s="7"/>
      <c r="N9" s="7"/>
      <c r="O9" s="7"/>
      <c r="P9" s="7"/>
      <c r="Q9" s="8"/>
    </row>
    <row r="10" spans="2:30" x14ac:dyDescent="0.25">
      <c r="K10" s="6"/>
      <c r="L10" s="7"/>
      <c r="M10" s="7"/>
      <c r="N10" s="7"/>
      <c r="O10" s="7"/>
      <c r="P10" s="7"/>
      <c r="Q10" s="8"/>
    </row>
    <row r="11" spans="2:30" x14ac:dyDescent="0.25">
      <c r="K11" s="6"/>
      <c r="L11" s="7"/>
      <c r="M11" s="7"/>
      <c r="N11" s="7"/>
      <c r="O11" s="7"/>
      <c r="P11" s="7"/>
      <c r="Q11" s="8"/>
    </row>
    <row r="12" spans="2:30" x14ac:dyDescent="0.25">
      <c r="B12">
        <v>0</v>
      </c>
      <c r="C12">
        <f>C5+8</f>
        <v>8</v>
      </c>
      <c r="D12" t="s">
        <v>18</v>
      </c>
      <c r="E12">
        <f>$E$5+5</f>
        <v>35</v>
      </c>
      <c r="F12">
        <v>5</v>
      </c>
      <c r="G12" t="s">
        <v>16</v>
      </c>
      <c r="K12" s="6"/>
      <c r="L12" s="7"/>
      <c r="M12" s="7"/>
      <c r="N12" s="7"/>
      <c r="O12" s="7"/>
      <c r="P12" s="7"/>
      <c r="Q12" s="8"/>
    </row>
    <row r="13" spans="2:30" x14ac:dyDescent="0.25">
      <c r="K13" s="6"/>
      <c r="L13" s="7"/>
      <c r="M13" s="7"/>
      <c r="N13" s="7"/>
      <c r="O13" s="7"/>
      <c r="P13" s="7"/>
      <c r="Q13" s="8"/>
    </row>
    <row r="14" spans="2:30" x14ac:dyDescent="0.25">
      <c r="K14" s="6"/>
      <c r="L14" s="7"/>
      <c r="M14" s="7"/>
      <c r="N14" s="7"/>
      <c r="O14" s="7"/>
      <c r="P14" s="7"/>
      <c r="Q14" s="8"/>
    </row>
    <row r="15" spans="2:30" x14ac:dyDescent="0.25">
      <c r="K15" s="6"/>
      <c r="L15" s="7"/>
      <c r="M15" s="7"/>
      <c r="N15" s="7"/>
      <c r="O15" s="7"/>
      <c r="P15" s="7"/>
      <c r="Q15" s="8"/>
    </row>
    <row r="16" spans="2:30" x14ac:dyDescent="0.25">
      <c r="K16" s="6"/>
      <c r="L16" s="7"/>
      <c r="M16" s="7"/>
      <c r="N16" s="7"/>
      <c r="O16" s="7"/>
      <c r="P16" s="7"/>
      <c r="Q16" s="8"/>
    </row>
    <row r="17" spans="11:17" x14ac:dyDescent="0.25">
      <c r="K17" s="6"/>
      <c r="L17" s="7"/>
      <c r="M17" s="7"/>
      <c r="N17" s="7"/>
      <c r="O17" s="7"/>
      <c r="P17" s="7"/>
      <c r="Q17" s="8"/>
    </row>
    <row r="18" spans="11:17" x14ac:dyDescent="0.25">
      <c r="K18" s="6"/>
      <c r="L18" s="7"/>
      <c r="M18" s="7"/>
      <c r="N18" s="7"/>
      <c r="O18" s="7"/>
      <c r="P18" s="7"/>
      <c r="Q18" s="8"/>
    </row>
    <row r="19" spans="11:17" x14ac:dyDescent="0.25">
      <c r="K19" s="6"/>
      <c r="L19" s="7"/>
      <c r="M19" s="7"/>
      <c r="N19" s="7"/>
      <c r="O19" s="7"/>
      <c r="P19" s="7"/>
      <c r="Q19" s="8"/>
    </row>
    <row r="20" spans="11:17" x14ac:dyDescent="0.25">
      <c r="K20" s="6"/>
      <c r="L20" s="7"/>
      <c r="M20" s="7"/>
      <c r="N20" s="7"/>
      <c r="O20" s="7"/>
      <c r="P20" s="7"/>
      <c r="Q20" s="8"/>
    </row>
    <row r="21" spans="11:17" x14ac:dyDescent="0.25">
      <c r="K21" s="6"/>
      <c r="L21" s="7"/>
      <c r="M21" s="7"/>
      <c r="N21" s="7"/>
      <c r="O21" s="7"/>
      <c r="P21" s="7"/>
      <c r="Q21" s="8"/>
    </row>
    <row r="22" spans="11:17" x14ac:dyDescent="0.25">
      <c r="K22" s="6"/>
      <c r="L22" s="7"/>
      <c r="M22" s="7"/>
      <c r="N22" s="7"/>
      <c r="O22" s="7"/>
      <c r="P22" s="7"/>
      <c r="Q22" s="8"/>
    </row>
    <row r="23" spans="11:17" x14ac:dyDescent="0.25">
      <c r="K23" s="6"/>
      <c r="L23" s="7"/>
      <c r="M23" s="7"/>
      <c r="N23" s="7"/>
      <c r="O23" s="7"/>
      <c r="P23" s="7"/>
      <c r="Q23" s="8"/>
    </row>
    <row r="24" spans="11:17" x14ac:dyDescent="0.25">
      <c r="K24" s="6"/>
      <c r="L24" s="7"/>
      <c r="M24" s="7"/>
      <c r="N24" s="7"/>
      <c r="O24" s="7"/>
      <c r="P24" s="7"/>
      <c r="Q24" s="8"/>
    </row>
    <row r="25" spans="11:17" x14ac:dyDescent="0.25">
      <c r="K25" s="9"/>
      <c r="L25" s="10"/>
      <c r="M25" s="10"/>
      <c r="N25" s="10"/>
      <c r="O25" s="10"/>
      <c r="P25" s="10"/>
      <c r="Q25" s="11"/>
    </row>
  </sheetData>
  <dataValidations count="1">
    <dataValidation type="list" allowBlank="1" showInputMessage="1" showErrorMessage="1" sqref="L4" xr:uid="{428D0302-D0FD-4F15-B59C-3373CE7EF431}">
      <formula1>"Random,Trained"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rainMario">
                <anchor moveWithCells="1" sizeWithCells="1">
                  <from>
                    <xdr:col>12</xdr:col>
                    <xdr:colOff>409575</xdr:colOff>
                    <xdr:row>22</xdr:row>
                    <xdr:rowOff>66675</xdr:rowOff>
                  </from>
                  <to>
                    <xdr:col>14</xdr:col>
                    <xdr:colOff>133350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SingleRun">
                <anchor moveWithCells="1" sizeWithCells="1">
                  <from>
                    <xdr:col>12</xdr:col>
                    <xdr:colOff>447675</xdr:colOff>
                    <xdr:row>18</xdr:row>
                    <xdr:rowOff>38100</xdr:rowOff>
                  </from>
                  <to>
                    <xdr:col>14</xdr:col>
                    <xdr:colOff>123825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ResetGame">
                <anchor moveWithCells="1" sizeWithCells="1">
                  <from>
                    <xdr:col>12</xdr:col>
                    <xdr:colOff>447675</xdr:colOff>
                    <xdr:row>20</xdr:row>
                    <xdr:rowOff>47625</xdr:rowOff>
                  </from>
                  <to>
                    <xdr:col>14</xdr:col>
                    <xdr:colOff>123825</xdr:colOff>
                    <xdr:row>21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9ED7C-F1D2-4530-9248-1E307884DE02}">
  <sheetPr codeName="Sheet1">
    <tabColor rgb="FFFFFF00"/>
  </sheetPr>
  <dimension ref="B2:Q25"/>
  <sheetViews>
    <sheetView workbookViewId="0">
      <selection activeCell="K29" sqref="K29"/>
    </sheetView>
  </sheetViews>
  <sheetFormatPr defaultRowHeight="15" x14ac:dyDescent="0.25"/>
  <cols>
    <col min="2" max="10" width="3.42578125" customWidth="1"/>
  </cols>
  <sheetData>
    <row r="2" spans="2:17" x14ac:dyDescent="0.25">
      <c r="K2" s="12" t="s">
        <v>19</v>
      </c>
      <c r="L2" s="16" t="s">
        <v>9</v>
      </c>
      <c r="M2" s="2"/>
      <c r="N2" s="2"/>
      <c r="O2" s="2"/>
      <c r="P2" s="2"/>
      <c r="Q2" s="2"/>
    </row>
    <row r="3" spans="2:17" x14ac:dyDescent="0.25">
      <c r="B3" t="s">
        <v>0</v>
      </c>
      <c r="E3" t="s">
        <v>9</v>
      </c>
      <c r="H3" t="s">
        <v>10</v>
      </c>
      <c r="K3" s="12" t="s">
        <v>3</v>
      </c>
      <c r="L3" s="16">
        <v>10</v>
      </c>
      <c r="M3" s="13" t="s">
        <v>4</v>
      </c>
      <c r="N3" s="2"/>
      <c r="O3" s="2"/>
      <c r="P3" s="2"/>
      <c r="Q3" s="2"/>
    </row>
    <row r="4" spans="2:17" x14ac:dyDescent="0.25">
      <c r="B4" t="s">
        <v>1</v>
      </c>
      <c r="C4" t="s">
        <v>2</v>
      </c>
      <c r="E4" t="s">
        <v>1</v>
      </c>
      <c r="F4" t="s">
        <v>2</v>
      </c>
      <c r="H4" t="s">
        <v>1</v>
      </c>
      <c r="I4" t="s">
        <v>2</v>
      </c>
      <c r="K4" s="12" t="s">
        <v>8</v>
      </c>
      <c r="L4" s="16" t="s">
        <v>20</v>
      </c>
      <c r="M4" s="13" t="s">
        <v>59</v>
      </c>
      <c r="N4" s="2"/>
      <c r="O4" s="2"/>
      <c r="P4" s="2"/>
      <c r="Q4" s="2"/>
    </row>
    <row r="5" spans="2:17" x14ac:dyDescent="0.25">
      <c r="B5" s="1">
        <v>1</v>
      </c>
      <c r="C5" s="1">
        <v>7</v>
      </c>
      <c r="D5" t="s">
        <v>18</v>
      </c>
      <c r="E5">
        <v>1</v>
      </c>
      <c r="F5">
        <v>5</v>
      </c>
      <c r="H5">
        <v>7</v>
      </c>
      <c r="I5">
        <v>1</v>
      </c>
      <c r="J5" t="s">
        <v>41</v>
      </c>
      <c r="K5" s="3" t="s">
        <v>38</v>
      </c>
      <c r="L5" s="4"/>
      <c r="M5" s="49"/>
      <c r="N5" s="50"/>
      <c r="O5" s="50"/>
      <c r="P5" s="4"/>
      <c r="Q5" s="5"/>
    </row>
    <row r="6" spans="2:17" x14ac:dyDescent="0.25">
      <c r="E6">
        <v>2</v>
      </c>
      <c r="F6">
        <v>2</v>
      </c>
      <c r="K6" s="6"/>
      <c r="L6" s="7"/>
      <c r="M6" s="7"/>
      <c r="N6" s="7"/>
      <c r="O6" s="7"/>
      <c r="P6" s="7"/>
      <c r="Q6" s="8"/>
    </row>
    <row r="7" spans="2:17" x14ac:dyDescent="0.25">
      <c r="E7">
        <v>2</v>
      </c>
      <c r="F7">
        <v>3</v>
      </c>
      <c r="K7" s="6"/>
      <c r="L7" s="7"/>
      <c r="M7" s="7"/>
      <c r="N7" s="7"/>
      <c r="O7" s="7"/>
      <c r="P7" s="7"/>
      <c r="Q7" s="8"/>
    </row>
    <row r="8" spans="2:17" x14ac:dyDescent="0.25">
      <c r="E8">
        <v>2</v>
      </c>
      <c r="F8">
        <v>5</v>
      </c>
      <c r="K8" s="6"/>
      <c r="L8" s="7"/>
      <c r="M8" s="7"/>
      <c r="N8" s="7"/>
      <c r="O8" s="7"/>
      <c r="P8" s="7"/>
      <c r="Q8" s="8"/>
    </row>
    <row r="9" spans="2:17" x14ac:dyDescent="0.25">
      <c r="E9">
        <v>2</v>
      </c>
      <c r="F9">
        <v>7</v>
      </c>
      <c r="K9" s="6"/>
      <c r="L9" s="7"/>
      <c r="M9" s="7"/>
      <c r="N9" s="7"/>
      <c r="O9" s="7"/>
      <c r="P9" s="7"/>
      <c r="Q9" s="8"/>
    </row>
    <row r="10" spans="2:17" x14ac:dyDescent="0.25">
      <c r="E10">
        <v>3</v>
      </c>
      <c r="F10">
        <v>3</v>
      </c>
      <c r="K10" s="6"/>
      <c r="L10" s="7"/>
      <c r="M10" s="7"/>
      <c r="N10" s="7"/>
      <c r="O10" s="7"/>
      <c r="P10" s="7"/>
      <c r="Q10" s="8"/>
    </row>
    <row r="11" spans="2:17" x14ac:dyDescent="0.25">
      <c r="E11">
        <v>3</v>
      </c>
      <c r="F11">
        <v>5</v>
      </c>
      <c r="K11" s="6"/>
      <c r="L11" s="7"/>
      <c r="M11" s="7"/>
      <c r="N11" s="7"/>
      <c r="O11" s="7"/>
      <c r="P11" s="7"/>
      <c r="Q11" s="8"/>
    </row>
    <row r="12" spans="2:17" x14ac:dyDescent="0.25">
      <c r="E12">
        <v>4</v>
      </c>
      <c r="F12">
        <v>1</v>
      </c>
      <c r="K12" s="6"/>
      <c r="L12" s="7"/>
      <c r="M12" s="7"/>
      <c r="N12" s="7"/>
      <c r="O12" s="7"/>
      <c r="P12" s="7"/>
      <c r="Q12" s="8"/>
    </row>
    <row r="13" spans="2:17" x14ac:dyDescent="0.25">
      <c r="E13">
        <v>4</v>
      </c>
      <c r="F13">
        <v>3</v>
      </c>
      <c r="K13" s="6"/>
      <c r="L13" s="7"/>
      <c r="M13" s="7"/>
      <c r="N13" s="7"/>
      <c r="O13" s="7"/>
      <c r="P13" s="7"/>
      <c r="Q13" s="8"/>
    </row>
    <row r="14" spans="2:17" x14ac:dyDescent="0.25">
      <c r="E14">
        <v>4</v>
      </c>
      <c r="F14">
        <v>6</v>
      </c>
      <c r="K14" s="6"/>
      <c r="L14" s="7"/>
      <c r="M14" s="7"/>
      <c r="N14" s="7"/>
      <c r="O14" s="7"/>
      <c r="P14" s="7"/>
      <c r="Q14" s="8"/>
    </row>
    <row r="15" spans="2:17" x14ac:dyDescent="0.25">
      <c r="E15">
        <v>5</v>
      </c>
      <c r="F15">
        <v>4</v>
      </c>
      <c r="K15" s="6"/>
      <c r="L15" s="7"/>
      <c r="M15" s="7"/>
      <c r="N15" s="7"/>
      <c r="O15" s="7"/>
      <c r="P15" s="7"/>
      <c r="Q15" s="8"/>
    </row>
    <row r="16" spans="2:17" x14ac:dyDescent="0.25">
      <c r="E16">
        <v>5</v>
      </c>
      <c r="F16">
        <v>6</v>
      </c>
      <c r="K16" s="6"/>
      <c r="L16" s="7"/>
      <c r="M16" s="7"/>
      <c r="N16" s="7"/>
      <c r="O16" s="7"/>
      <c r="P16" s="7"/>
      <c r="Q16" s="8"/>
    </row>
    <row r="17" spans="5:17" x14ac:dyDescent="0.25">
      <c r="E17">
        <v>6</v>
      </c>
      <c r="F17">
        <v>4</v>
      </c>
      <c r="K17" s="6"/>
      <c r="L17" s="7"/>
      <c r="M17" s="7"/>
      <c r="N17" s="7"/>
      <c r="O17" s="7"/>
      <c r="P17" s="7"/>
      <c r="Q17" s="8"/>
    </row>
    <row r="18" spans="5:17" x14ac:dyDescent="0.25">
      <c r="E18">
        <v>7</v>
      </c>
      <c r="F18">
        <v>5</v>
      </c>
      <c r="K18" s="6"/>
      <c r="L18" s="7"/>
      <c r="M18" s="7"/>
      <c r="N18" s="7"/>
      <c r="O18" s="7"/>
      <c r="P18" s="7"/>
      <c r="Q18" s="8"/>
    </row>
    <row r="19" spans="5:17" x14ac:dyDescent="0.25">
      <c r="E19">
        <v>7</v>
      </c>
      <c r="F19">
        <v>6</v>
      </c>
      <c r="K19" s="6"/>
      <c r="L19" s="7"/>
      <c r="M19" s="7"/>
      <c r="N19" s="7"/>
      <c r="O19" s="7"/>
      <c r="P19" s="7"/>
      <c r="Q19" s="8"/>
    </row>
    <row r="20" spans="5:17" x14ac:dyDescent="0.25">
      <c r="K20" s="6"/>
      <c r="L20" s="7"/>
      <c r="M20" s="7"/>
      <c r="N20" s="7"/>
      <c r="O20" s="7"/>
      <c r="P20" s="7"/>
      <c r="Q20" s="8"/>
    </row>
    <row r="21" spans="5:17" x14ac:dyDescent="0.25">
      <c r="K21" s="6"/>
      <c r="L21" s="7"/>
      <c r="M21" s="7"/>
      <c r="N21" s="7"/>
      <c r="O21" s="7"/>
      <c r="P21" s="7"/>
      <c r="Q21" s="8"/>
    </row>
    <row r="22" spans="5:17" x14ac:dyDescent="0.25">
      <c r="K22" s="6"/>
      <c r="L22" s="7"/>
      <c r="M22" s="7"/>
      <c r="N22" s="7"/>
      <c r="O22" s="7"/>
      <c r="P22" s="7"/>
      <c r="Q22" s="8"/>
    </row>
    <row r="23" spans="5:17" x14ac:dyDescent="0.25">
      <c r="K23" s="6"/>
      <c r="L23" s="7"/>
      <c r="M23" s="7"/>
      <c r="N23" s="7"/>
      <c r="O23" s="7"/>
      <c r="P23" s="7"/>
      <c r="Q23" s="8"/>
    </row>
    <row r="24" spans="5:17" x14ac:dyDescent="0.25">
      <c r="K24" s="6"/>
      <c r="L24" s="7"/>
      <c r="M24" s="7"/>
      <c r="N24" s="7"/>
      <c r="O24" s="7"/>
      <c r="P24" s="7"/>
      <c r="Q24" s="8"/>
    </row>
    <row r="25" spans="5:17" x14ac:dyDescent="0.25">
      <c r="K25" s="9"/>
      <c r="L25" s="10"/>
      <c r="M25" s="10"/>
      <c r="N25" s="10"/>
      <c r="O25" s="10"/>
      <c r="P25" s="10"/>
      <c r="Q25" s="11"/>
    </row>
  </sheetData>
  <dataValidations count="1">
    <dataValidation type="list" allowBlank="1" showInputMessage="1" showErrorMessage="1" sqref="L4" xr:uid="{4BE1D0A3-074D-46EE-AB76-01D49BB338D5}">
      <formula1>"Random,Trained"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Mario">
                <anchor moveWithCells="1" sizeWithCells="1">
                  <from>
                    <xdr:col>12</xdr:col>
                    <xdr:colOff>409575</xdr:colOff>
                    <xdr:row>22</xdr:row>
                    <xdr:rowOff>66675</xdr:rowOff>
                  </from>
                  <to>
                    <xdr:col>14</xdr:col>
                    <xdr:colOff>133350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ingleRun">
                <anchor moveWithCells="1" sizeWithCells="1">
                  <from>
                    <xdr:col>12</xdr:col>
                    <xdr:colOff>447675</xdr:colOff>
                    <xdr:row>18</xdr:row>
                    <xdr:rowOff>38100</xdr:rowOff>
                  </from>
                  <to>
                    <xdr:col>14</xdr:col>
                    <xdr:colOff>123825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Game">
                <anchor moveWithCells="1" sizeWithCells="1">
                  <from>
                    <xdr:col>12</xdr:col>
                    <xdr:colOff>447675</xdr:colOff>
                    <xdr:row>20</xdr:row>
                    <xdr:rowOff>57150</xdr:rowOff>
                  </from>
                  <to>
                    <xdr:col>14</xdr:col>
                    <xdr:colOff>123825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3F5AD-59FC-4B82-BDBE-FBE01B58E86E}">
  <sheetPr codeName="Sheet12">
    <tabColor rgb="FFFFFF00"/>
  </sheetPr>
  <dimension ref="B2:Y31"/>
  <sheetViews>
    <sheetView tabSelected="1" workbookViewId="0">
      <selection activeCell="A3" sqref="A3"/>
    </sheetView>
  </sheetViews>
  <sheetFormatPr defaultRowHeight="15" x14ac:dyDescent="0.25"/>
  <cols>
    <col min="2" max="10" width="3.42578125" customWidth="1"/>
    <col min="23" max="23" width="9.140625" customWidth="1"/>
  </cols>
  <sheetData>
    <row r="2" spans="2:25" x14ac:dyDescent="0.25">
      <c r="K2" s="12" t="s">
        <v>19</v>
      </c>
      <c r="L2" s="16" t="s">
        <v>40</v>
      </c>
      <c r="M2" s="2"/>
      <c r="N2" s="2"/>
      <c r="O2" s="2"/>
      <c r="P2" s="2"/>
      <c r="Q2" s="2"/>
    </row>
    <row r="3" spans="2:25" x14ac:dyDescent="0.25">
      <c r="B3" t="s">
        <v>0</v>
      </c>
      <c r="E3" t="s">
        <v>9</v>
      </c>
      <c r="H3" t="s">
        <v>10</v>
      </c>
      <c r="K3" s="12" t="s">
        <v>3</v>
      </c>
      <c r="L3" s="16">
        <v>10</v>
      </c>
      <c r="M3" s="13" t="s">
        <v>4</v>
      </c>
      <c r="N3" s="2"/>
      <c r="O3" s="2"/>
      <c r="P3" s="2"/>
      <c r="Q3" s="2"/>
    </row>
    <row r="4" spans="2:25" x14ac:dyDescent="0.25">
      <c r="B4" t="s">
        <v>1</v>
      </c>
      <c r="C4" t="s">
        <v>2</v>
      </c>
      <c r="E4" t="s">
        <v>1</v>
      </c>
      <c r="F4" t="s">
        <v>2</v>
      </c>
      <c r="H4" t="s">
        <v>1</v>
      </c>
      <c r="I4" t="s">
        <v>2</v>
      </c>
      <c r="K4" s="12" t="s">
        <v>8</v>
      </c>
      <c r="L4" s="16" t="s">
        <v>20</v>
      </c>
      <c r="M4" s="13" t="s">
        <v>59</v>
      </c>
      <c r="N4" s="2"/>
      <c r="O4" s="2"/>
      <c r="P4" s="2"/>
      <c r="Q4" s="2"/>
      <c r="W4">
        <v>-1</v>
      </c>
      <c r="X4">
        <v>0</v>
      </c>
      <c r="Y4">
        <v>1</v>
      </c>
    </row>
    <row r="5" spans="2:25" x14ac:dyDescent="0.25">
      <c r="B5" s="1">
        <v>1</v>
      </c>
      <c r="C5" s="1">
        <v>7</v>
      </c>
      <c r="D5" t="s">
        <v>18</v>
      </c>
      <c r="E5">
        <v>1</v>
      </c>
      <c r="F5">
        <v>5</v>
      </c>
      <c r="H5">
        <v>13</v>
      </c>
      <c r="I5">
        <v>6</v>
      </c>
      <c r="J5" t="s">
        <v>41</v>
      </c>
      <c r="K5" s="3" t="s">
        <v>38</v>
      </c>
      <c r="L5" s="4"/>
      <c r="M5" s="49"/>
      <c r="N5" s="50"/>
      <c r="O5" s="50"/>
      <c r="P5" s="4"/>
      <c r="Q5" s="5"/>
      <c r="V5">
        <v>1</v>
      </c>
      <c r="W5">
        <v>10</v>
      </c>
      <c r="X5">
        <v>11</v>
      </c>
      <c r="Y5">
        <v>12</v>
      </c>
    </row>
    <row r="6" spans="2:25" x14ac:dyDescent="0.25">
      <c r="E6">
        <v>2</v>
      </c>
      <c r="F6">
        <v>2</v>
      </c>
      <c r="K6" s="6"/>
      <c r="L6" s="7"/>
      <c r="M6" s="7"/>
      <c r="N6" s="7"/>
      <c r="O6" s="7"/>
      <c r="P6" s="7"/>
      <c r="Q6" s="8"/>
      <c r="V6">
        <v>0</v>
      </c>
      <c r="W6">
        <v>8</v>
      </c>
      <c r="Y6">
        <v>9</v>
      </c>
    </row>
    <row r="7" spans="2:25" x14ac:dyDescent="0.25">
      <c r="E7">
        <v>2</v>
      </c>
      <c r="F7">
        <v>3</v>
      </c>
      <c r="K7" s="6"/>
      <c r="L7" s="7"/>
      <c r="M7" s="7"/>
      <c r="N7" s="7"/>
      <c r="O7" s="7"/>
      <c r="P7" s="7"/>
      <c r="Q7" s="8"/>
      <c r="V7">
        <v>-1</v>
      </c>
      <c r="W7">
        <v>5</v>
      </c>
      <c r="X7">
        <v>6</v>
      </c>
      <c r="Y7">
        <v>7</v>
      </c>
    </row>
    <row r="8" spans="2:25" x14ac:dyDescent="0.25">
      <c r="E8">
        <v>2</v>
      </c>
      <c r="F8">
        <v>5</v>
      </c>
      <c r="K8" s="6"/>
      <c r="L8" s="7"/>
      <c r="M8" s="7"/>
      <c r="N8" s="7"/>
      <c r="O8" s="7"/>
      <c r="P8" s="7"/>
      <c r="Q8" s="8"/>
    </row>
    <row r="9" spans="2:25" x14ac:dyDescent="0.25">
      <c r="E9">
        <v>2</v>
      </c>
      <c r="F9">
        <v>7</v>
      </c>
      <c r="K9" s="6"/>
      <c r="L9" s="7"/>
      <c r="M9" s="7"/>
      <c r="N9" s="7"/>
      <c r="O9" s="7"/>
      <c r="P9" s="7"/>
      <c r="Q9" s="8"/>
    </row>
    <row r="10" spans="2:25" x14ac:dyDescent="0.25">
      <c r="E10">
        <v>3</v>
      </c>
      <c r="F10">
        <v>3</v>
      </c>
      <c r="K10" s="6"/>
      <c r="L10" s="7"/>
      <c r="M10" s="7"/>
      <c r="N10" s="7"/>
      <c r="O10" s="7"/>
      <c r="P10" s="7"/>
      <c r="Q10" s="8"/>
      <c r="W10">
        <v>-1</v>
      </c>
      <c r="X10">
        <v>0</v>
      </c>
      <c r="Y10">
        <v>1</v>
      </c>
    </row>
    <row r="11" spans="2:25" x14ac:dyDescent="0.25">
      <c r="E11">
        <v>3</v>
      </c>
      <c r="F11">
        <v>5</v>
      </c>
      <c r="K11" s="6"/>
      <c r="L11" s="7"/>
      <c r="M11" s="7"/>
      <c r="N11" s="7"/>
      <c r="O11" s="7"/>
      <c r="P11" s="7"/>
      <c r="Q11" s="8"/>
      <c r="V11">
        <v>1</v>
      </c>
      <c r="W11">
        <v>18</v>
      </c>
      <c r="X11">
        <v>19</v>
      </c>
      <c r="Y11">
        <v>20</v>
      </c>
    </row>
    <row r="12" spans="2:25" x14ac:dyDescent="0.25">
      <c r="E12">
        <v>4</v>
      </c>
      <c r="F12">
        <v>1</v>
      </c>
      <c r="K12" s="6"/>
      <c r="L12" s="7"/>
      <c r="M12" s="7"/>
      <c r="N12" s="7"/>
      <c r="O12" s="7"/>
      <c r="P12" s="7"/>
      <c r="Q12" s="8"/>
      <c r="V12">
        <v>0</v>
      </c>
      <c r="W12">
        <v>16</v>
      </c>
      <c r="Y12">
        <v>17</v>
      </c>
    </row>
    <row r="13" spans="2:25" x14ac:dyDescent="0.25">
      <c r="E13">
        <v>4</v>
      </c>
      <c r="F13">
        <v>3</v>
      </c>
      <c r="K13" s="6"/>
      <c r="L13" s="7"/>
      <c r="M13" s="7"/>
      <c r="N13" s="7"/>
      <c r="O13" s="7"/>
      <c r="P13" s="7"/>
      <c r="Q13" s="8"/>
      <c r="V13">
        <v>-1</v>
      </c>
      <c r="W13">
        <v>13</v>
      </c>
      <c r="X13">
        <v>14</v>
      </c>
      <c r="Y13">
        <v>15</v>
      </c>
    </row>
    <row r="14" spans="2:25" x14ac:dyDescent="0.25">
      <c r="E14">
        <v>4</v>
      </c>
      <c r="F14">
        <v>6</v>
      </c>
      <c r="K14" s="6"/>
      <c r="L14" s="7"/>
      <c r="M14" s="7"/>
      <c r="N14" s="7"/>
      <c r="O14" s="7"/>
      <c r="P14" s="7"/>
      <c r="Q14" s="8"/>
    </row>
    <row r="15" spans="2:25" x14ac:dyDescent="0.25">
      <c r="E15">
        <v>5</v>
      </c>
      <c r="F15">
        <v>4</v>
      </c>
      <c r="K15" s="6"/>
      <c r="L15" s="7"/>
      <c r="M15" s="7"/>
      <c r="N15" s="7"/>
      <c r="O15" s="7"/>
      <c r="P15" s="7"/>
      <c r="Q15" s="8"/>
    </row>
    <row r="16" spans="2:25" x14ac:dyDescent="0.25">
      <c r="E16">
        <v>5</v>
      </c>
      <c r="F16">
        <v>6</v>
      </c>
      <c r="K16" s="6"/>
      <c r="L16" s="7"/>
      <c r="M16" s="7"/>
      <c r="N16" s="7"/>
      <c r="O16" s="7"/>
      <c r="P16" s="7"/>
      <c r="Q16" s="8"/>
    </row>
    <row r="17" spans="5:17" x14ac:dyDescent="0.25">
      <c r="E17">
        <v>6</v>
      </c>
      <c r="F17">
        <v>4</v>
      </c>
      <c r="K17" s="6"/>
      <c r="L17" s="7"/>
      <c r="M17" s="7"/>
      <c r="N17" s="7"/>
      <c r="O17" s="7"/>
      <c r="P17" s="7"/>
      <c r="Q17" s="8"/>
    </row>
    <row r="18" spans="5:17" x14ac:dyDescent="0.25">
      <c r="E18">
        <v>7</v>
      </c>
      <c r="F18">
        <v>5</v>
      </c>
      <c r="K18" s="6"/>
      <c r="L18" s="7"/>
      <c r="M18" s="7"/>
      <c r="N18" s="7"/>
      <c r="O18" s="7"/>
      <c r="P18" s="7"/>
      <c r="Q18" s="8"/>
    </row>
    <row r="19" spans="5:17" x14ac:dyDescent="0.25">
      <c r="E19">
        <v>7</v>
      </c>
      <c r="F19">
        <v>6</v>
      </c>
      <c r="K19" s="6"/>
      <c r="L19" s="7"/>
      <c r="M19" s="7"/>
      <c r="N19" s="7"/>
      <c r="O19" s="7"/>
      <c r="P19" s="7"/>
      <c r="Q19" s="8"/>
    </row>
    <row r="20" spans="5:17" x14ac:dyDescent="0.25">
      <c r="E20">
        <v>7</v>
      </c>
      <c r="F20">
        <v>7</v>
      </c>
      <c r="K20" s="6"/>
      <c r="L20" s="7"/>
      <c r="M20" s="7"/>
      <c r="N20" s="7"/>
      <c r="O20" s="7"/>
      <c r="P20" s="7"/>
      <c r="Q20" s="8"/>
    </row>
    <row r="21" spans="5:17" x14ac:dyDescent="0.25">
      <c r="E21">
        <v>8</v>
      </c>
      <c r="F21">
        <v>2</v>
      </c>
      <c r="K21" s="6"/>
      <c r="L21" s="7"/>
      <c r="M21" s="7"/>
      <c r="N21" s="7"/>
      <c r="O21" s="7"/>
      <c r="P21" s="7"/>
      <c r="Q21" s="8"/>
    </row>
    <row r="22" spans="5:17" x14ac:dyDescent="0.25">
      <c r="E22">
        <v>9</v>
      </c>
      <c r="F22">
        <v>2</v>
      </c>
      <c r="K22" s="6"/>
      <c r="L22" s="7"/>
      <c r="M22" s="7"/>
      <c r="N22" s="7"/>
      <c r="O22" s="7"/>
      <c r="P22" s="7"/>
      <c r="Q22" s="8"/>
    </row>
    <row r="23" spans="5:17" x14ac:dyDescent="0.25">
      <c r="E23">
        <v>10</v>
      </c>
      <c r="F23">
        <v>2</v>
      </c>
      <c r="K23" s="6"/>
      <c r="L23" s="7"/>
      <c r="M23" s="7"/>
      <c r="N23" s="7"/>
      <c r="O23" s="7"/>
      <c r="P23" s="7"/>
      <c r="Q23" s="8"/>
    </row>
    <row r="24" spans="5:17" x14ac:dyDescent="0.25">
      <c r="E24">
        <v>11</v>
      </c>
      <c r="F24">
        <v>2</v>
      </c>
      <c r="K24" s="6"/>
      <c r="L24" s="7"/>
      <c r="M24" s="7"/>
      <c r="N24" s="7"/>
      <c r="O24" s="7"/>
      <c r="P24" s="7"/>
      <c r="Q24" s="8"/>
    </row>
    <row r="25" spans="5:17" x14ac:dyDescent="0.25">
      <c r="E25">
        <v>12</v>
      </c>
      <c r="F25">
        <v>2</v>
      </c>
      <c r="K25" s="9"/>
      <c r="L25" s="10"/>
      <c r="M25" s="10"/>
      <c r="N25" s="10"/>
      <c r="O25" s="10"/>
      <c r="P25" s="10"/>
      <c r="Q25" s="11"/>
    </row>
    <row r="26" spans="5:17" x14ac:dyDescent="0.25">
      <c r="E26">
        <v>13</v>
      </c>
      <c r="F26">
        <v>2</v>
      </c>
    </row>
    <row r="27" spans="5:17" x14ac:dyDescent="0.25">
      <c r="E27">
        <v>9</v>
      </c>
      <c r="F27">
        <v>5</v>
      </c>
    </row>
    <row r="28" spans="5:17" x14ac:dyDescent="0.25">
      <c r="E28">
        <v>10</v>
      </c>
      <c r="F28">
        <v>5</v>
      </c>
    </row>
    <row r="29" spans="5:17" x14ac:dyDescent="0.25">
      <c r="E29">
        <v>11</v>
      </c>
      <c r="F29">
        <v>5</v>
      </c>
    </row>
    <row r="30" spans="5:17" x14ac:dyDescent="0.25">
      <c r="E30">
        <v>12</v>
      </c>
      <c r="F30">
        <v>5</v>
      </c>
    </row>
    <row r="31" spans="5:17" x14ac:dyDescent="0.25">
      <c r="E31">
        <v>13</v>
      </c>
      <c r="F31">
        <v>5</v>
      </c>
    </row>
  </sheetData>
  <dataValidations count="1">
    <dataValidation type="list" allowBlank="1" showInputMessage="1" showErrorMessage="1" sqref="L4" xr:uid="{8F63F489-F9E9-4CAA-9A4F-8A5074CDA36B}">
      <formula1>"Random,Trained"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TrainMario">
                <anchor moveWithCells="1" sizeWithCells="1">
                  <from>
                    <xdr:col>12</xdr:col>
                    <xdr:colOff>409575</xdr:colOff>
                    <xdr:row>22</xdr:row>
                    <xdr:rowOff>66675</xdr:rowOff>
                  </from>
                  <to>
                    <xdr:col>14</xdr:col>
                    <xdr:colOff>133350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ingleRun">
                <anchor moveWithCells="1" sizeWithCells="1">
                  <from>
                    <xdr:col>12</xdr:col>
                    <xdr:colOff>447675</xdr:colOff>
                    <xdr:row>18</xdr:row>
                    <xdr:rowOff>38100</xdr:rowOff>
                  </from>
                  <to>
                    <xdr:col>14</xdr:col>
                    <xdr:colOff>123825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ResetGame">
                <anchor moveWithCells="1" sizeWithCells="1">
                  <from>
                    <xdr:col>12</xdr:col>
                    <xdr:colOff>447675</xdr:colOff>
                    <xdr:row>20</xdr:row>
                    <xdr:rowOff>57150</xdr:rowOff>
                  </from>
                  <to>
                    <xdr:col>14</xdr:col>
                    <xdr:colOff>123825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8272D-4E35-4D91-B186-EE1A06BCAB60}">
  <sheetPr codeName="Sheet17"/>
  <dimension ref="A4:H55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13" sqref="C13"/>
    </sheetView>
  </sheetViews>
  <sheetFormatPr defaultRowHeight="15" x14ac:dyDescent="0.25"/>
  <sheetData>
    <row r="4" spans="1:8" x14ac:dyDescent="0.25">
      <c r="B4" t="s">
        <v>13</v>
      </c>
      <c r="C4" t="s">
        <v>14</v>
      </c>
      <c r="D4" t="s">
        <v>15</v>
      </c>
      <c r="F4" t="s">
        <v>13</v>
      </c>
      <c r="G4" t="s">
        <v>14</v>
      </c>
      <c r="H4" t="s">
        <v>15</v>
      </c>
    </row>
    <row r="5" spans="1:8" x14ac:dyDescent="0.25">
      <c r="A5" t="s">
        <v>12</v>
      </c>
      <c r="B5" t="s">
        <v>43</v>
      </c>
      <c r="C5" t="s">
        <v>43</v>
      </c>
      <c r="D5" t="s">
        <v>43</v>
      </c>
      <c r="F5" t="s">
        <v>42</v>
      </c>
      <c r="G5" t="s">
        <v>42</v>
      </c>
      <c r="H5" t="s">
        <v>42</v>
      </c>
    </row>
    <row r="6" spans="1:8" x14ac:dyDescent="0.25">
      <c r="A6">
        <v>1</v>
      </c>
      <c r="B6">
        <v>-72.997000000000071</v>
      </c>
      <c r="C6">
        <v>109</v>
      </c>
      <c r="D6">
        <v>0</v>
      </c>
      <c r="F6">
        <v>-71.258000000000052</v>
      </c>
      <c r="G6">
        <v>109</v>
      </c>
      <c r="H6">
        <v>0</v>
      </c>
    </row>
    <row r="7" spans="1:8" x14ac:dyDescent="0.25">
      <c r="A7">
        <v>2</v>
      </c>
      <c r="B7">
        <v>-57.000999999999941</v>
      </c>
      <c r="C7">
        <v>109</v>
      </c>
      <c r="D7">
        <v>0</v>
      </c>
      <c r="F7">
        <v>-57.991999999999962</v>
      </c>
      <c r="G7">
        <v>109</v>
      </c>
      <c r="H7">
        <v>0</v>
      </c>
    </row>
    <row r="8" spans="1:8" x14ac:dyDescent="0.25">
      <c r="A8">
        <v>3</v>
      </c>
      <c r="B8">
        <v>-48.777999999999935</v>
      </c>
      <c r="C8">
        <v>109</v>
      </c>
      <c r="D8">
        <v>0</v>
      </c>
      <c r="F8">
        <v>-45.920999999999943</v>
      </c>
      <c r="G8">
        <v>109</v>
      </c>
      <c r="H8">
        <v>0</v>
      </c>
    </row>
    <row r="9" spans="1:8" x14ac:dyDescent="0.25">
      <c r="A9">
        <v>4</v>
      </c>
      <c r="B9">
        <v>-36.893999999999934</v>
      </c>
      <c r="C9">
        <v>109</v>
      </c>
      <c r="D9">
        <v>0</v>
      </c>
      <c r="F9">
        <v>-35.180999999999948</v>
      </c>
      <c r="G9">
        <v>109</v>
      </c>
      <c r="H9">
        <v>0</v>
      </c>
    </row>
    <row r="10" spans="1:8" x14ac:dyDescent="0.25">
      <c r="A10">
        <v>5</v>
      </c>
      <c r="B10">
        <v>-28.066999999999947</v>
      </c>
      <c r="C10">
        <v>109</v>
      </c>
      <c r="D10">
        <v>0</v>
      </c>
      <c r="F10">
        <v>-23.431999999999952</v>
      </c>
      <c r="G10">
        <v>109</v>
      </c>
      <c r="H10">
        <v>0</v>
      </c>
    </row>
    <row r="11" spans="1:8" x14ac:dyDescent="0.25">
      <c r="A11">
        <v>6</v>
      </c>
      <c r="B11">
        <v>-19.472999999999971</v>
      </c>
      <c r="C11">
        <v>109</v>
      </c>
      <c r="D11">
        <v>0</v>
      </c>
      <c r="F11">
        <v>-9.9979999999999869</v>
      </c>
      <c r="G11">
        <v>108.32</v>
      </c>
      <c r="H11">
        <v>0.02</v>
      </c>
    </row>
    <row r="12" spans="1:8" x14ac:dyDescent="0.25">
      <c r="A12">
        <v>7</v>
      </c>
      <c r="B12">
        <v>-10.707999999999988</v>
      </c>
      <c r="C12">
        <v>109</v>
      </c>
      <c r="D12">
        <v>0</v>
      </c>
      <c r="F12">
        <v>-1.0161999999999802</v>
      </c>
      <c r="G12">
        <v>106.94</v>
      </c>
      <c r="H12">
        <v>0.06</v>
      </c>
    </row>
    <row r="13" spans="1:8" x14ac:dyDescent="0.25">
      <c r="A13">
        <v>8</v>
      </c>
      <c r="B13">
        <v>-7.9189999999999916</v>
      </c>
      <c r="C13">
        <v>109</v>
      </c>
      <c r="D13">
        <v>0</v>
      </c>
      <c r="F13">
        <v>4.5876000000000428</v>
      </c>
      <c r="G13">
        <v>106.04</v>
      </c>
      <c r="H13">
        <v>0.08</v>
      </c>
    </row>
    <row r="14" spans="1:8" x14ac:dyDescent="0.25">
      <c r="A14">
        <v>9</v>
      </c>
      <c r="B14">
        <v>-6.8579999999999934</v>
      </c>
      <c r="C14">
        <v>109</v>
      </c>
      <c r="D14">
        <v>0</v>
      </c>
      <c r="F14">
        <v>29.94800000000005</v>
      </c>
      <c r="G14">
        <v>90.64</v>
      </c>
      <c r="H14">
        <v>0.44</v>
      </c>
    </row>
    <row r="15" spans="1:8" x14ac:dyDescent="0.25">
      <c r="A15">
        <v>10</v>
      </c>
      <c r="B15">
        <v>-6.4549999999999832</v>
      </c>
      <c r="C15">
        <v>109</v>
      </c>
      <c r="D15">
        <v>0</v>
      </c>
      <c r="F15">
        <v>38.705200000000055</v>
      </c>
      <c r="G15">
        <v>87.6</v>
      </c>
      <c r="H15">
        <v>0.57999999999999996</v>
      </c>
    </row>
    <row r="16" spans="1:8" x14ac:dyDescent="0.25">
      <c r="A16">
        <v>11</v>
      </c>
      <c r="B16">
        <v>-6.3249999999999762</v>
      </c>
      <c r="C16">
        <v>109</v>
      </c>
      <c r="D16">
        <v>0</v>
      </c>
      <c r="F16">
        <v>54.173800000000028</v>
      </c>
      <c r="G16">
        <v>75.599999999999994</v>
      </c>
      <c r="H16">
        <v>0.82</v>
      </c>
    </row>
    <row r="17" spans="1:8" x14ac:dyDescent="0.25">
      <c r="A17">
        <v>12</v>
      </c>
      <c r="B17">
        <v>-6.3689999999999714</v>
      </c>
      <c r="C17">
        <v>109</v>
      </c>
      <c r="D17">
        <v>0</v>
      </c>
      <c r="F17">
        <v>57.382000000000026</v>
      </c>
      <c r="G17">
        <v>66.36</v>
      </c>
      <c r="H17">
        <v>0.86</v>
      </c>
    </row>
    <row r="18" spans="1:8" x14ac:dyDescent="0.25">
      <c r="A18">
        <v>13</v>
      </c>
      <c r="B18">
        <v>-5.8519999999999675</v>
      </c>
      <c r="C18">
        <v>109</v>
      </c>
      <c r="D18">
        <v>0</v>
      </c>
      <c r="F18">
        <v>60.468600000000016</v>
      </c>
      <c r="G18">
        <v>57.88</v>
      </c>
      <c r="H18">
        <v>0.92</v>
      </c>
    </row>
    <row r="19" spans="1:8" x14ac:dyDescent="0.25">
      <c r="A19">
        <v>14</v>
      </c>
      <c r="B19">
        <v>-5.2649999999999659</v>
      </c>
      <c r="C19">
        <v>109</v>
      </c>
      <c r="D19">
        <v>0</v>
      </c>
      <c r="F19">
        <v>67.551000000000002</v>
      </c>
      <c r="G19">
        <v>47.7</v>
      </c>
      <c r="H19">
        <v>1</v>
      </c>
    </row>
    <row r="20" spans="1:8" x14ac:dyDescent="0.25">
      <c r="A20">
        <v>15</v>
      </c>
      <c r="B20">
        <v>-5.0049999999999644</v>
      </c>
      <c r="C20">
        <v>109</v>
      </c>
      <c r="D20">
        <v>0</v>
      </c>
      <c r="F20">
        <v>64.918000000000006</v>
      </c>
      <c r="G20">
        <v>43.38</v>
      </c>
      <c r="H20">
        <v>0.98</v>
      </c>
    </row>
    <row r="21" spans="1:8" x14ac:dyDescent="0.25">
      <c r="A21">
        <v>16</v>
      </c>
      <c r="B21">
        <v>-4.6579999999999622</v>
      </c>
      <c r="C21">
        <v>109</v>
      </c>
      <c r="D21">
        <v>0</v>
      </c>
      <c r="F21">
        <v>66.058199999999985</v>
      </c>
      <c r="G21">
        <v>38.520000000000003</v>
      </c>
      <c r="H21">
        <v>1</v>
      </c>
    </row>
    <row r="22" spans="1:8" x14ac:dyDescent="0.25">
      <c r="A22">
        <v>17</v>
      </c>
      <c r="B22">
        <v>-4.7179999999999618</v>
      </c>
      <c r="C22">
        <v>109</v>
      </c>
      <c r="D22">
        <v>0</v>
      </c>
      <c r="F22">
        <v>63.839999999999989</v>
      </c>
      <c r="G22">
        <v>39.08</v>
      </c>
      <c r="H22">
        <v>0.98</v>
      </c>
    </row>
    <row r="23" spans="1:8" x14ac:dyDescent="0.25">
      <c r="A23">
        <v>18</v>
      </c>
      <c r="B23">
        <v>-3.2019999999999591</v>
      </c>
      <c r="C23">
        <v>109</v>
      </c>
      <c r="D23">
        <v>0</v>
      </c>
      <c r="F23">
        <v>61.837399999999988</v>
      </c>
      <c r="G23">
        <v>39</v>
      </c>
      <c r="H23">
        <v>0.96</v>
      </c>
    </row>
    <row r="24" spans="1:8" x14ac:dyDescent="0.25">
      <c r="A24">
        <v>19</v>
      </c>
      <c r="B24">
        <v>-2.8549999999999573</v>
      </c>
      <c r="C24">
        <v>109</v>
      </c>
      <c r="D24">
        <v>0</v>
      </c>
      <c r="F24">
        <v>65.527600000000007</v>
      </c>
      <c r="G24">
        <v>37.56</v>
      </c>
      <c r="H24">
        <v>1</v>
      </c>
    </row>
    <row r="25" spans="1:8" x14ac:dyDescent="0.25">
      <c r="A25">
        <v>20</v>
      </c>
      <c r="B25">
        <v>-2.5849999999999569</v>
      </c>
      <c r="C25">
        <v>109</v>
      </c>
      <c r="D25">
        <v>0</v>
      </c>
      <c r="F25">
        <v>65.363599999999991</v>
      </c>
      <c r="G25">
        <v>36.159999999999997</v>
      </c>
      <c r="H25">
        <v>1</v>
      </c>
    </row>
    <row r="26" spans="1:8" x14ac:dyDescent="0.25">
      <c r="A26">
        <v>21</v>
      </c>
      <c r="B26">
        <v>-3.0799999999999579</v>
      </c>
      <c r="C26">
        <v>109</v>
      </c>
      <c r="D26">
        <v>0</v>
      </c>
      <c r="F26">
        <v>65.470399999999984</v>
      </c>
      <c r="G26">
        <v>35.74</v>
      </c>
      <c r="H26">
        <v>1</v>
      </c>
    </row>
    <row r="27" spans="1:8" x14ac:dyDescent="0.25">
      <c r="A27">
        <v>22</v>
      </c>
      <c r="B27">
        <v>-2.5419999999999567</v>
      </c>
      <c r="C27">
        <v>109</v>
      </c>
      <c r="D27">
        <v>0</v>
      </c>
      <c r="F27">
        <v>65.845199999999977</v>
      </c>
      <c r="G27">
        <v>36.72</v>
      </c>
      <c r="H27">
        <v>1</v>
      </c>
    </row>
    <row r="28" spans="1:8" x14ac:dyDescent="0.25">
      <c r="A28">
        <v>23</v>
      </c>
      <c r="B28">
        <v>-2.0459999999999554</v>
      </c>
      <c r="C28">
        <v>109</v>
      </c>
      <c r="D28">
        <v>0</v>
      </c>
    </row>
    <row r="29" spans="1:8" x14ac:dyDescent="0.25">
      <c r="A29">
        <v>24</v>
      </c>
      <c r="B29">
        <v>-2.4499999999999567</v>
      </c>
      <c r="C29">
        <v>109</v>
      </c>
      <c r="D29">
        <v>0</v>
      </c>
    </row>
    <row r="30" spans="1:8" x14ac:dyDescent="0.25">
      <c r="A30">
        <v>25</v>
      </c>
      <c r="B30">
        <v>-2.2099999999999556</v>
      </c>
      <c r="C30">
        <v>109</v>
      </c>
      <c r="D30">
        <v>0</v>
      </c>
    </row>
    <row r="31" spans="1:8" x14ac:dyDescent="0.25">
      <c r="A31">
        <v>26</v>
      </c>
      <c r="B31">
        <v>-2.1049999999999547</v>
      </c>
      <c r="C31">
        <v>109</v>
      </c>
      <c r="D31">
        <v>0</v>
      </c>
    </row>
    <row r="32" spans="1:8" x14ac:dyDescent="0.25">
      <c r="A32">
        <v>27</v>
      </c>
      <c r="B32">
        <v>-1.5059999999999525</v>
      </c>
      <c r="C32">
        <v>109</v>
      </c>
      <c r="D32">
        <v>0</v>
      </c>
    </row>
    <row r="33" spans="1:4" x14ac:dyDescent="0.25">
      <c r="A33">
        <v>28</v>
      </c>
      <c r="B33">
        <v>-1.7319999999999545</v>
      </c>
      <c r="C33">
        <v>109</v>
      </c>
      <c r="D33">
        <v>0</v>
      </c>
    </row>
    <row r="34" spans="1:4" x14ac:dyDescent="0.25">
      <c r="A34">
        <v>29</v>
      </c>
      <c r="B34">
        <v>-3.5149999999999593</v>
      </c>
      <c r="C34">
        <v>109</v>
      </c>
      <c r="D34">
        <v>0</v>
      </c>
    </row>
    <row r="35" spans="1:4" x14ac:dyDescent="0.25">
      <c r="A35">
        <v>30</v>
      </c>
      <c r="B35">
        <v>-3.7699999999999556</v>
      </c>
      <c r="C35">
        <v>109</v>
      </c>
      <c r="D35">
        <v>0</v>
      </c>
    </row>
    <row r="36" spans="1:4" x14ac:dyDescent="0.25">
      <c r="A36">
        <v>31</v>
      </c>
      <c r="B36">
        <v>-5.6749999999999625</v>
      </c>
      <c r="C36">
        <v>109</v>
      </c>
      <c r="D36">
        <v>0</v>
      </c>
    </row>
    <row r="37" spans="1:4" x14ac:dyDescent="0.25">
      <c r="A37">
        <v>32</v>
      </c>
      <c r="B37">
        <v>-4.7649999999999606</v>
      </c>
      <c r="C37">
        <v>109</v>
      </c>
      <c r="D37">
        <v>0</v>
      </c>
    </row>
    <row r="38" spans="1:4" x14ac:dyDescent="0.25">
      <c r="A38">
        <v>33</v>
      </c>
      <c r="B38">
        <v>-4.0879999999999583</v>
      </c>
      <c r="C38">
        <v>109</v>
      </c>
      <c r="D38">
        <v>0</v>
      </c>
    </row>
    <row r="39" spans="1:4" x14ac:dyDescent="0.25">
      <c r="A39">
        <v>34</v>
      </c>
      <c r="B39">
        <v>-5.5579999999999616</v>
      </c>
      <c r="C39">
        <v>109</v>
      </c>
      <c r="D39">
        <v>0</v>
      </c>
    </row>
    <row r="40" spans="1:4" x14ac:dyDescent="0.25">
      <c r="A40">
        <v>35</v>
      </c>
      <c r="B40">
        <v>-6.2769999999999619</v>
      </c>
      <c r="C40">
        <v>109</v>
      </c>
      <c r="D40">
        <v>0</v>
      </c>
    </row>
    <row r="41" spans="1:4" x14ac:dyDescent="0.25">
      <c r="A41">
        <v>36</v>
      </c>
      <c r="B41">
        <v>-2.824999999999954</v>
      </c>
      <c r="C41">
        <v>109</v>
      </c>
      <c r="D41">
        <v>0</v>
      </c>
    </row>
    <row r="42" spans="1:4" x14ac:dyDescent="0.25">
      <c r="A42">
        <v>37</v>
      </c>
      <c r="B42">
        <v>-5.1209999999999605</v>
      </c>
      <c r="C42">
        <v>109</v>
      </c>
      <c r="D42">
        <v>0</v>
      </c>
    </row>
    <row r="43" spans="1:4" x14ac:dyDescent="0.25">
      <c r="A43">
        <v>38</v>
      </c>
      <c r="B43">
        <v>-5.6459999999999608</v>
      </c>
      <c r="C43">
        <v>109</v>
      </c>
      <c r="D43">
        <v>0</v>
      </c>
    </row>
    <row r="44" spans="1:4" x14ac:dyDescent="0.25">
      <c r="A44">
        <v>39</v>
      </c>
      <c r="B44">
        <v>-1.9699999999999531</v>
      </c>
      <c r="C44">
        <v>109</v>
      </c>
      <c r="D44">
        <v>0</v>
      </c>
    </row>
    <row r="45" spans="1:4" x14ac:dyDescent="0.25">
      <c r="A45">
        <v>40</v>
      </c>
      <c r="B45">
        <v>-4.8959999999999608</v>
      </c>
      <c r="C45">
        <v>109</v>
      </c>
      <c r="D45">
        <v>0</v>
      </c>
    </row>
    <row r="46" spans="1:4" x14ac:dyDescent="0.25">
      <c r="A46">
        <v>41</v>
      </c>
      <c r="B46">
        <v>-2.9599999999999556</v>
      </c>
      <c r="C46">
        <v>109</v>
      </c>
      <c r="D46">
        <v>0</v>
      </c>
    </row>
    <row r="47" spans="1:4" x14ac:dyDescent="0.25">
      <c r="A47">
        <v>42</v>
      </c>
      <c r="B47">
        <v>-1.9999999999999531</v>
      </c>
      <c r="C47">
        <v>109</v>
      </c>
      <c r="D47">
        <v>0</v>
      </c>
    </row>
    <row r="48" spans="1:4" x14ac:dyDescent="0.25">
      <c r="A48">
        <v>43</v>
      </c>
      <c r="B48">
        <v>-3.5449999999999564</v>
      </c>
      <c r="C48">
        <v>109</v>
      </c>
      <c r="D48">
        <v>0</v>
      </c>
    </row>
    <row r="49" spans="1:4" x14ac:dyDescent="0.25">
      <c r="A49">
        <v>44</v>
      </c>
      <c r="B49">
        <v>-3.4549999999999561</v>
      </c>
      <c r="C49">
        <v>109</v>
      </c>
      <c r="D49">
        <v>0</v>
      </c>
    </row>
    <row r="50" spans="1:4" x14ac:dyDescent="0.25">
      <c r="A50">
        <v>45</v>
      </c>
      <c r="B50">
        <v>-2.2399999999999536</v>
      </c>
      <c r="C50">
        <v>109</v>
      </c>
      <c r="D50">
        <v>0</v>
      </c>
    </row>
    <row r="51" spans="1:4" x14ac:dyDescent="0.25">
      <c r="A51">
        <v>46</v>
      </c>
      <c r="B51">
        <v>-1.3709999999999505</v>
      </c>
      <c r="C51">
        <v>109</v>
      </c>
      <c r="D51">
        <v>0</v>
      </c>
    </row>
    <row r="52" spans="1:4" x14ac:dyDescent="0.25">
      <c r="A52">
        <v>47</v>
      </c>
      <c r="B52">
        <v>0.74500000000005562</v>
      </c>
      <c r="C52">
        <v>109</v>
      </c>
      <c r="D52">
        <v>0</v>
      </c>
    </row>
    <row r="53" spans="1:4" x14ac:dyDescent="0.25">
      <c r="A53">
        <v>48</v>
      </c>
      <c r="B53">
        <v>0.52000000000005409</v>
      </c>
      <c r="C53">
        <v>109</v>
      </c>
      <c r="D53">
        <v>0</v>
      </c>
    </row>
    <row r="54" spans="1:4" x14ac:dyDescent="0.25">
      <c r="A54">
        <v>49</v>
      </c>
      <c r="B54">
        <v>-1.1599999999999511</v>
      </c>
      <c r="C54">
        <v>109</v>
      </c>
      <c r="D54">
        <v>0</v>
      </c>
    </row>
    <row r="55" spans="1:4" x14ac:dyDescent="0.25">
      <c r="A55">
        <v>50</v>
      </c>
      <c r="B55">
        <v>1.7350000000000589</v>
      </c>
      <c r="C55">
        <v>109</v>
      </c>
      <c r="D55"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E152B-B384-4488-A135-AC4BFC1F8691}">
  <sheetPr codeName="Sheet9"/>
  <dimension ref="A1:P14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5" sqref="D15"/>
    </sheetView>
  </sheetViews>
  <sheetFormatPr defaultRowHeight="15" x14ac:dyDescent="0.25"/>
  <sheetData>
    <row r="1" spans="1:16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39</v>
      </c>
    </row>
    <row r="2" spans="1:16" x14ac:dyDescent="0.25">
      <c r="A2">
        <v>1</v>
      </c>
      <c r="B2">
        <v>-38.233999999999973</v>
      </c>
      <c r="C2">
        <v>58</v>
      </c>
      <c r="D2">
        <v>0</v>
      </c>
      <c r="F2">
        <v>1</v>
      </c>
      <c r="G2">
        <v>0.24525608241601562</v>
      </c>
    </row>
    <row r="3" spans="1:16" x14ac:dyDescent="0.25">
      <c r="A3">
        <v>2</v>
      </c>
      <c r="B3">
        <v>-30.683999999999973</v>
      </c>
      <c r="C3">
        <v>58</v>
      </c>
      <c r="D3">
        <v>0</v>
      </c>
      <c r="F3">
        <v>2</v>
      </c>
      <c r="G3">
        <v>0.24806937662720405</v>
      </c>
    </row>
    <row r="4" spans="1:16" x14ac:dyDescent="0.25">
      <c r="A4">
        <v>3</v>
      </c>
      <c r="B4">
        <v>-26.289999999999974</v>
      </c>
      <c r="C4">
        <v>58</v>
      </c>
      <c r="D4">
        <v>0</v>
      </c>
      <c r="F4">
        <v>3</v>
      </c>
      <c r="G4">
        <v>0.25811513252049734</v>
      </c>
    </row>
    <row r="5" spans="1:16" x14ac:dyDescent="0.25">
      <c r="A5">
        <v>4</v>
      </c>
      <c r="B5">
        <v>-21.312999999999985</v>
      </c>
      <c r="C5">
        <v>58</v>
      </c>
      <c r="D5">
        <v>0</v>
      </c>
      <c r="F5">
        <v>4</v>
      </c>
      <c r="G5">
        <v>0.25900017521269442</v>
      </c>
      <c r="P5">
        <f>17*50</f>
        <v>850</v>
      </c>
    </row>
    <row r="6" spans="1:16" x14ac:dyDescent="0.25">
      <c r="A6">
        <v>5</v>
      </c>
      <c r="B6">
        <v>-16.735799999999987</v>
      </c>
      <c r="C6">
        <v>57.94</v>
      </c>
      <c r="D6">
        <v>0.02</v>
      </c>
      <c r="F6">
        <v>5</v>
      </c>
      <c r="G6">
        <v>0.27161798918649177</v>
      </c>
    </row>
    <row r="7" spans="1:16" x14ac:dyDescent="0.25">
      <c r="A7">
        <v>6</v>
      </c>
      <c r="B7">
        <v>-12.224799999999993</v>
      </c>
      <c r="C7">
        <v>57.86</v>
      </c>
      <c r="D7">
        <v>0.04</v>
      </c>
      <c r="F7">
        <v>6</v>
      </c>
      <c r="G7">
        <v>0.27637845422936502</v>
      </c>
    </row>
    <row r="8" spans="1:16" x14ac:dyDescent="0.25">
      <c r="A8">
        <v>7</v>
      </c>
      <c r="B8">
        <v>-1.4323999999999992</v>
      </c>
      <c r="C8">
        <v>54.56</v>
      </c>
      <c r="D8">
        <v>0.4</v>
      </c>
      <c r="F8">
        <v>7</v>
      </c>
      <c r="G8">
        <v>0.29016291248708687</v>
      </c>
    </row>
    <row r="9" spans="1:16" x14ac:dyDescent="0.25">
      <c r="A9">
        <v>8</v>
      </c>
      <c r="B9">
        <v>10.003199999999998</v>
      </c>
      <c r="C9">
        <v>44.7</v>
      </c>
      <c r="D9">
        <v>0.88</v>
      </c>
      <c r="F9">
        <v>8</v>
      </c>
      <c r="G9">
        <v>0.28784896783543618</v>
      </c>
    </row>
    <row r="10" spans="1:16" x14ac:dyDescent="0.25">
      <c r="A10">
        <v>9</v>
      </c>
      <c r="B10">
        <v>16.388199999999998</v>
      </c>
      <c r="C10">
        <v>36.22</v>
      </c>
      <c r="D10">
        <v>1</v>
      </c>
      <c r="F10">
        <v>9</v>
      </c>
      <c r="G10">
        <v>0.29488560002377157</v>
      </c>
    </row>
    <row r="11" spans="1:16" x14ac:dyDescent="0.25">
      <c r="A11">
        <v>10</v>
      </c>
      <c r="B11">
        <v>18.454600000000006</v>
      </c>
      <c r="C11">
        <v>32.06</v>
      </c>
      <c r="D11">
        <v>1</v>
      </c>
      <c r="F11">
        <v>10</v>
      </c>
      <c r="G11">
        <v>0.29722031973107166</v>
      </c>
    </row>
    <row r="12" spans="1:16" x14ac:dyDescent="0.25">
      <c r="A12">
        <v>11</v>
      </c>
      <c r="B12">
        <v>19.359199999999998</v>
      </c>
      <c r="C12">
        <v>29.72</v>
      </c>
      <c r="D12">
        <v>1</v>
      </c>
      <c r="F12">
        <v>11</v>
      </c>
      <c r="G12">
        <v>0.29818833730360628</v>
      </c>
    </row>
    <row r="13" spans="1:16" x14ac:dyDescent="0.25">
      <c r="A13">
        <v>12</v>
      </c>
      <c r="B13">
        <v>19.936</v>
      </c>
      <c r="C13">
        <v>28.4</v>
      </c>
      <c r="D13">
        <v>1</v>
      </c>
      <c r="F13">
        <v>12</v>
      </c>
      <c r="G13">
        <v>0.29262886265092752</v>
      </c>
    </row>
    <row r="14" spans="1:16" x14ac:dyDescent="0.25">
      <c r="A14">
        <v>13</v>
      </c>
      <c r="B14">
        <v>20.005400000000005</v>
      </c>
      <c r="C14">
        <v>28.34</v>
      </c>
      <c r="D14">
        <v>1</v>
      </c>
      <c r="F14">
        <v>13</v>
      </c>
      <c r="G14">
        <v>0.29514327358970061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8D4D2-CBF6-4789-B212-64A556CC008D}">
  <sheetPr codeName="Sheet2"/>
  <dimension ref="A1:AW53"/>
  <sheetViews>
    <sheetView workbookViewId="0"/>
  </sheetViews>
  <sheetFormatPr defaultRowHeight="15" x14ac:dyDescent="0.25"/>
  <sheetData>
    <row r="1" spans="1:49" x14ac:dyDescent="0.25">
      <c r="A1" t="s">
        <v>11</v>
      </c>
    </row>
    <row r="2" spans="1:49" x14ac:dyDescent="0.25">
      <c r="A2">
        <v>49</v>
      </c>
    </row>
    <row r="3" spans="1:49" x14ac:dyDescent="0.25">
      <c r="A3">
        <v>4</v>
      </c>
    </row>
    <row r="4" spans="1:49" x14ac:dyDescent="0.25">
      <c r="A4">
        <v>1</v>
      </c>
    </row>
    <row r="5" spans="1:49" x14ac:dyDescent="0.25">
      <c r="A5" t="s">
        <v>6</v>
      </c>
    </row>
    <row r="6" spans="1:49" x14ac:dyDescent="0.25">
      <c r="A6">
        <v>16</v>
      </c>
    </row>
    <row r="7" spans="1:49" x14ac:dyDescent="0.25">
      <c r="A7">
        <v>-9.1634812925922675E-3</v>
      </c>
      <c r="B7">
        <v>0.6012935893786463</v>
      </c>
      <c r="C7">
        <v>0.45250084014997227</v>
      </c>
      <c r="D7">
        <v>0.38994809178465833</v>
      </c>
      <c r="E7">
        <v>1.0439304739836473E-2</v>
      </c>
      <c r="F7">
        <v>-0.19674865478471612</v>
      </c>
      <c r="G7">
        <v>0.4126702173353482</v>
      </c>
      <c r="H7">
        <v>0.17791017276270849</v>
      </c>
      <c r="I7">
        <v>4.6786217049535915E-2</v>
      </c>
      <c r="J7">
        <v>-1.1984805590817521E-2</v>
      </c>
      <c r="K7">
        <v>-0.38379899012225532</v>
      </c>
      <c r="L7">
        <v>-6.2391352633742216E-2</v>
      </c>
      <c r="M7">
        <v>-0.14623457912891527</v>
      </c>
      <c r="N7">
        <v>3.280590268520817E-3</v>
      </c>
      <c r="O7">
        <v>-0.47420293860794638</v>
      </c>
      <c r="P7">
        <v>-0.20212778570851719</v>
      </c>
      <c r="Q7">
        <v>8.1305690175629872E-2</v>
      </c>
      <c r="R7">
        <v>-0.44934030241011308</v>
      </c>
      <c r="S7">
        <v>-2.5623718440250308E-3</v>
      </c>
      <c r="T7">
        <v>-0.16832138691023629</v>
      </c>
      <c r="U7">
        <v>0.1750439821160637</v>
      </c>
      <c r="V7">
        <v>3.3592964976257326E-3</v>
      </c>
      <c r="W7">
        <v>0.24913989846332626</v>
      </c>
      <c r="X7">
        <v>-9.6247024937746294E-3</v>
      </c>
      <c r="Y7">
        <v>-0.39038709832168322</v>
      </c>
      <c r="Z7">
        <v>0.32053574658818929</v>
      </c>
      <c r="AA7">
        <v>5.6374299952932942E-3</v>
      </c>
      <c r="AB7">
        <v>-0.10328717800533072</v>
      </c>
      <c r="AC7">
        <v>-7.0208513888610477E-2</v>
      </c>
      <c r="AD7">
        <v>-0.24764684692150807</v>
      </c>
      <c r="AE7">
        <v>-6.6409734192639496E-3</v>
      </c>
      <c r="AF7">
        <v>-5.5955890124830217E-2</v>
      </c>
      <c r="AG7">
        <v>-0.47424419960757142</v>
      </c>
      <c r="AH7">
        <v>-2.3933220388435067E-2</v>
      </c>
      <c r="AI7">
        <v>-0.15760742307336928</v>
      </c>
      <c r="AJ7">
        <v>-0.2287715781894871</v>
      </c>
      <c r="AK7">
        <v>0.36420624064603496</v>
      </c>
      <c r="AL7">
        <v>7.1854366465373798E-2</v>
      </c>
      <c r="AM7">
        <v>-8.3396029358289603E-2</v>
      </c>
      <c r="AN7">
        <v>-0.37666664761632079</v>
      </c>
      <c r="AO7">
        <v>0.38576310917347401</v>
      </c>
      <c r="AP7">
        <v>0.3934455817613931</v>
      </c>
      <c r="AQ7">
        <v>-1.2751697604365031E-2</v>
      </c>
      <c r="AR7">
        <v>0.22025894301302548</v>
      </c>
      <c r="AS7">
        <v>0.21249211968969214</v>
      </c>
      <c r="AT7">
        <v>6.5280241533694217E-2</v>
      </c>
      <c r="AU7">
        <v>1.6479863320158109E-2</v>
      </c>
      <c r="AV7">
        <v>-6.6179704049208849E-3</v>
      </c>
      <c r="AW7">
        <v>-0.23895133737613777</v>
      </c>
    </row>
    <row r="8" spans="1:49" x14ac:dyDescent="0.25">
      <c r="A8">
        <v>0.12974050001421525</v>
      </c>
      <c r="B8">
        <v>0.21866349498932544</v>
      </c>
      <c r="C8">
        <v>0.12390774522118</v>
      </c>
      <c r="D8">
        <v>0.2262613559140142</v>
      </c>
      <c r="E8">
        <v>1.9167977276226211E-2</v>
      </c>
      <c r="F8">
        <v>-0.2137270284086871</v>
      </c>
      <c r="G8">
        <v>-2.468043667230458E-2</v>
      </c>
      <c r="H8">
        <v>0.50048192297913108</v>
      </c>
      <c r="I8">
        <v>6.4211879734191929E-2</v>
      </c>
      <c r="J8">
        <v>4.2561344703063594E-2</v>
      </c>
      <c r="K8">
        <v>0.5066205714454427</v>
      </c>
      <c r="L8">
        <v>-6.039870984593073E-2</v>
      </c>
      <c r="M8">
        <v>-3.7165925763985398E-2</v>
      </c>
      <c r="N8">
        <v>1.5073555446873466E-2</v>
      </c>
      <c r="O8">
        <v>-0.46901440373187581</v>
      </c>
      <c r="P8">
        <v>-0.15015340436948565</v>
      </c>
      <c r="Q8">
        <v>-8.3102964257658285E-2</v>
      </c>
      <c r="R8">
        <v>0.53962923221164749</v>
      </c>
      <c r="S8">
        <v>8.5740417701816285E-2</v>
      </c>
      <c r="T8">
        <v>-0.1579932597520923</v>
      </c>
      <c r="U8">
        <v>-0.25900531302347451</v>
      </c>
      <c r="V8">
        <v>-4.1027994186410399E-2</v>
      </c>
      <c r="W8">
        <v>0.21394105106020098</v>
      </c>
      <c r="X8">
        <v>-2.006841458976967E-2</v>
      </c>
      <c r="Y8">
        <v>0.20957502337298792</v>
      </c>
      <c r="Z8">
        <v>0.30641066768929104</v>
      </c>
      <c r="AA8">
        <v>-5.7439700031548038E-2</v>
      </c>
      <c r="AB8">
        <v>-0.15287149056320781</v>
      </c>
      <c r="AC8">
        <v>0.21479064725312294</v>
      </c>
      <c r="AD8">
        <v>-2.4492399748671269E-2</v>
      </c>
      <c r="AE8">
        <v>0.30453286617080133</v>
      </c>
      <c r="AF8">
        <v>1.2108175437387268E-2</v>
      </c>
      <c r="AG8">
        <v>0.36913281699180533</v>
      </c>
      <c r="AH8">
        <v>-1.7670114406019191E-2</v>
      </c>
      <c r="AI8">
        <v>0.1618152599425845</v>
      </c>
      <c r="AJ8">
        <v>0.59358662397764084</v>
      </c>
      <c r="AK8">
        <v>0.5691818090837073</v>
      </c>
      <c r="AL8">
        <v>0.2012321667195045</v>
      </c>
      <c r="AM8">
        <v>-2.4710865869331213E-2</v>
      </c>
      <c r="AN8">
        <v>0.15237551273141944</v>
      </c>
      <c r="AO8">
        <v>4.5903937101845836E-2</v>
      </c>
      <c r="AP8">
        <v>-8.5960798633287219E-2</v>
      </c>
      <c r="AQ8">
        <v>-5.7724660895308547E-2</v>
      </c>
      <c r="AR8">
        <v>0.30050433643218816</v>
      </c>
      <c r="AS8">
        <v>0.28770288354573681</v>
      </c>
      <c r="AT8">
        <v>0.10131700151684245</v>
      </c>
      <c r="AU8">
        <v>4.0750463209944521E-2</v>
      </c>
      <c r="AV8">
        <v>-5.8134195801310545E-2</v>
      </c>
      <c r="AW8">
        <v>-8.1717431204018282E-2</v>
      </c>
    </row>
    <row r="9" spans="1:49" x14ac:dyDescent="0.25">
      <c r="A9">
        <v>-0.33802714609096046</v>
      </c>
      <c r="B9">
        <v>0.62940532777231584</v>
      </c>
      <c r="C9">
        <v>0.43053665293871612</v>
      </c>
      <c r="D9">
        <v>0.59403316363461345</v>
      </c>
      <c r="E9">
        <v>3.9664676098606869E-2</v>
      </c>
      <c r="F9">
        <v>-0.21784861178692638</v>
      </c>
      <c r="G9">
        <v>0.42012523172909966</v>
      </c>
      <c r="H9">
        <v>-0.45296712934804179</v>
      </c>
      <c r="I9">
        <v>-4.2188019960910816E-2</v>
      </c>
      <c r="J9">
        <v>-1.1583543509080375E-2</v>
      </c>
      <c r="K9">
        <v>7.2463603467985124E-2</v>
      </c>
      <c r="L9">
        <v>-3.2687674754156758E-2</v>
      </c>
      <c r="M9">
        <v>-0.11466484052781455</v>
      </c>
      <c r="N9">
        <v>3.6829120424490943E-4</v>
      </c>
      <c r="O9">
        <v>-0.45264910092632749</v>
      </c>
      <c r="P9">
        <v>2.4115412820670701E-2</v>
      </c>
      <c r="Q9">
        <v>8.1586821697154241E-2</v>
      </c>
      <c r="R9">
        <v>0.28514016191802166</v>
      </c>
      <c r="S9">
        <v>6.0192238456054217E-2</v>
      </c>
      <c r="T9">
        <v>-0.2831483913918354</v>
      </c>
      <c r="U9">
        <v>0.12450081613504974</v>
      </c>
      <c r="V9">
        <v>4.9401693922684675E-2</v>
      </c>
      <c r="W9">
        <v>-1.1323549149967437E-2</v>
      </c>
      <c r="X9">
        <v>-3.713554005512186E-2</v>
      </c>
      <c r="Y9">
        <v>7.3909796077202161E-2</v>
      </c>
      <c r="Z9">
        <v>0.29744658233947424</v>
      </c>
      <c r="AA9">
        <v>4.5639100252636552E-2</v>
      </c>
      <c r="AB9">
        <v>-5.9782660116070715E-3</v>
      </c>
      <c r="AC9">
        <v>-0.25538345663012346</v>
      </c>
      <c r="AD9">
        <v>-0.32985176278585904</v>
      </c>
      <c r="AE9">
        <v>2.2061055223769249E-2</v>
      </c>
      <c r="AF9">
        <v>-8.5368562078383028E-3</v>
      </c>
      <c r="AG9">
        <v>0.24130579703341476</v>
      </c>
      <c r="AH9">
        <v>4.4993518911060119E-2</v>
      </c>
      <c r="AI9">
        <v>1.9580315991227161E-3</v>
      </c>
      <c r="AJ9">
        <v>-0.28971804828835462</v>
      </c>
      <c r="AK9">
        <v>0.22345492375339451</v>
      </c>
      <c r="AL9">
        <v>0.13672452076066424</v>
      </c>
      <c r="AM9">
        <v>8.0580764381242495E-2</v>
      </c>
      <c r="AN9">
        <v>-0.16543439894161718</v>
      </c>
      <c r="AO9">
        <v>0.45025936340702161</v>
      </c>
      <c r="AP9">
        <v>0.41970905625404925</v>
      </c>
      <c r="AQ9">
        <v>6.5274040526450042E-2</v>
      </c>
      <c r="AR9">
        <v>0.31645634552725777</v>
      </c>
      <c r="AS9">
        <v>0.30421814348744658</v>
      </c>
      <c r="AT9">
        <v>9.4912324249320307E-2</v>
      </c>
      <c r="AU9">
        <v>9.1474111099108468E-2</v>
      </c>
      <c r="AV9">
        <v>7.0680529875817064E-2</v>
      </c>
      <c r="AW9">
        <v>-0.11052878482408551</v>
      </c>
    </row>
    <row r="10" spans="1:49" x14ac:dyDescent="0.25">
      <c r="A10">
        <v>8.4828014307789482E-2</v>
      </c>
      <c r="B10">
        <v>-0.28255655861778939</v>
      </c>
      <c r="C10">
        <v>-0.28563004957837207</v>
      </c>
      <c r="D10">
        <v>-0.2844831633938687</v>
      </c>
      <c r="E10">
        <v>-8.3004725974757748E-2</v>
      </c>
      <c r="F10">
        <v>-0.15767564356769542</v>
      </c>
      <c r="G10">
        <v>-0.24099259020993954</v>
      </c>
      <c r="H10">
        <v>0.2138357824623866</v>
      </c>
      <c r="I10">
        <v>-4.1280550144644393E-2</v>
      </c>
      <c r="J10">
        <v>1.6626450059278998E-3</v>
      </c>
      <c r="K10">
        <v>0.5629125425155912</v>
      </c>
      <c r="L10">
        <v>8.3543928670692685E-2</v>
      </c>
      <c r="M10">
        <v>0.31097958082271182</v>
      </c>
      <c r="N10">
        <v>-4.1064288643956642E-2</v>
      </c>
      <c r="O10">
        <v>-0.27038647589895581</v>
      </c>
      <c r="P10">
        <v>-7.5663740573297819E-2</v>
      </c>
      <c r="Q10">
        <v>4.6692494500404406E-2</v>
      </c>
      <c r="R10">
        <v>0.60557134514379796</v>
      </c>
      <c r="S10">
        <v>3.4663181837559377E-2</v>
      </c>
      <c r="T10">
        <v>-0.27432407891601335</v>
      </c>
      <c r="U10">
        <v>-0.1333574432097796</v>
      </c>
      <c r="V10">
        <v>9.5860755092122316E-2</v>
      </c>
      <c r="W10">
        <v>-0.10982319160514674</v>
      </c>
      <c r="X10">
        <v>-5.4065050039107623E-2</v>
      </c>
      <c r="Y10">
        <v>0.53830308317979669</v>
      </c>
      <c r="Z10">
        <v>-0.28558337224424463</v>
      </c>
      <c r="AA10">
        <v>-5.3723528104645486E-2</v>
      </c>
      <c r="AB10">
        <v>0.16548592172562124</v>
      </c>
      <c r="AC10">
        <v>5.7692962594884857E-2</v>
      </c>
      <c r="AD10">
        <v>-2.5714206966179567E-2</v>
      </c>
      <c r="AE10">
        <v>-1.9047482849440241E-2</v>
      </c>
      <c r="AF10">
        <v>-5.5548137428422392E-2</v>
      </c>
      <c r="AG10">
        <v>0.92154024341190433</v>
      </c>
      <c r="AH10">
        <v>5.2365929946282724E-2</v>
      </c>
      <c r="AI10">
        <v>0.11404502873633664</v>
      </c>
      <c r="AJ10">
        <v>0.26450085122851558</v>
      </c>
      <c r="AK10">
        <v>-0.12793478834153779</v>
      </c>
      <c r="AL10">
        <v>-2.5708585332760853E-2</v>
      </c>
      <c r="AM10">
        <v>-9.8037398978575649E-2</v>
      </c>
      <c r="AN10">
        <v>0.50202467343032908</v>
      </c>
      <c r="AO10">
        <v>-0.28319958058644024</v>
      </c>
      <c r="AP10">
        <v>-0.2823734534610513</v>
      </c>
      <c r="AQ10">
        <v>2.1224261805289146E-2</v>
      </c>
      <c r="AR10">
        <v>-0.28239767661888787</v>
      </c>
      <c r="AS10">
        <v>-0.13160931023134737</v>
      </c>
      <c r="AT10">
        <v>-0.23677773232559918</v>
      </c>
      <c r="AU10">
        <v>-3.8734615571538615E-2</v>
      </c>
      <c r="AV10">
        <v>-5.256153949120014E-2</v>
      </c>
      <c r="AW10">
        <v>0.51130351809245012</v>
      </c>
    </row>
    <row r="11" spans="1:49" x14ac:dyDescent="0.25">
      <c r="A11">
        <v>-0.32327521130914322</v>
      </c>
      <c r="B11">
        <v>0.4957222682702318</v>
      </c>
      <c r="C11">
        <v>0.46241125690595575</v>
      </c>
      <c r="D11">
        <v>0.3006370301357762</v>
      </c>
      <c r="E11">
        <v>-4.8196366307013414E-3</v>
      </c>
      <c r="F11">
        <v>-0.32308790039770363</v>
      </c>
      <c r="G11">
        <v>0.37458474751070731</v>
      </c>
      <c r="H11">
        <v>-0.32394994690050788</v>
      </c>
      <c r="I11">
        <v>-5.5725852625657761E-2</v>
      </c>
      <c r="J11">
        <v>2.6292480548507739E-2</v>
      </c>
      <c r="K11">
        <v>-0.21746276514417345</v>
      </c>
      <c r="L11">
        <v>3.1637688380139931E-2</v>
      </c>
      <c r="M11">
        <v>-0.26927863353222242</v>
      </c>
      <c r="N11">
        <v>9.556713606148199E-3</v>
      </c>
      <c r="O11">
        <v>0.58960326839983501</v>
      </c>
      <c r="P11">
        <v>-4.356037394506445E-2</v>
      </c>
      <c r="Q11">
        <v>6.588875833295979E-2</v>
      </c>
      <c r="R11">
        <v>-0.32255398237939931</v>
      </c>
      <c r="S11">
        <v>2.5301222797401664E-2</v>
      </c>
      <c r="T11">
        <v>0.48265463427368988</v>
      </c>
      <c r="U11">
        <v>-0.19506121586132968</v>
      </c>
      <c r="V11">
        <v>-4.702998237936621E-2</v>
      </c>
      <c r="W11">
        <v>-4.3035761795706132E-2</v>
      </c>
      <c r="X11">
        <v>-3.9633595808319266E-2</v>
      </c>
      <c r="Y11">
        <v>-1.2908779965419045E-2</v>
      </c>
      <c r="Z11">
        <v>0.38407159100229221</v>
      </c>
      <c r="AA11">
        <v>-9.7452268259720545E-2</v>
      </c>
      <c r="AB11">
        <v>-0.18029679512894969</v>
      </c>
      <c r="AC11">
        <v>-0.30796052166638799</v>
      </c>
      <c r="AD11">
        <v>-0.23531943730510738</v>
      </c>
      <c r="AE11">
        <v>-0.13217744845596999</v>
      </c>
      <c r="AF11">
        <v>-7.6227946244647807E-2</v>
      </c>
      <c r="AG11">
        <v>-0.13326346490636862</v>
      </c>
      <c r="AH11">
        <v>-3.0687963337752162E-3</v>
      </c>
      <c r="AI11">
        <v>-0.2696524765969488</v>
      </c>
      <c r="AJ11">
        <v>-0.32124660967402469</v>
      </c>
      <c r="AK11">
        <v>0.11646267645121949</v>
      </c>
      <c r="AL11">
        <v>0.11453969109961884</v>
      </c>
      <c r="AM11">
        <v>2.1248393886550811E-3</v>
      </c>
      <c r="AN11">
        <v>-3.5172503322839298E-2</v>
      </c>
      <c r="AO11">
        <v>0.4698178725503343</v>
      </c>
      <c r="AP11">
        <v>0.17149231572706583</v>
      </c>
      <c r="AQ11">
        <v>6.9274113624921974E-2</v>
      </c>
      <c r="AR11">
        <v>0.28020183443178104</v>
      </c>
      <c r="AS11">
        <v>0.23816317655935443</v>
      </c>
      <c r="AT11">
        <v>0.16780450974931618</v>
      </c>
      <c r="AU11">
        <v>-9.3048910030782944E-2</v>
      </c>
      <c r="AV11">
        <v>8.1206620997715823E-3</v>
      </c>
      <c r="AW11">
        <v>0.22421199711609782</v>
      </c>
    </row>
    <row r="12" spans="1:49" x14ac:dyDescent="0.25">
      <c r="A12">
        <v>0.43518406373995872</v>
      </c>
      <c r="B12">
        <v>-0.2969819038840722</v>
      </c>
      <c r="C12">
        <v>-0.29885861376728884</v>
      </c>
      <c r="D12">
        <v>-0.29632561020514886</v>
      </c>
      <c r="E12">
        <v>-6.7986069808558897E-2</v>
      </c>
      <c r="F12">
        <v>4.0636417095029694E-2</v>
      </c>
      <c r="G12">
        <v>-0.25946971003159358</v>
      </c>
      <c r="H12">
        <v>0.70460833557556801</v>
      </c>
      <c r="I12">
        <v>4.6799451159968336E-2</v>
      </c>
      <c r="J12">
        <v>4.0789009513396916E-2</v>
      </c>
      <c r="K12">
        <v>0.40302046946816394</v>
      </c>
      <c r="L12">
        <v>-8.887798565040457E-2</v>
      </c>
      <c r="M12">
        <v>0.43772436662291331</v>
      </c>
      <c r="N12">
        <v>5.0066759150229866E-2</v>
      </c>
      <c r="O12">
        <v>-0.29426938316328771</v>
      </c>
      <c r="P12">
        <v>7.9026421087730003E-2</v>
      </c>
      <c r="Q12">
        <v>7.8858511689563468E-2</v>
      </c>
      <c r="R12">
        <v>0.46940174729657141</v>
      </c>
      <c r="S12">
        <v>-4.8681681246637999E-2</v>
      </c>
      <c r="T12">
        <v>-0.2112409676849894</v>
      </c>
      <c r="U12">
        <v>5.7075027583288133E-2</v>
      </c>
      <c r="V12">
        <v>5.8901605618996905E-2</v>
      </c>
      <c r="W12">
        <v>0.15839096132644495</v>
      </c>
      <c r="X12">
        <v>-4.394592888643005E-2</v>
      </c>
      <c r="Y12">
        <v>0.43237744275882262</v>
      </c>
      <c r="Z12">
        <v>-0.27725142934564007</v>
      </c>
      <c r="AA12">
        <v>-2.8357844712935589E-2</v>
      </c>
      <c r="AB12">
        <v>0.23062794768504086</v>
      </c>
      <c r="AC12">
        <v>0.18608498242725152</v>
      </c>
      <c r="AD12">
        <v>0.28913697782349562</v>
      </c>
      <c r="AE12">
        <v>0.10783889364740457</v>
      </c>
      <c r="AF12">
        <v>3.3104579337669804E-2</v>
      </c>
      <c r="AG12">
        <v>0.64782538500221098</v>
      </c>
      <c r="AH12">
        <v>6.0121552170123091E-2</v>
      </c>
      <c r="AI12">
        <v>0.37428001924669035</v>
      </c>
      <c r="AJ12">
        <v>0.42849799832026131</v>
      </c>
      <c r="AK12">
        <v>-0.13722014262632398</v>
      </c>
      <c r="AL12">
        <v>-4.5376750199185883E-2</v>
      </c>
      <c r="AM12">
        <v>-2.2761706587226256E-3</v>
      </c>
      <c r="AN12">
        <v>0.35344215144840246</v>
      </c>
      <c r="AO12">
        <v>-0.2935407181742794</v>
      </c>
      <c r="AP12">
        <v>-0.28035312384553518</v>
      </c>
      <c r="AQ12">
        <v>-9.252644565468518E-2</v>
      </c>
      <c r="AR12">
        <v>-0.29416109946771485</v>
      </c>
      <c r="AS12">
        <v>-0.24491525532363892</v>
      </c>
      <c r="AT12">
        <v>-0.25308001707709932</v>
      </c>
      <c r="AU12">
        <v>-5.6109208317756135E-2</v>
      </c>
      <c r="AV12">
        <v>3.4409542103220822E-2</v>
      </c>
      <c r="AW12">
        <v>0.34591660045707734</v>
      </c>
    </row>
    <row r="13" spans="1:49" x14ac:dyDescent="0.25">
      <c r="A13">
        <v>0.52176920888887879</v>
      </c>
      <c r="B13">
        <v>-0.33554202022166835</v>
      </c>
      <c r="C13">
        <v>-0.33049256297316221</v>
      </c>
      <c r="D13">
        <v>-0.33460378132138047</v>
      </c>
      <c r="E13">
        <v>-2.5141233360454311E-2</v>
      </c>
      <c r="F13">
        <v>0.36953633026663446</v>
      </c>
      <c r="G13">
        <v>7.0668314513694985E-2</v>
      </c>
      <c r="H13">
        <v>0.7432412906836291</v>
      </c>
      <c r="I13">
        <v>3.5706918436039875E-2</v>
      </c>
      <c r="J13">
        <v>7.7753565825088439E-2</v>
      </c>
      <c r="K13">
        <v>-0.28013788031697118</v>
      </c>
      <c r="L13">
        <v>7.0257038341979605E-2</v>
      </c>
      <c r="M13">
        <v>0.40272653710450496</v>
      </c>
      <c r="N13">
        <v>7.1891011448963385E-2</v>
      </c>
      <c r="O13">
        <v>-5.8454849851542291E-2</v>
      </c>
      <c r="P13">
        <v>0.20707945626051541</v>
      </c>
      <c r="Q13">
        <v>2.2954871614930043E-2</v>
      </c>
      <c r="R13">
        <v>-0.32620895180581033</v>
      </c>
      <c r="S13">
        <v>-9.1746187069181362E-2</v>
      </c>
      <c r="T13">
        <v>0.27609677296948609</v>
      </c>
      <c r="U13">
        <v>0.22655660108723427</v>
      </c>
      <c r="V13">
        <v>2.0323788365875537E-2</v>
      </c>
      <c r="W13">
        <v>0.26140031170918215</v>
      </c>
      <c r="X13">
        <v>1.4961673627012119E-2</v>
      </c>
      <c r="Y13">
        <v>-0.33038755470574449</v>
      </c>
      <c r="Z13">
        <v>-0.32152006870735078</v>
      </c>
      <c r="AA13">
        <v>4.7062411368806165E-2</v>
      </c>
      <c r="AB13">
        <v>0.33719652141990542</v>
      </c>
      <c r="AC13">
        <v>0.252589664569356</v>
      </c>
      <c r="AD13">
        <v>0.24364840107958086</v>
      </c>
      <c r="AE13">
        <v>4.050840146351873E-2</v>
      </c>
      <c r="AF13">
        <v>-7.9716910532206489E-2</v>
      </c>
      <c r="AG13">
        <v>-0.20043382570885634</v>
      </c>
      <c r="AH13">
        <v>5.9887059146965196E-2</v>
      </c>
      <c r="AI13">
        <v>0.37137902885984803</v>
      </c>
      <c r="AJ13">
        <v>0.48647884299588634</v>
      </c>
      <c r="AK13">
        <v>7.5166624855823013E-3</v>
      </c>
      <c r="AL13">
        <v>-2.8673293996999756E-2</v>
      </c>
      <c r="AM13">
        <v>-5.090906993869844E-2</v>
      </c>
      <c r="AN13">
        <v>-0.29160055970759763</v>
      </c>
      <c r="AO13">
        <v>-0.31518114636494099</v>
      </c>
      <c r="AP13">
        <v>-0.32612446395063721</v>
      </c>
      <c r="AQ13">
        <v>-9.2245687433819043E-2</v>
      </c>
      <c r="AR13">
        <v>-0.32668962618768088</v>
      </c>
      <c r="AS13">
        <v>-0.31626454169823298</v>
      </c>
      <c r="AT13">
        <v>-0.18853250939398478</v>
      </c>
      <c r="AU13">
        <v>6.3652229795750831E-2</v>
      </c>
      <c r="AV13">
        <v>-7.5653665328795083E-2</v>
      </c>
      <c r="AW13">
        <v>-0.11141756529108049</v>
      </c>
    </row>
    <row r="14" spans="1:49" x14ac:dyDescent="0.25">
      <c r="A14">
        <v>-0.31186678799721157</v>
      </c>
      <c r="B14">
        <v>0.5283036291891039</v>
      </c>
      <c r="C14">
        <v>0.48926619534895882</v>
      </c>
      <c r="D14">
        <v>0.48469345518010232</v>
      </c>
      <c r="E14">
        <v>-8.0731156378686081E-2</v>
      </c>
      <c r="F14">
        <v>-7.8982489349754104E-2</v>
      </c>
      <c r="G14">
        <v>0.37614317905276196</v>
      </c>
      <c r="H14">
        <v>-0.31499771896765905</v>
      </c>
      <c r="I14">
        <v>-4.2381811170363902E-2</v>
      </c>
      <c r="J14">
        <v>-3.2864968482907014E-2</v>
      </c>
      <c r="K14">
        <v>-2.3701537532977913E-2</v>
      </c>
      <c r="L14">
        <v>5.1475186407896771E-2</v>
      </c>
      <c r="M14">
        <v>-0.29047515418833969</v>
      </c>
      <c r="N14">
        <v>-4.3900554793518898E-2</v>
      </c>
      <c r="O14">
        <v>-0.31493775616242331</v>
      </c>
      <c r="P14">
        <v>-3.4639900663786062E-2</v>
      </c>
      <c r="Q14">
        <v>-6.1446155367080188E-2</v>
      </c>
      <c r="R14">
        <v>0.10939750079744928</v>
      </c>
      <c r="S14">
        <v>2.3921033928237058E-2</v>
      </c>
      <c r="T14">
        <v>-0.17912995926496933</v>
      </c>
      <c r="U14">
        <v>-0.18572044974198712</v>
      </c>
      <c r="V14">
        <v>-3.3008749446112748E-2</v>
      </c>
      <c r="W14">
        <v>-2.1492496390534323E-2</v>
      </c>
      <c r="X14">
        <v>-4.027879180728075E-2</v>
      </c>
      <c r="Y14">
        <v>0.11959448693097792</v>
      </c>
      <c r="Z14">
        <v>0.4267520083107903</v>
      </c>
      <c r="AA14">
        <v>0.10077694413178376</v>
      </c>
      <c r="AB14">
        <v>-0.23646968823951312</v>
      </c>
      <c r="AC14">
        <v>-0.31559877910756073</v>
      </c>
      <c r="AD14">
        <v>-0.24549138700601389</v>
      </c>
      <c r="AE14">
        <v>-7.502592196229356E-2</v>
      </c>
      <c r="AF14">
        <v>-2.6958448922806736E-3</v>
      </c>
      <c r="AG14">
        <v>2.2251050813587428E-2</v>
      </c>
      <c r="AH14">
        <v>1.9902211503156138E-2</v>
      </c>
      <c r="AI14">
        <v>-0.18298906777799942</v>
      </c>
      <c r="AJ14">
        <v>-0.31487124425816304</v>
      </c>
      <c r="AK14">
        <v>3.7923499158296306E-2</v>
      </c>
      <c r="AL14">
        <v>8.7894529740966842E-2</v>
      </c>
      <c r="AM14">
        <v>-2.3781443565968976E-2</v>
      </c>
      <c r="AN14">
        <v>3.5702683337156607E-2</v>
      </c>
      <c r="AO14">
        <v>0.51610718664424937</v>
      </c>
      <c r="AP14">
        <v>0.25635434863136619</v>
      </c>
      <c r="AQ14">
        <v>-5.0804316957213796E-2</v>
      </c>
      <c r="AR14">
        <v>0.24637380074077583</v>
      </c>
      <c r="AS14">
        <v>0.3653890383270641</v>
      </c>
      <c r="AT14">
        <v>0.22886139780259393</v>
      </c>
      <c r="AU14">
        <v>-8.7361337327718405E-2</v>
      </c>
      <c r="AV14">
        <v>2.1947008005510672E-2</v>
      </c>
      <c r="AW14">
        <v>-0.21515346907619654</v>
      </c>
    </row>
    <row r="15" spans="1:49" x14ac:dyDescent="0.25">
      <c r="A15">
        <v>-0.21997932766580064</v>
      </c>
      <c r="B15">
        <v>0.4075447739144924</v>
      </c>
      <c r="C15">
        <v>0.44413160697043091</v>
      </c>
      <c r="D15">
        <v>0.29266159961778748</v>
      </c>
      <c r="E15">
        <v>-2.6107648554852394E-2</v>
      </c>
      <c r="F15">
        <v>0.1234016626003805</v>
      </c>
      <c r="G15">
        <v>-0.23461353104366944</v>
      </c>
      <c r="H15">
        <v>-0.25344680827635391</v>
      </c>
      <c r="I15">
        <v>7.6297777551651999E-2</v>
      </c>
      <c r="J15">
        <v>-1.9529717656016857E-2</v>
      </c>
      <c r="K15">
        <v>-0.25388060385307709</v>
      </c>
      <c r="L15">
        <v>1.4321980802270488E-2</v>
      </c>
      <c r="M15">
        <v>-6.3639429574294776E-2</v>
      </c>
      <c r="N15">
        <v>-2.5046619706525712E-2</v>
      </c>
      <c r="O15">
        <v>0.54981229329900827</v>
      </c>
      <c r="P15">
        <v>4.5756117934250828E-2</v>
      </c>
      <c r="Q15">
        <v>4.379454944853564E-3</v>
      </c>
      <c r="R15">
        <v>-0.25362401507207344</v>
      </c>
      <c r="S15">
        <v>1.240558768439357E-2</v>
      </c>
      <c r="T15">
        <v>0.11141957698913846</v>
      </c>
      <c r="U15">
        <v>-2.7106648703660276E-2</v>
      </c>
      <c r="V15">
        <v>-4.7050574125352962E-3</v>
      </c>
      <c r="W15">
        <v>3.3551766349304304E-2</v>
      </c>
      <c r="X15">
        <v>-2.9131420012461256E-2</v>
      </c>
      <c r="Y15">
        <v>-0.23894092458769361</v>
      </c>
      <c r="Z15">
        <v>0.40904302421861577</v>
      </c>
      <c r="AA15">
        <v>-5.1379693691127798E-2</v>
      </c>
      <c r="AB15">
        <v>6.1513782899819784E-2</v>
      </c>
      <c r="AC15">
        <v>-0.22217691791821761</v>
      </c>
      <c r="AD15">
        <v>-0.17214657605940931</v>
      </c>
      <c r="AE15">
        <v>-2.4151114729838927E-2</v>
      </c>
      <c r="AF15">
        <v>8.3326294386939143E-2</v>
      </c>
      <c r="AG15">
        <v>-0.25387843391227527</v>
      </c>
      <c r="AH15">
        <v>-3.6872230629539228E-3</v>
      </c>
      <c r="AI15">
        <v>-7.0912541159191572E-2</v>
      </c>
      <c r="AJ15">
        <v>-0.25081794872742008</v>
      </c>
      <c r="AK15">
        <v>6.3450012154511778E-2</v>
      </c>
      <c r="AL15">
        <v>6.2208352658010092E-2</v>
      </c>
      <c r="AM15">
        <v>9.385511903301276E-2</v>
      </c>
      <c r="AN15">
        <v>-0.21014962035915882</v>
      </c>
      <c r="AO15">
        <v>0.47418047422114473</v>
      </c>
      <c r="AP15">
        <v>2.1308855338398366E-2</v>
      </c>
      <c r="AQ15">
        <v>8.9208127935768752E-2</v>
      </c>
      <c r="AR15">
        <v>0.34596250431773962</v>
      </c>
      <c r="AS15">
        <v>0.19887921070313277</v>
      </c>
      <c r="AT15">
        <v>0.20442582003882162</v>
      </c>
      <c r="AU15">
        <v>-8.9705436664283877E-2</v>
      </c>
      <c r="AV15">
        <v>7.0152393738105417E-2</v>
      </c>
      <c r="AW15">
        <v>5.2416973931721789E-2</v>
      </c>
    </row>
    <row r="16" spans="1:49" x14ac:dyDescent="0.25">
      <c r="A16">
        <v>-0.20897803076488358</v>
      </c>
      <c r="B16">
        <v>-0.27196781303552531</v>
      </c>
      <c r="C16">
        <v>-0.28987966512687841</v>
      </c>
      <c r="D16">
        <v>-0.29009523112631658</v>
      </c>
      <c r="E16">
        <v>-1.8922273191364417E-2</v>
      </c>
      <c r="F16">
        <v>-0.23306776925942821</v>
      </c>
      <c r="G16">
        <v>-0.23088332881922777</v>
      </c>
      <c r="H16">
        <v>-0.28925625869772631</v>
      </c>
      <c r="I16">
        <v>5.0187263011100868E-3</v>
      </c>
      <c r="J16">
        <v>2.1365670503021555E-2</v>
      </c>
      <c r="K16">
        <v>0.35706433303083629</v>
      </c>
      <c r="L16">
        <v>-9.1547783790305509E-2</v>
      </c>
      <c r="M16">
        <v>-0.20612297608297403</v>
      </c>
      <c r="N16">
        <v>-4.0943218811119918E-2</v>
      </c>
      <c r="O16">
        <v>0.67079377704915344</v>
      </c>
      <c r="P16">
        <v>-3.6797909411737703E-2</v>
      </c>
      <c r="Q16">
        <v>7.1858811256701058E-2</v>
      </c>
      <c r="R16">
        <v>0.48629166852484551</v>
      </c>
      <c r="S16">
        <v>-9.855883978835242E-2</v>
      </c>
      <c r="T16">
        <v>0.65313211271512472</v>
      </c>
      <c r="U16">
        <v>-0.13340539984486308</v>
      </c>
      <c r="V16">
        <v>-6.0172104304422727E-2</v>
      </c>
      <c r="W16">
        <v>-4.4190436831881258E-2</v>
      </c>
      <c r="X16">
        <v>3.9851302343813108E-2</v>
      </c>
      <c r="Y16">
        <v>0.41528780794367509</v>
      </c>
      <c r="Z16">
        <v>-8.4566651700422671E-2</v>
      </c>
      <c r="AA16">
        <v>8.2136886238048282E-2</v>
      </c>
      <c r="AB16">
        <v>-0.23676418431516488</v>
      </c>
      <c r="AC16">
        <v>-0.29110442421749089</v>
      </c>
      <c r="AD16">
        <v>-0.10533406332052107</v>
      </c>
      <c r="AE16">
        <v>-0.23817851593303152</v>
      </c>
      <c r="AF16">
        <v>3.8983992453199216E-2</v>
      </c>
      <c r="AG16">
        <v>0.23438250195094462</v>
      </c>
      <c r="AH16">
        <v>-2.8128601982906478E-2</v>
      </c>
      <c r="AI16">
        <v>-0.23775342366491306</v>
      </c>
      <c r="AJ16">
        <v>-0.28952258392610913</v>
      </c>
      <c r="AK16">
        <v>-0.29539966734894035</v>
      </c>
      <c r="AL16">
        <v>-0.23268654783836315</v>
      </c>
      <c r="AM16">
        <v>-2.2676449533667077E-3</v>
      </c>
      <c r="AN16">
        <v>0.44707163497282548</v>
      </c>
      <c r="AO16">
        <v>-2.8087211670087802E-2</v>
      </c>
      <c r="AP16">
        <v>-6.610530651328235E-2</v>
      </c>
      <c r="AQ16">
        <v>-4.6655212602407341E-2</v>
      </c>
      <c r="AR16">
        <v>-0.15264729415519163</v>
      </c>
      <c r="AS16">
        <v>1.9710474364185278E-2</v>
      </c>
      <c r="AT16">
        <v>-0.12466768072555215</v>
      </c>
      <c r="AU16">
        <v>4.5995072535159567E-2</v>
      </c>
      <c r="AV16">
        <v>-6.1931650936055536E-2</v>
      </c>
      <c r="AW16">
        <v>0.13491931398646495</v>
      </c>
    </row>
    <row r="17" spans="1:49" x14ac:dyDescent="0.25">
      <c r="A17">
        <v>0.26287084798157162</v>
      </c>
      <c r="B17">
        <v>0.42907046963211165</v>
      </c>
      <c r="C17">
        <v>0.35412196994901246</v>
      </c>
      <c r="D17">
        <v>0.37550861769481253</v>
      </c>
      <c r="E17">
        <v>8.4555260363646662E-2</v>
      </c>
      <c r="F17">
        <v>9.6132961299722E-2</v>
      </c>
      <c r="G17">
        <v>0.34377412207080965</v>
      </c>
      <c r="H17">
        <v>0.3330488266497903</v>
      </c>
      <c r="I17">
        <v>-5.4832170849832759E-2</v>
      </c>
      <c r="J17">
        <v>8.6030773362186203E-2</v>
      </c>
      <c r="K17">
        <v>-0.51089732265363053</v>
      </c>
      <c r="L17">
        <v>8.2489811905521796E-4</v>
      </c>
      <c r="M17">
        <v>-5.6951967373622327E-2</v>
      </c>
      <c r="N17">
        <v>-3.0066742874615016E-2</v>
      </c>
      <c r="O17">
        <v>-0.5110795022462914</v>
      </c>
      <c r="P17">
        <v>-9.9805250962875541E-2</v>
      </c>
      <c r="Q17">
        <v>5.7625928892182599E-2</v>
      </c>
      <c r="R17">
        <v>-0.51075386612565599</v>
      </c>
      <c r="S17">
        <v>-7.7918697177554119E-2</v>
      </c>
      <c r="T17">
        <v>-0.21761362909782528</v>
      </c>
      <c r="U17">
        <v>0.31914496060669739</v>
      </c>
      <c r="V17">
        <v>8.2560522275366352E-2</v>
      </c>
      <c r="W17">
        <v>0.26754634636318664</v>
      </c>
      <c r="X17">
        <v>6.5855293735242139E-3</v>
      </c>
      <c r="Y17">
        <v>-0.45036667144355003</v>
      </c>
      <c r="Z17">
        <v>0.2904832368228259</v>
      </c>
      <c r="AA17">
        <v>3.8979320173992867E-2</v>
      </c>
      <c r="AB17">
        <v>-7.5725855397612757E-2</v>
      </c>
      <c r="AC17">
        <v>0.15436741703754592</v>
      </c>
      <c r="AD17">
        <v>0.29644941023422411</v>
      </c>
      <c r="AE17">
        <v>2.858323475337524E-2</v>
      </c>
      <c r="AF17">
        <v>-2.1350172504726261E-2</v>
      </c>
      <c r="AG17">
        <v>-0.51120447084714637</v>
      </c>
      <c r="AH17">
        <v>1.7470133630813359E-2</v>
      </c>
      <c r="AI17">
        <v>-8.3087888174127419E-2</v>
      </c>
      <c r="AJ17">
        <v>0.49816823949519862</v>
      </c>
      <c r="AK17">
        <v>0.31327837615863802</v>
      </c>
      <c r="AL17">
        <v>0.18142541421824993</v>
      </c>
      <c r="AM17">
        <v>5.0953023080716947E-2</v>
      </c>
      <c r="AN17">
        <v>-0.45272082304012945</v>
      </c>
      <c r="AO17">
        <v>0.38363563698862202</v>
      </c>
      <c r="AP17">
        <v>0.31483810779200322</v>
      </c>
      <c r="AQ17">
        <v>3.020988561411473E-2</v>
      </c>
      <c r="AR17">
        <v>0.3343361192863592</v>
      </c>
      <c r="AS17">
        <v>7.6295884331371924E-2</v>
      </c>
      <c r="AT17">
        <v>0.19032519707307882</v>
      </c>
      <c r="AU17">
        <v>-9.9834143214508494E-2</v>
      </c>
      <c r="AV17">
        <v>-7.9370246682226031E-2</v>
      </c>
      <c r="AW17">
        <v>-0.2630400380545439</v>
      </c>
    </row>
    <row r="18" spans="1:49" x14ac:dyDescent="0.25">
      <c r="A18">
        <v>0.2279985506824983</v>
      </c>
      <c r="B18">
        <v>-0.34941541327698811</v>
      </c>
      <c r="C18">
        <v>-0.34871173519018678</v>
      </c>
      <c r="D18">
        <v>-0.223754209685843</v>
      </c>
      <c r="E18">
        <v>8.8717141234530283E-2</v>
      </c>
      <c r="F18">
        <v>-0.16480354807494843</v>
      </c>
      <c r="G18">
        <v>-0.29839808001916668</v>
      </c>
      <c r="H18">
        <v>0.31753739839384498</v>
      </c>
      <c r="I18">
        <v>4.0543967736154575E-2</v>
      </c>
      <c r="J18">
        <v>-2.5108936832538249E-2</v>
      </c>
      <c r="K18">
        <v>0.47407030439091147</v>
      </c>
      <c r="L18">
        <v>4.1670769752071686E-2</v>
      </c>
      <c r="M18">
        <v>0.35274832766851588</v>
      </c>
      <c r="N18">
        <v>-4.0496582636471615E-2</v>
      </c>
      <c r="O18">
        <v>-0.3491202283025307</v>
      </c>
      <c r="P18">
        <v>-3.7841616110993639E-2</v>
      </c>
      <c r="Q18">
        <v>-5.159829133141873E-2</v>
      </c>
      <c r="R18">
        <v>0.57735355870780924</v>
      </c>
      <c r="S18">
        <v>-3.4531924509339743E-2</v>
      </c>
      <c r="T18">
        <v>-0.34961106701972833</v>
      </c>
      <c r="U18">
        <v>-1.0247071891487377E-2</v>
      </c>
      <c r="V18">
        <v>1.7297427887572432E-3</v>
      </c>
      <c r="W18">
        <v>2.4359162313147442E-2</v>
      </c>
      <c r="X18">
        <v>-4.8730655884607656E-2</v>
      </c>
      <c r="Y18">
        <v>0.58282922959660577</v>
      </c>
      <c r="Z18">
        <v>-0.27943216516993047</v>
      </c>
      <c r="AA18">
        <v>-2.580921274152511E-2</v>
      </c>
      <c r="AB18">
        <v>0.13326729843430793</v>
      </c>
      <c r="AC18">
        <v>8.75907204208074E-2</v>
      </c>
      <c r="AD18">
        <v>0.16897019658438289</v>
      </c>
      <c r="AE18">
        <v>2.8176810611813114E-2</v>
      </c>
      <c r="AF18">
        <v>9.3938304870016545E-2</v>
      </c>
      <c r="AG18">
        <v>0.71428701412641937</v>
      </c>
      <c r="AH18">
        <v>-9.0455433812556871E-2</v>
      </c>
      <c r="AI18">
        <v>0.16661689758686901</v>
      </c>
      <c r="AJ18">
        <v>0.27445026473569806</v>
      </c>
      <c r="AK18">
        <v>-0.24722394167518999</v>
      </c>
      <c r="AL18">
        <v>-0.1442835962635651</v>
      </c>
      <c r="AM18">
        <v>4.4037194876391213E-3</v>
      </c>
      <c r="AN18">
        <v>0.43276484839258844</v>
      </c>
      <c r="AO18">
        <v>-0.34840617885464747</v>
      </c>
      <c r="AP18">
        <v>-0.23725514460339081</v>
      </c>
      <c r="AQ18">
        <v>8.8184573656746618E-2</v>
      </c>
      <c r="AR18">
        <v>-0.22770405958726697</v>
      </c>
      <c r="AS18">
        <v>-0.10704113376671932</v>
      </c>
      <c r="AT18">
        <v>-0.15992999130244359</v>
      </c>
      <c r="AU18">
        <v>-6.1486688593390952E-2</v>
      </c>
      <c r="AV18">
        <v>9.4798738803344804E-3</v>
      </c>
      <c r="AW18">
        <v>0.48089274786317726</v>
      </c>
    </row>
    <row r="19" spans="1:49" x14ac:dyDescent="0.25">
      <c r="A19">
        <v>-0.28732497999482792</v>
      </c>
      <c r="B19">
        <v>-4.3136852482326085E-2</v>
      </c>
      <c r="C19">
        <v>-3.7929345037506279E-2</v>
      </c>
      <c r="D19">
        <v>-0.12576295071767118</v>
      </c>
      <c r="E19">
        <v>-4.1919941920468093E-2</v>
      </c>
      <c r="F19">
        <v>-9.9972239888557315E-2</v>
      </c>
      <c r="G19">
        <v>-0.24003512466469293</v>
      </c>
      <c r="H19">
        <v>-0.28705393829648029</v>
      </c>
      <c r="I19">
        <v>1.1039090520016647E-2</v>
      </c>
      <c r="J19">
        <v>-3.0458684481852898E-3</v>
      </c>
      <c r="K19">
        <v>0.633744677152977</v>
      </c>
      <c r="L19">
        <v>-8.4633183865564954E-2</v>
      </c>
      <c r="M19">
        <v>-0.12402367178305738</v>
      </c>
      <c r="N19">
        <v>9.1056773005153593E-2</v>
      </c>
      <c r="O19">
        <v>0.49117114968730918</v>
      </c>
      <c r="P19">
        <v>-2.5651901733257713E-2</v>
      </c>
      <c r="Q19">
        <v>-8.6390454567378164E-2</v>
      </c>
      <c r="R19">
        <v>0.68046320341927446</v>
      </c>
      <c r="S19">
        <v>-6.6540083687890425E-2</v>
      </c>
      <c r="T19">
        <v>0.35068049351662783</v>
      </c>
      <c r="U19">
        <v>4.9127137690916763E-2</v>
      </c>
      <c r="V19">
        <v>-7.5630954198426074E-3</v>
      </c>
      <c r="W19">
        <v>-2.6086178795338331E-2</v>
      </c>
      <c r="X19">
        <v>-8.2771063846613355E-2</v>
      </c>
      <c r="Y19">
        <v>0.7722032005175653</v>
      </c>
      <c r="Z19">
        <v>-0.16307251780985055</v>
      </c>
      <c r="AA19">
        <v>-2.3093763543708512E-2</v>
      </c>
      <c r="AB19">
        <v>-0.11888459469651842</v>
      </c>
      <c r="AC19">
        <v>-0.27986824071315142</v>
      </c>
      <c r="AD19">
        <v>-0.11948193739994138</v>
      </c>
      <c r="AE19">
        <v>-0.16868811311045775</v>
      </c>
      <c r="AF19">
        <v>-8.272679761372019E-3</v>
      </c>
      <c r="AG19">
        <v>0.59368821656285142</v>
      </c>
      <c r="AH19">
        <v>6.0244633009731617E-2</v>
      </c>
      <c r="AI19">
        <v>-0.14073036386882956</v>
      </c>
      <c r="AJ19">
        <v>-0.28712466698679523</v>
      </c>
      <c r="AK19">
        <v>-0.28663582715385599</v>
      </c>
      <c r="AL19">
        <v>-9.6880545558937353E-2</v>
      </c>
      <c r="AM19">
        <v>-4.4010208851387525E-2</v>
      </c>
      <c r="AN19">
        <v>0.72361796870067796</v>
      </c>
      <c r="AO19">
        <v>-0.14988441982747042</v>
      </c>
      <c r="AP19">
        <v>2.4541019871032198E-2</v>
      </c>
      <c r="AQ19">
        <v>-1.1780682382500903E-2</v>
      </c>
      <c r="AR19">
        <v>-6.5036703413921371E-2</v>
      </c>
      <c r="AS19">
        <v>0.15007701958699365</v>
      </c>
      <c r="AT19">
        <v>-5.4363215316501477E-2</v>
      </c>
      <c r="AU19">
        <v>-4.1593628977340036E-2</v>
      </c>
      <c r="AV19">
        <v>-5.8152776540525496E-2</v>
      </c>
      <c r="AW19">
        <v>0.35892222854160299</v>
      </c>
    </row>
    <row r="20" spans="1:49" x14ac:dyDescent="0.25">
      <c r="A20">
        <v>0.41903973865448207</v>
      </c>
      <c r="B20">
        <v>-0.37584254914808796</v>
      </c>
      <c r="C20">
        <v>-0.3758360959637666</v>
      </c>
      <c r="D20">
        <v>-0.37107796363905626</v>
      </c>
      <c r="E20">
        <v>4.8980923871065341E-2</v>
      </c>
      <c r="F20">
        <v>0.44602569268204917</v>
      </c>
      <c r="G20">
        <v>3.5070527030327335E-2</v>
      </c>
      <c r="H20">
        <v>0.68179089700755524</v>
      </c>
      <c r="I20">
        <v>-2.2842652620280606E-2</v>
      </c>
      <c r="J20">
        <v>8.4085816722975618E-2</v>
      </c>
      <c r="K20">
        <v>-0.37565235262316882</v>
      </c>
      <c r="L20">
        <v>4.6874075165746057E-2</v>
      </c>
      <c r="M20">
        <v>0.40288989495826549</v>
      </c>
      <c r="N20">
        <v>-3.2849855827226677E-3</v>
      </c>
      <c r="O20">
        <v>0.41675465400750028</v>
      </c>
      <c r="P20">
        <v>0.22908762466224272</v>
      </c>
      <c r="Q20">
        <v>7.8211232432089869E-2</v>
      </c>
      <c r="R20">
        <v>-0.37756278602322019</v>
      </c>
      <c r="S20">
        <v>8.695362075718073E-2</v>
      </c>
      <c r="T20">
        <v>0.53558030306015592</v>
      </c>
      <c r="U20">
        <v>0.29429674252962207</v>
      </c>
      <c r="V20">
        <v>1.1496468120056868E-2</v>
      </c>
      <c r="W20">
        <v>0.23586777783875446</v>
      </c>
      <c r="X20">
        <v>-9.632275680354202E-2</v>
      </c>
      <c r="Y20">
        <v>-0.37567726699813681</v>
      </c>
      <c r="Z20">
        <v>-0.37110230817942563</v>
      </c>
      <c r="AA20">
        <v>-8.4527599989066796E-2</v>
      </c>
      <c r="AB20">
        <v>0.23974791966024031</v>
      </c>
      <c r="AC20">
        <v>0.39537200758884683</v>
      </c>
      <c r="AD20">
        <v>0.33541069918797389</v>
      </c>
      <c r="AE20">
        <v>2.4029136630572611E-2</v>
      </c>
      <c r="AF20">
        <v>4.9734906907011801E-2</v>
      </c>
      <c r="AG20">
        <v>-0.37433821978034537</v>
      </c>
      <c r="AH20">
        <v>-7.7270334143975966E-2</v>
      </c>
      <c r="AI20">
        <v>0.31532830227806274</v>
      </c>
      <c r="AJ20">
        <v>0.49690173693220052</v>
      </c>
      <c r="AK20">
        <v>-0.2035452781812131</v>
      </c>
      <c r="AL20">
        <v>-0.13879691582730924</v>
      </c>
      <c r="AM20">
        <v>3.796833769778369E-2</v>
      </c>
      <c r="AN20">
        <v>-0.35978043664990228</v>
      </c>
      <c r="AO20">
        <v>-0.37066266706897683</v>
      </c>
      <c r="AP20">
        <v>-0.36732583616078146</v>
      </c>
      <c r="AQ20">
        <v>-4.7452823647540936E-2</v>
      </c>
      <c r="AR20">
        <v>-0.33575761931259351</v>
      </c>
      <c r="AS20">
        <v>-0.37145088850151436</v>
      </c>
      <c r="AT20">
        <v>-9.4734805194047297E-2</v>
      </c>
      <c r="AU20">
        <v>-1.762494502637223E-2</v>
      </c>
      <c r="AV20">
        <v>5.2427103086407106E-2</v>
      </c>
      <c r="AW20">
        <v>-0.14992889072270779</v>
      </c>
    </row>
    <row r="21" spans="1:49" x14ac:dyDescent="0.25">
      <c r="A21">
        <v>0.30823782029613422</v>
      </c>
      <c r="B21">
        <v>-0.42877966128974998</v>
      </c>
      <c r="C21">
        <v>-0.27258086570861945</v>
      </c>
      <c r="D21">
        <v>-0.22400159025550739</v>
      </c>
      <c r="E21">
        <v>9.8367974774381667E-3</v>
      </c>
      <c r="F21">
        <v>0.48912103810835184</v>
      </c>
      <c r="G21">
        <v>9.7159635477757095E-3</v>
      </c>
      <c r="H21">
        <v>0.69385078981849158</v>
      </c>
      <c r="I21">
        <v>-4.1180011848010838E-2</v>
      </c>
      <c r="J21">
        <v>-3.4386433588280134E-2</v>
      </c>
      <c r="K21">
        <v>-0.42832137702527723</v>
      </c>
      <c r="L21">
        <v>6.2665885162985463E-2</v>
      </c>
      <c r="M21">
        <v>0.14001338798001239</v>
      </c>
      <c r="N21">
        <v>-7.2782694259973288E-2</v>
      </c>
      <c r="O21">
        <v>-0.42833138110295582</v>
      </c>
      <c r="P21">
        <v>0.23599818048115814</v>
      </c>
      <c r="Q21">
        <v>8.9448858692506262E-4</v>
      </c>
      <c r="R21">
        <v>-0.42841808695934758</v>
      </c>
      <c r="S21">
        <v>8.0823048550396542E-2</v>
      </c>
      <c r="T21">
        <v>-2.8602497436366101E-2</v>
      </c>
      <c r="U21">
        <v>0.39082353927291069</v>
      </c>
      <c r="V21">
        <v>7.9373016332271021E-2</v>
      </c>
      <c r="W21">
        <v>0.25149580318939418</v>
      </c>
      <c r="X21">
        <v>6.7568743756560745E-2</v>
      </c>
      <c r="Y21">
        <v>-0.42834978164179616</v>
      </c>
      <c r="Z21">
        <v>-0.17953074069203817</v>
      </c>
      <c r="AA21">
        <v>8.9321105573691384E-2</v>
      </c>
      <c r="AB21">
        <v>0.27781214009361849</v>
      </c>
      <c r="AC21">
        <v>0.23298127015379771</v>
      </c>
      <c r="AD21">
        <v>0.35889311602964635</v>
      </c>
      <c r="AE21">
        <v>4.2224070074173711E-2</v>
      </c>
      <c r="AF21">
        <v>-6.4654542063123488E-2</v>
      </c>
      <c r="AG21">
        <v>-0.42769382450871468</v>
      </c>
      <c r="AH21">
        <v>-1.6644199903480445E-2</v>
      </c>
      <c r="AI21">
        <v>0.27269013845166828</v>
      </c>
      <c r="AJ21">
        <v>0.55334398008292407</v>
      </c>
      <c r="AK21">
        <v>0.14979644193473218</v>
      </c>
      <c r="AL21">
        <v>-0.14469676416696137</v>
      </c>
      <c r="AM21">
        <v>-3.9337520218508594E-2</v>
      </c>
      <c r="AN21">
        <v>-0.39076561909583013</v>
      </c>
      <c r="AO21">
        <v>-0.26016670537886</v>
      </c>
      <c r="AP21">
        <v>-0.21606939522021634</v>
      </c>
      <c r="AQ21">
        <v>-4.1595772445635733E-2</v>
      </c>
      <c r="AR21">
        <v>-0.32665799543318663</v>
      </c>
      <c r="AS21">
        <v>-0.25844657443939884</v>
      </c>
      <c r="AT21">
        <v>-6.3713390823343416E-2</v>
      </c>
      <c r="AU21">
        <v>2.8221228713976705E-2</v>
      </c>
      <c r="AV21">
        <v>5.3229663375751551E-2</v>
      </c>
      <c r="AW21">
        <v>-0.20440662347672678</v>
      </c>
    </row>
    <row r="22" spans="1:49" x14ac:dyDescent="0.25">
      <c r="A22">
        <v>0.47016043186043494</v>
      </c>
      <c r="B22">
        <v>-0.38687126863393867</v>
      </c>
      <c r="C22">
        <v>-0.38948309683161358</v>
      </c>
      <c r="D22">
        <v>-0.38710502974549199</v>
      </c>
      <c r="E22">
        <v>4.9208781776071957E-2</v>
      </c>
      <c r="F22">
        <v>0.43343746211250961</v>
      </c>
      <c r="G22">
        <v>4.1409405004558475E-2</v>
      </c>
      <c r="H22">
        <v>0.55171294167026497</v>
      </c>
      <c r="I22">
        <v>9.5938558174473429E-2</v>
      </c>
      <c r="J22">
        <v>6.9186568599586482E-2</v>
      </c>
      <c r="K22">
        <v>-0.39033577838240741</v>
      </c>
      <c r="L22">
        <v>7.3625932279109102E-2</v>
      </c>
      <c r="M22">
        <v>0.29440301527929258</v>
      </c>
      <c r="N22">
        <v>-3.2171785286426696E-2</v>
      </c>
      <c r="O22">
        <v>0.36662198457715589</v>
      </c>
      <c r="P22">
        <v>0.26681823342381988</v>
      </c>
      <c r="Q22">
        <v>-1.7819205872137299E-3</v>
      </c>
      <c r="R22">
        <v>-0.39273407187129927</v>
      </c>
      <c r="S22">
        <v>9.1533345484201348E-2</v>
      </c>
      <c r="T22">
        <v>0.11584215417633197</v>
      </c>
      <c r="U22">
        <v>0.33195104819553756</v>
      </c>
      <c r="V22">
        <v>-7.2327086827570525E-2</v>
      </c>
      <c r="W22">
        <v>0.12343463046020914</v>
      </c>
      <c r="X22">
        <v>-8.1430589350702728E-2</v>
      </c>
      <c r="Y22">
        <v>-0.38960346589887213</v>
      </c>
      <c r="Z22">
        <v>-0.38265936271129747</v>
      </c>
      <c r="AA22">
        <v>1.2220683438997919E-2</v>
      </c>
      <c r="AB22">
        <v>0.27831258570598716</v>
      </c>
      <c r="AC22">
        <v>0.28404026837843754</v>
      </c>
      <c r="AD22">
        <v>0.4578011971196233</v>
      </c>
      <c r="AE22">
        <v>9.8730853939820354E-2</v>
      </c>
      <c r="AF22">
        <v>7.8059347232013326E-2</v>
      </c>
      <c r="AG22">
        <v>-0.38682452739440976</v>
      </c>
      <c r="AH22">
        <v>-4.3863802741617393E-2</v>
      </c>
      <c r="AI22">
        <v>0.29272746765177005</v>
      </c>
      <c r="AJ22">
        <v>0.54906406701031008</v>
      </c>
      <c r="AK22">
        <v>-9.2147095637244131E-2</v>
      </c>
      <c r="AL22">
        <v>-5.879651448773332E-2</v>
      </c>
      <c r="AM22">
        <v>5.8653721939969259E-3</v>
      </c>
      <c r="AN22">
        <v>-0.37932575867451962</v>
      </c>
      <c r="AO22">
        <v>-0.27554260514940265</v>
      </c>
      <c r="AP22">
        <v>-0.27463694502965086</v>
      </c>
      <c r="AQ22">
        <v>3.5523314721969707E-2</v>
      </c>
      <c r="AR22">
        <v>-0.25473452309163941</v>
      </c>
      <c r="AS22">
        <v>-0.39013738621695293</v>
      </c>
      <c r="AT22">
        <v>-0.15931566369268976</v>
      </c>
      <c r="AU22">
        <v>2.3175949898304756E-4</v>
      </c>
      <c r="AV22">
        <v>3.8636678337556012E-2</v>
      </c>
      <c r="AW22">
        <v>-0.14989612991445017</v>
      </c>
    </row>
    <row r="23" spans="1:49" x14ac:dyDescent="0.25">
      <c r="A23">
        <v>0.47382796287535744</v>
      </c>
      <c r="B23">
        <v>0.46564096064517152</v>
      </c>
      <c r="C23">
        <v>0.45254212087955592</v>
      </c>
      <c r="D23">
        <v>0.28244279391329885</v>
      </c>
      <c r="E23">
        <v>0.32181019838442865</v>
      </c>
      <c r="F23">
        <v>0.29399081406396071</v>
      </c>
      <c r="G23">
        <v>0.32607669328081207</v>
      </c>
      <c r="H23">
        <v>0.31458581218637011</v>
      </c>
      <c r="I23">
        <v>0.25299525729523492</v>
      </c>
      <c r="J23">
        <v>0.28916309769281195</v>
      </c>
      <c r="K23">
        <v>0.51058353869877049</v>
      </c>
      <c r="L23">
        <v>0.34834425297314536</v>
      </c>
      <c r="M23">
        <v>0.28648658526509591</v>
      </c>
      <c r="N23">
        <v>0.3676436301704864</v>
      </c>
      <c r="O23">
        <v>0.4208570491270831</v>
      </c>
      <c r="P23">
        <v>0.37875086116817974</v>
      </c>
    </row>
    <row r="24" spans="1:49" x14ac:dyDescent="0.25">
      <c r="A24">
        <v>-0.74804960588069291</v>
      </c>
      <c r="B24">
        <v>-0.97300946542996058</v>
      </c>
      <c r="C24">
        <v>-0.74464639466585325</v>
      </c>
      <c r="D24">
        <v>-0.5842781320799334</v>
      </c>
      <c r="E24">
        <v>0.69875897060035819</v>
      </c>
      <c r="F24">
        <v>-0.49096643834951814</v>
      </c>
      <c r="G24">
        <v>-0.20847740798867376</v>
      </c>
      <c r="H24">
        <v>-0.59206545724186554</v>
      </c>
      <c r="I24">
        <v>0.59707244836946427</v>
      </c>
      <c r="J24">
        <v>1.1043279261970531</v>
      </c>
      <c r="K24">
        <v>-0.60619970696185443</v>
      </c>
      <c r="L24">
        <v>-0.70089621587509687</v>
      </c>
      <c r="M24">
        <v>0.40765469747140903</v>
      </c>
      <c r="N24">
        <v>0.28481881725603453</v>
      </c>
      <c r="O24">
        <v>-0.60847058056170922</v>
      </c>
      <c r="P24">
        <v>0.19296290992817472</v>
      </c>
    </row>
    <row r="25" spans="1:49" x14ac:dyDescent="0.25">
      <c r="A25">
        <v>-9.304885007260652E-2</v>
      </c>
      <c r="B25">
        <v>0.23010997445152032</v>
      </c>
      <c r="C25">
        <v>-0.14986044165395518</v>
      </c>
      <c r="D25">
        <v>7.0787482142976338E-2</v>
      </c>
      <c r="E25">
        <v>-1.0150990909037043</v>
      </c>
      <c r="F25">
        <v>0.47978540613485943</v>
      </c>
      <c r="G25">
        <v>0.74842191849478068</v>
      </c>
      <c r="H25">
        <v>-0.96955005452659104</v>
      </c>
      <c r="I25">
        <v>-0.52095743080192414</v>
      </c>
      <c r="J25">
        <v>-1.1106864629007245</v>
      </c>
      <c r="K25">
        <v>0.31314245878346658</v>
      </c>
      <c r="L25">
        <v>0.27846730590688673</v>
      </c>
      <c r="M25">
        <v>-1.1141109777727081</v>
      </c>
      <c r="N25">
        <v>0.48848058876158396</v>
      </c>
      <c r="O25">
        <v>0.85021850005611876</v>
      </c>
      <c r="P25">
        <v>0.87177490836058968</v>
      </c>
    </row>
    <row r="26" spans="1:49" x14ac:dyDescent="0.25">
      <c r="A26">
        <v>0.831758838929608</v>
      </c>
      <c r="B26">
        <v>0.27213024039749717</v>
      </c>
      <c r="C26">
        <v>0.84675684074466773</v>
      </c>
      <c r="D26">
        <v>-0.84971198743767806</v>
      </c>
      <c r="E26">
        <v>0.62844982891003154</v>
      </c>
      <c r="F26">
        <v>-0.82462829147128491</v>
      </c>
      <c r="G26">
        <v>-0.78589736877068639</v>
      </c>
      <c r="H26">
        <v>0.62671613950721194</v>
      </c>
      <c r="I26">
        <v>0.60621710710579846</v>
      </c>
      <c r="J26">
        <v>-0.91718366135596219</v>
      </c>
      <c r="K26">
        <v>0.79017456709818013</v>
      </c>
      <c r="L26">
        <v>-0.60656246453413953</v>
      </c>
      <c r="M26">
        <v>-0.51183521308877999</v>
      </c>
      <c r="N26">
        <v>-0.92010958669697995</v>
      </c>
      <c r="O26">
        <v>-0.43027869692646226</v>
      </c>
      <c r="P26">
        <v>-0.67502521675042471</v>
      </c>
    </row>
    <row r="27" spans="1:49" x14ac:dyDescent="0.25">
      <c r="A27">
        <v>-0.691217667766031</v>
      </c>
      <c r="B27">
        <v>0.30721874422039896</v>
      </c>
      <c r="C27">
        <v>0.12210861560116326</v>
      </c>
      <c r="D27">
        <v>0.943521727100324</v>
      </c>
      <c r="E27">
        <v>-0.41011305066733961</v>
      </c>
      <c r="F27">
        <v>0.58136534655438876</v>
      </c>
      <c r="G27">
        <v>-0.49863927698357902</v>
      </c>
      <c r="H27">
        <v>-0.24802409240082737</v>
      </c>
      <c r="I27">
        <v>-0.75371964852728002</v>
      </c>
      <c r="J27">
        <v>0.3474359419712677</v>
      </c>
      <c r="K27">
        <v>-0.84163565312222188</v>
      </c>
      <c r="L27">
        <v>0.94526952870246228</v>
      </c>
      <c r="M27">
        <v>0.9651267842965513</v>
      </c>
      <c r="N27">
        <v>-0.77750963472764933</v>
      </c>
      <c r="O27">
        <v>-1.038851449486442</v>
      </c>
      <c r="P27">
        <v>-0.89582613443735692</v>
      </c>
    </row>
    <row r="28" spans="1:49" x14ac:dyDescent="0.25">
      <c r="A28">
        <v>-0.15127662859196606</v>
      </c>
      <c r="B28">
        <v>9.7574581961972023E-2</v>
      </c>
      <c r="C28">
        <v>0.11047147846717936</v>
      </c>
      <c r="D28">
        <v>-0.12496314019218285</v>
      </c>
    </row>
    <row r="29" spans="1:49" x14ac:dyDescent="0.25">
      <c r="A29" t="s">
        <v>7</v>
      </c>
    </row>
    <row r="30" spans="1:49" x14ac:dyDescent="0.25">
      <c r="A30">
        <v>49</v>
      </c>
    </row>
    <row r="31" spans="1:49" x14ac:dyDescent="0.25">
      <c r="A31">
        <v>1</v>
      </c>
    </row>
    <row r="32" spans="1:49" x14ac:dyDescent="0.25">
      <c r="A32">
        <v>1</v>
      </c>
    </row>
    <row r="33" spans="1:49" x14ac:dyDescent="0.25">
      <c r="A33" t="s">
        <v>6</v>
      </c>
    </row>
    <row r="34" spans="1:49" x14ac:dyDescent="0.25">
      <c r="A34">
        <v>16</v>
      </c>
    </row>
    <row r="35" spans="1:49" x14ac:dyDescent="0.25">
      <c r="A35">
        <v>2.0661249987572522E-3</v>
      </c>
      <c r="B35">
        <v>0.14948736039308094</v>
      </c>
      <c r="C35">
        <v>9.8367888946391827E-2</v>
      </c>
      <c r="D35">
        <v>0.15153429921155248</v>
      </c>
      <c r="E35">
        <v>6.9196178081046972E-2</v>
      </c>
      <c r="F35">
        <v>-0.13307244797685905</v>
      </c>
      <c r="G35">
        <v>-0.12873048091888767</v>
      </c>
      <c r="H35">
        <v>-1.7965747577619623E-2</v>
      </c>
      <c r="I35">
        <v>-7.2924102957705697E-2</v>
      </c>
      <c r="J35">
        <v>2.893330574054662E-2</v>
      </c>
      <c r="K35">
        <v>9.4773725110066653E-2</v>
      </c>
      <c r="L35">
        <v>7.6102998901748089E-3</v>
      </c>
      <c r="M35">
        <v>0.40782398661803726</v>
      </c>
      <c r="N35">
        <v>7.0263661418174181E-2</v>
      </c>
      <c r="O35">
        <v>8.9245718703407258E-3</v>
      </c>
      <c r="P35">
        <v>4.7726168218069458E-2</v>
      </c>
      <c r="Q35">
        <v>-4.9264355406322749E-2</v>
      </c>
      <c r="R35">
        <v>9.6142014709420784E-2</v>
      </c>
      <c r="S35">
        <v>-7.4959362230340054E-2</v>
      </c>
      <c r="T35">
        <v>0.29569645347022999</v>
      </c>
      <c r="U35">
        <v>-0.14193904456946452</v>
      </c>
      <c r="V35">
        <v>-3.6307366523839507E-2</v>
      </c>
      <c r="W35">
        <v>-6.0004502778568503E-2</v>
      </c>
      <c r="X35">
        <v>1.6177766751988738E-2</v>
      </c>
      <c r="Y35">
        <v>0.12008568520621749</v>
      </c>
      <c r="Z35">
        <v>0.20649725324839621</v>
      </c>
      <c r="AA35">
        <v>5.6301145065874747E-2</v>
      </c>
      <c r="AB35">
        <v>0.26986072309635101</v>
      </c>
      <c r="AC35">
        <v>-0.15910594996309538</v>
      </c>
      <c r="AD35">
        <v>-0.18059603278871456</v>
      </c>
      <c r="AE35">
        <v>-8.8217364169050336E-2</v>
      </c>
      <c r="AF35">
        <v>3.0534187550470986E-2</v>
      </c>
      <c r="AG35">
        <v>6.4754281591974577E-2</v>
      </c>
      <c r="AH35">
        <v>-3.5049463725140083E-2</v>
      </c>
      <c r="AI35">
        <v>-0.13766122177704607</v>
      </c>
      <c r="AJ35">
        <v>-0.15792375517842761</v>
      </c>
      <c r="AK35">
        <v>-0.16632890987890583</v>
      </c>
      <c r="AL35">
        <v>-0.16281549436147724</v>
      </c>
      <c r="AM35">
        <v>4.6524569413980289E-2</v>
      </c>
      <c r="AN35">
        <v>0.14185300430086364</v>
      </c>
      <c r="AO35">
        <v>4.9105064701773511E-2</v>
      </c>
      <c r="AP35">
        <v>-9.6633157063844469E-2</v>
      </c>
      <c r="AQ35">
        <v>-5.2675865828275117E-2</v>
      </c>
      <c r="AR35">
        <v>-0.1635632109326631</v>
      </c>
      <c r="AS35">
        <v>-0.1381759682661966</v>
      </c>
      <c r="AT35">
        <v>5.8117502293927981E-2</v>
      </c>
      <c r="AU35">
        <v>-2.8590555526499313E-2</v>
      </c>
      <c r="AV35">
        <v>-2.8034614510727186E-2</v>
      </c>
      <c r="AW35">
        <v>0.31047131209870393</v>
      </c>
    </row>
    <row r="36" spans="1:49" x14ac:dyDescent="0.25">
      <c r="A36">
        <v>2.8253708011592934E-2</v>
      </c>
      <c r="B36">
        <v>7.3232217538473192E-3</v>
      </c>
      <c r="C36">
        <v>3.0998277623798707E-4</v>
      </c>
      <c r="D36">
        <v>7.31522245946927E-2</v>
      </c>
      <c r="E36">
        <v>-1.6944285464878008E-2</v>
      </c>
      <c r="F36">
        <v>-0.42530534571871137</v>
      </c>
      <c r="G36">
        <v>-0.49668891651179192</v>
      </c>
      <c r="H36">
        <v>5.9037751051267524E-2</v>
      </c>
      <c r="I36">
        <v>-4.8928445023690918E-2</v>
      </c>
      <c r="J36">
        <v>-4.7603793658906955E-2</v>
      </c>
      <c r="K36">
        <v>-1.6669315126380382E-2</v>
      </c>
      <c r="L36">
        <v>-4.3392167464823772E-2</v>
      </c>
      <c r="M36">
        <v>-0.21951878834854108</v>
      </c>
      <c r="N36">
        <v>4.8423441484833386E-2</v>
      </c>
      <c r="O36">
        <v>0.10601426549027095</v>
      </c>
      <c r="P36">
        <v>0.22308172580697708</v>
      </c>
      <c r="Q36">
        <v>6.3965477215840519E-2</v>
      </c>
      <c r="R36">
        <v>1.9794717275924245E-2</v>
      </c>
      <c r="S36">
        <v>4.2543052970809868E-2</v>
      </c>
      <c r="T36">
        <v>-0.24152875260359644</v>
      </c>
      <c r="U36">
        <v>-5.0947295180921164E-2</v>
      </c>
      <c r="V36">
        <v>-9.9928359483865414E-2</v>
      </c>
      <c r="W36">
        <v>0.54604060547515987</v>
      </c>
      <c r="X36">
        <v>-9.8118573808807633E-2</v>
      </c>
      <c r="Y36">
        <v>-2.0388051828628666E-2</v>
      </c>
      <c r="Z36">
        <v>9.3767800012565482E-3</v>
      </c>
      <c r="AA36">
        <v>4.3099584042461149E-2</v>
      </c>
      <c r="AB36">
        <v>-0.12775454247356477</v>
      </c>
      <c r="AC36">
        <v>0.79270191647392918</v>
      </c>
      <c r="AD36">
        <v>0.6648585905711264</v>
      </c>
      <c r="AE36">
        <v>0.23069699550250519</v>
      </c>
      <c r="AF36">
        <v>-8.2917867340955145E-2</v>
      </c>
      <c r="AG36">
        <v>-6.7387437709921741E-2</v>
      </c>
      <c r="AH36">
        <v>4.0425318336618055E-2</v>
      </c>
      <c r="AI36">
        <v>-0.1447330060408217</v>
      </c>
      <c r="AJ36">
        <v>1.5245512300855828</v>
      </c>
      <c r="AK36">
        <v>1.0439875295473837</v>
      </c>
      <c r="AL36">
        <v>0.5236783675366341</v>
      </c>
      <c r="AM36">
        <v>1.6536135383898511E-2</v>
      </c>
      <c r="AN36">
        <v>-4.054561411678803E-3</v>
      </c>
      <c r="AO36">
        <v>-0.13719111558176025</v>
      </c>
      <c r="AP36">
        <v>-0.16589842970204219</v>
      </c>
      <c r="AQ36">
        <v>6.6676579267282141E-2</v>
      </c>
      <c r="AR36">
        <v>1.4436358893836605</v>
      </c>
      <c r="AS36">
        <v>0.43298840924959758</v>
      </c>
      <c r="AT36">
        <v>2.2778014272911422E-2</v>
      </c>
      <c r="AU36">
        <v>9.0007196057665162E-2</v>
      </c>
      <c r="AV36">
        <v>-9.7465899754724639E-2</v>
      </c>
      <c r="AW36">
        <v>-0.13803436766987279</v>
      </c>
    </row>
    <row r="37" spans="1:49" x14ac:dyDescent="0.25">
      <c r="A37">
        <v>5.8235147668637903E-2</v>
      </c>
      <c r="B37">
        <v>2.4258048775241636E-2</v>
      </c>
      <c r="C37">
        <v>0.177662171058761</v>
      </c>
      <c r="D37">
        <v>0.13371824420775555</v>
      </c>
      <c r="E37">
        <v>-7.8236267660105344E-2</v>
      </c>
      <c r="F37">
        <v>-0.1140581763352765</v>
      </c>
      <c r="G37">
        <v>-0.13167231636204585</v>
      </c>
      <c r="H37">
        <v>4.5810560270995657E-2</v>
      </c>
      <c r="I37">
        <v>7.2647571463647365E-2</v>
      </c>
      <c r="J37">
        <v>-6.6435980972068515E-2</v>
      </c>
      <c r="K37">
        <v>0.19520175442312931</v>
      </c>
      <c r="L37">
        <v>1.546293211733054E-2</v>
      </c>
      <c r="M37">
        <v>0.33603068630007271</v>
      </c>
      <c r="N37">
        <v>-4.3681836733660787E-2</v>
      </c>
      <c r="O37">
        <v>2.2249787699962765E-2</v>
      </c>
      <c r="P37">
        <v>4.3217386155479202E-2</v>
      </c>
      <c r="Q37">
        <v>-1.3872153509092074E-2</v>
      </c>
      <c r="R37">
        <v>0.25914991928726638</v>
      </c>
      <c r="S37">
        <v>-9.8293182181209901E-2</v>
      </c>
      <c r="T37">
        <v>-0.1263226047460731</v>
      </c>
      <c r="U37">
        <v>-0.11575908223707369</v>
      </c>
      <c r="V37">
        <v>3.1882405024550899E-2</v>
      </c>
      <c r="W37">
        <v>-0.11084094341981958</v>
      </c>
      <c r="X37">
        <v>-8.9404062613517549E-2</v>
      </c>
      <c r="Y37">
        <v>0.14077258450083879</v>
      </c>
      <c r="Z37">
        <v>0.16409396195145454</v>
      </c>
      <c r="AA37">
        <v>3.7837875138707396E-3</v>
      </c>
      <c r="AB37">
        <v>-0.12872405002139817</v>
      </c>
      <c r="AC37">
        <v>-0.11227390867266035</v>
      </c>
      <c r="AD37">
        <v>-0.11569102230206992</v>
      </c>
      <c r="AE37">
        <v>-9.6566830910349025E-2</v>
      </c>
      <c r="AF37">
        <v>-4.7413181526027262E-2</v>
      </c>
      <c r="AG37">
        <v>8.5932258686328852E-2</v>
      </c>
      <c r="AH37">
        <v>-9.334339608230692E-2</v>
      </c>
      <c r="AI37">
        <v>0.22181867744572181</v>
      </c>
      <c r="AJ37">
        <v>-0.15200609656820152</v>
      </c>
      <c r="AK37">
        <v>-0.1555691682665008</v>
      </c>
      <c r="AL37">
        <v>-0.17102023418809051</v>
      </c>
      <c r="AM37">
        <v>7.1022942915076284E-2</v>
      </c>
      <c r="AN37">
        <v>8.641324886873103E-2</v>
      </c>
      <c r="AO37">
        <v>-0.11133720521957402</v>
      </c>
      <c r="AP37">
        <v>0.2061640141029045</v>
      </c>
      <c r="AQ37">
        <v>-8.1016827717892911E-2</v>
      </c>
      <c r="AR37">
        <v>-0.1119963958014908</v>
      </c>
      <c r="AS37">
        <v>-9.2735576685892523E-2</v>
      </c>
      <c r="AT37">
        <v>0.12554345015280052</v>
      </c>
      <c r="AU37">
        <v>-9.2698633593787258E-2</v>
      </c>
      <c r="AV37">
        <v>6.902059431015059E-2</v>
      </c>
      <c r="AW37">
        <v>0.33524269106271803</v>
      </c>
    </row>
    <row r="38" spans="1:49" x14ac:dyDescent="0.25">
      <c r="A38">
        <v>-0.10585572126830728</v>
      </c>
      <c r="B38">
        <v>4.5668542064504682E-3</v>
      </c>
      <c r="C38">
        <v>4.8580441544355969E-3</v>
      </c>
      <c r="D38">
        <v>0.16944100816705904</v>
      </c>
      <c r="E38">
        <v>-6.8929003187358048E-2</v>
      </c>
      <c r="F38">
        <v>0.52403492863712275</v>
      </c>
      <c r="G38">
        <v>0.26076322621256431</v>
      </c>
      <c r="H38">
        <v>-7.4073866092106505E-2</v>
      </c>
      <c r="I38">
        <v>2.8821291459161381E-2</v>
      </c>
      <c r="J38">
        <v>4.1627840176374165E-4</v>
      </c>
      <c r="K38">
        <v>7.6180490097692816E-2</v>
      </c>
      <c r="L38">
        <v>7.2573248506787577E-2</v>
      </c>
      <c r="M38">
        <v>0.23720633680598799</v>
      </c>
      <c r="N38">
        <v>-3.656558220173068E-2</v>
      </c>
      <c r="O38">
        <v>-8.9637045836269705E-2</v>
      </c>
      <c r="P38">
        <v>-0.10015644330657179</v>
      </c>
      <c r="Q38">
        <v>-7.627695700848762E-2</v>
      </c>
      <c r="R38">
        <v>0.18626629312145346</v>
      </c>
      <c r="S38">
        <v>-4.568178898919973E-2</v>
      </c>
      <c r="T38">
        <v>0.30087289167460668</v>
      </c>
      <c r="U38">
        <v>0.36536662529739444</v>
      </c>
      <c r="V38">
        <v>-2.0911712818689074E-2</v>
      </c>
      <c r="W38">
        <v>-0.10204065051414149</v>
      </c>
      <c r="X38">
        <v>5.2958875895047414E-2</v>
      </c>
      <c r="Y38">
        <v>8.4310850920374214E-2</v>
      </c>
      <c r="Z38">
        <v>9.0308290916546768E-2</v>
      </c>
      <c r="AA38">
        <v>9.8013339149054288E-2</v>
      </c>
      <c r="AB38">
        <v>0.3476536427702443</v>
      </c>
      <c r="AC38">
        <v>-0.35418316605291189</v>
      </c>
      <c r="AD38">
        <v>-0.17958955655315417</v>
      </c>
      <c r="AE38">
        <v>-0.20776794334556919</v>
      </c>
      <c r="AF38">
        <v>-3.708750468977616E-2</v>
      </c>
      <c r="AG38">
        <v>0.11267724829386146</v>
      </c>
      <c r="AH38">
        <v>2.2646597522964645E-2</v>
      </c>
      <c r="AI38">
        <v>0.24892223561499821</v>
      </c>
      <c r="AJ38">
        <v>-0.35325642607430346</v>
      </c>
      <c r="AK38">
        <v>-0.2678342626689923</v>
      </c>
      <c r="AL38">
        <v>-0.26806272920198182</v>
      </c>
      <c r="AM38">
        <v>-6.8915395776267388E-2</v>
      </c>
      <c r="AN38">
        <v>0.26680804948408215</v>
      </c>
      <c r="AO38">
        <v>0.16635757109485597</v>
      </c>
      <c r="AP38">
        <v>0.19443975172190439</v>
      </c>
      <c r="AQ38">
        <v>8.6054038422564205E-2</v>
      </c>
      <c r="AR38">
        <v>-0.35681776208374522</v>
      </c>
      <c r="AS38">
        <v>-0.34777162079018153</v>
      </c>
      <c r="AT38">
        <v>7.7395531297675943E-2</v>
      </c>
      <c r="AU38">
        <v>9.5011520178541232E-3</v>
      </c>
      <c r="AV38">
        <v>3.0533380739370918E-2</v>
      </c>
      <c r="AW38">
        <v>0.53193884488475751</v>
      </c>
    </row>
    <row r="39" spans="1:49" x14ac:dyDescent="0.25">
      <c r="A39">
        <v>4.8875395443068424E-2</v>
      </c>
      <c r="B39">
        <v>5.5036690806161928E-2</v>
      </c>
      <c r="C39">
        <v>8.0401275662053628E-2</v>
      </c>
      <c r="D39">
        <v>0.15680442211535142</v>
      </c>
      <c r="E39">
        <v>8.0947056620672309E-2</v>
      </c>
      <c r="F39">
        <v>-0.1202990208828552</v>
      </c>
      <c r="G39">
        <v>-0.15008659588841447</v>
      </c>
      <c r="H39">
        <v>-6.5134334103254506E-3</v>
      </c>
      <c r="I39">
        <v>6.9393955178173525E-2</v>
      </c>
      <c r="J39">
        <v>-6.8685490738618821E-2</v>
      </c>
      <c r="K39">
        <v>0.26264722824788012</v>
      </c>
      <c r="L39">
        <v>-4.4192415698478475E-2</v>
      </c>
      <c r="M39">
        <v>-8.5210648118892618E-2</v>
      </c>
      <c r="N39">
        <v>-2.6130516230658731E-2</v>
      </c>
      <c r="O39">
        <v>-6.2559246796307505E-2</v>
      </c>
      <c r="P39">
        <v>-6.347994996183412E-2</v>
      </c>
      <c r="Q39">
        <v>-2.5124711795838039E-2</v>
      </c>
      <c r="R39">
        <v>8.1802773136551099E-2</v>
      </c>
      <c r="S39">
        <v>7.6104817237212408E-2</v>
      </c>
      <c r="T39">
        <v>-0.1061839101881133</v>
      </c>
      <c r="U39">
        <v>0.29386118862257998</v>
      </c>
      <c r="V39">
        <v>-4.5279635802665502E-2</v>
      </c>
      <c r="W39">
        <v>-9.5635732903318171E-2</v>
      </c>
      <c r="X39">
        <v>-4.119314962278952E-2</v>
      </c>
      <c r="Y39">
        <v>0.23464237655771308</v>
      </c>
      <c r="Z39">
        <v>0.10753386698436013</v>
      </c>
      <c r="AA39">
        <v>-7.3914746569019182E-2</v>
      </c>
      <c r="AB39">
        <v>-7.4127568803860525E-2</v>
      </c>
      <c r="AC39">
        <v>-0.11133006684047241</v>
      </c>
      <c r="AD39">
        <v>-0.19308393868767304</v>
      </c>
      <c r="AE39">
        <v>-9.4825909045965343E-2</v>
      </c>
      <c r="AF39">
        <v>7.9196336743313361E-3</v>
      </c>
      <c r="AG39">
        <v>0.15125816677940021</v>
      </c>
      <c r="AH39">
        <v>2.5499469530840192E-2</v>
      </c>
      <c r="AI39">
        <v>0.26615297793435888</v>
      </c>
      <c r="AJ39">
        <v>-0.15548834185364679</v>
      </c>
      <c r="AK39">
        <v>-0.19129838754497064</v>
      </c>
      <c r="AL39">
        <v>-0.13885958470420606</v>
      </c>
      <c r="AM39">
        <v>-6.1234325306464436E-2</v>
      </c>
      <c r="AN39">
        <v>0.18368839652354871</v>
      </c>
      <c r="AO39">
        <v>0.10357130231169226</v>
      </c>
      <c r="AP39">
        <v>-0.14618196923807938</v>
      </c>
      <c r="AQ39">
        <v>2.0005001645695852E-2</v>
      </c>
      <c r="AR39">
        <v>-0.11120034997649211</v>
      </c>
      <c r="AS39">
        <v>-9.8950330344594981E-2</v>
      </c>
      <c r="AT39">
        <v>0.10701951103711425</v>
      </c>
      <c r="AU39">
        <v>-7.2732467258505018E-2</v>
      </c>
      <c r="AV39">
        <v>3.2427616656887821E-2</v>
      </c>
      <c r="AW39">
        <v>0.39741505334457711</v>
      </c>
    </row>
    <row r="40" spans="1:49" x14ac:dyDescent="0.25">
      <c r="A40">
        <v>6.947624524506936E-2</v>
      </c>
      <c r="B40">
        <v>5.4723680175827648E-2</v>
      </c>
      <c r="C40">
        <v>-2.9155205836896578E-3</v>
      </c>
      <c r="D40">
        <v>2.9085350343550965E-2</v>
      </c>
      <c r="E40">
        <v>6.304518271567007E-2</v>
      </c>
      <c r="F40">
        <v>-0.23806851503193432</v>
      </c>
      <c r="G40">
        <v>-0.44010793628012784</v>
      </c>
      <c r="H40">
        <v>0.10709101405728999</v>
      </c>
      <c r="I40">
        <v>7.2661166832781307E-3</v>
      </c>
      <c r="J40">
        <v>-7.0928726645719364E-2</v>
      </c>
      <c r="K40">
        <v>5.3887644209672209E-2</v>
      </c>
      <c r="L40">
        <v>8.8497748825095993E-2</v>
      </c>
      <c r="M40">
        <v>-0.18534860905629641</v>
      </c>
      <c r="N40">
        <v>6.9120819515909496E-2</v>
      </c>
      <c r="O40">
        <v>0.15012648016037047</v>
      </c>
      <c r="P40">
        <v>0.26306903682795707</v>
      </c>
      <c r="Q40">
        <v>-5.4549678587199314E-2</v>
      </c>
      <c r="R40">
        <v>2.1556611039413431E-2</v>
      </c>
      <c r="S40">
        <v>5.2054512903614084E-2</v>
      </c>
      <c r="T40">
        <v>-0.19932430951491978</v>
      </c>
      <c r="U40">
        <v>-0.27817631948384003</v>
      </c>
      <c r="V40">
        <v>7.6670933706410746E-2</v>
      </c>
      <c r="W40">
        <v>0.40966893804939508</v>
      </c>
      <c r="X40">
        <v>-0.10040572673205651</v>
      </c>
      <c r="Y40">
        <v>-1.9781261832716342E-2</v>
      </c>
      <c r="Z40">
        <v>3.550666424164757E-2</v>
      </c>
      <c r="AA40">
        <v>-6.0766362826469621E-3</v>
      </c>
      <c r="AB40">
        <v>-0.20867206048763817</v>
      </c>
      <c r="AC40">
        <v>0.72116389021544536</v>
      </c>
      <c r="AD40">
        <v>0.83598636709260354</v>
      </c>
      <c r="AE40">
        <v>0.36389388151705232</v>
      </c>
      <c r="AF40">
        <v>2.271711522150173E-2</v>
      </c>
      <c r="AG40">
        <v>1.6357347056804236E-2</v>
      </c>
      <c r="AH40">
        <v>4.1064071888735725E-2</v>
      </c>
      <c r="AI40">
        <v>-0.22147179058712782</v>
      </c>
      <c r="AJ40">
        <v>1.4182022960101128</v>
      </c>
      <c r="AK40">
        <v>1.0798722792859805</v>
      </c>
      <c r="AL40">
        <v>0.3468983687523996</v>
      </c>
      <c r="AM40">
        <v>-9.2859116750960036E-2</v>
      </c>
      <c r="AN40">
        <v>-9.1725501640436954E-2</v>
      </c>
      <c r="AO40">
        <v>-6.2332392076100279E-2</v>
      </c>
      <c r="AP40">
        <v>-3.1817471778629432E-2</v>
      </c>
      <c r="AQ40">
        <v>9.4411662146620751E-2</v>
      </c>
      <c r="AR40">
        <v>1.3768081095849769</v>
      </c>
      <c r="AS40">
        <v>0.37534227116013164</v>
      </c>
      <c r="AT40">
        <v>-8.093246770892959E-2</v>
      </c>
      <c r="AU40">
        <v>6.6270524486771468E-2</v>
      </c>
      <c r="AV40">
        <v>3.4955018658605529E-2</v>
      </c>
      <c r="AW40">
        <v>-0.10025795532220913</v>
      </c>
    </row>
    <row r="41" spans="1:49" x14ac:dyDescent="0.25">
      <c r="A41">
        <v>7.8867124737028366E-2</v>
      </c>
      <c r="B41">
        <v>8.0192490686980811E-2</v>
      </c>
      <c r="C41">
        <v>0.13300900555483344</v>
      </c>
      <c r="D41">
        <v>0.20504034808301733</v>
      </c>
      <c r="E41">
        <v>-1.7393896002835509E-2</v>
      </c>
      <c r="F41">
        <v>0.45256609892402566</v>
      </c>
      <c r="G41">
        <v>0.26490795039978515</v>
      </c>
      <c r="H41">
        <v>0.10423017055198248</v>
      </c>
      <c r="I41">
        <v>-8.7566472060399289E-2</v>
      </c>
      <c r="J41">
        <v>1.3153886916769417E-2</v>
      </c>
      <c r="K41">
        <v>0.19887347403101074</v>
      </c>
      <c r="L41">
        <v>-7.270032727602628E-2</v>
      </c>
      <c r="M41">
        <v>0.19309619056627117</v>
      </c>
      <c r="N41">
        <v>3.8205516077289567E-3</v>
      </c>
      <c r="O41">
        <v>-5.6038482547986539E-2</v>
      </c>
      <c r="P41">
        <v>-7.0032921199775389E-2</v>
      </c>
      <c r="Q41">
        <v>7.530908473732674E-2</v>
      </c>
      <c r="R41">
        <v>0.13029896541238017</v>
      </c>
      <c r="S41">
        <v>9.5977537988367639E-2</v>
      </c>
      <c r="T41">
        <v>3.5428765685789662E-2</v>
      </c>
      <c r="U41">
        <v>0.34931227905747847</v>
      </c>
      <c r="V41">
        <v>4.9874653814717214E-3</v>
      </c>
      <c r="W41">
        <v>-7.2150069322392679E-2</v>
      </c>
      <c r="X41">
        <v>-8.3162234768621321E-2</v>
      </c>
      <c r="Y41">
        <v>0.22934729177209273</v>
      </c>
      <c r="Z41">
        <v>0.25636966503026837</v>
      </c>
      <c r="AA41">
        <v>5.7557048899759079E-2</v>
      </c>
      <c r="AB41">
        <v>0.3310427659618021</v>
      </c>
      <c r="AC41">
        <v>-0.32582855457587862</v>
      </c>
      <c r="AD41">
        <v>-0.14471359937596481</v>
      </c>
      <c r="AE41">
        <v>-0.18273739205297304</v>
      </c>
      <c r="AF41">
        <v>9.0716009713964652E-2</v>
      </c>
      <c r="AG41">
        <v>0.12742192698173918</v>
      </c>
      <c r="AH41">
        <v>2.8885402836724808E-2</v>
      </c>
      <c r="AI41">
        <v>0.24590804171920291</v>
      </c>
      <c r="AJ41">
        <v>-0.32464145336608929</v>
      </c>
      <c r="AK41">
        <v>-0.23963199342071115</v>
      </c>
      <c r="AL41">
        <v>-0.22915849455916873</v>
      </c>
      <c r="AM41">
        <v>6.6183280510353909E-2</v>
      </c>
      <c r="AN41">
        <v>5.4053121195231743E-2</v>
      </c>
      <c r="AO41">
        <v>0.1948716641204199</v>
      </c>
      <c r="AP41">
        <v>0.20108762951956174</v>
      </c>
      <c r="AQ41">
        <v>-7.981971271670292E-2</v>
      </c>
      <c r="AR41">
        <v>-0.32944334074131776</v>
      </c>
      <c r="AS41">
        <v>-0.3197726665080175</v>
      </c>
      <c r="AT41">
        <v>0.13786993385361865</v>
      </c>
      <c r="AU41">
        <v>-6.6561373867366783E-2</v>
      </c>
      <c r="AV41">
        <v>6.8984420272171526E-2</v>
      </c>
      <c r="AW41">
        <v>0.40602616568679034</v>
      </c>
    </row>
    <row r="42" spans="1:49" x14ac:dyDescent="0.25">
      <c r="A42">
        <v>4.6818675236949048E-2</v>
      </c>
      <c r="B42">
        <v>1.9070951941726921E-2</v>
      </c>
      <c r="C42">
        <v>3.4306067117520024E-2</v>
      </c>
      <c r="D42">
        <v>5.4343032193636426E-2</v>
      </c>
      <c r="E42">
        <v>-7.5668982697739612E-2</v>
      </c>
      <c r="F42">
        <v>4.769906247369185E-2</v>
      </c>
      <c r="G42">
        <v>-0.2042528177807568</v>
      </c>
      <c r="H42">
        <v>2.7147432184435581E-2</v>
      </c>
      <c r="I42">
        <v>-6.314029008982408E-2</v>
      </c>
      <c r="J42">
        <v>-3.8927732431415528E-2</v>
      </c>
      <c r="K42">
        <v>0.17685370011684112</v>
      </c>
      <c r="L42">
        <v>5.4767192451385678E-2</v>
      </c>
      <c r="M42">
        <v>0.31122830282460334</v>
      </c>
      <c r="N42">
        <v>1.3631615423662044E-3</v>
      </c>
      <c r="O42">
        <v>-9.3518497128153188E-2</v>
      </c>
      <c r="P42">
        <v>-2.2607071810265705E-2</v>
      </c>
      <c r="Q42">
        <v>4.0359749882291816E-2</v>
      </c>
      <c r="R42">
        <v>0.20989193854445609</v>
      </c>
      <c r="S42">
        <v>1.9643080636554445E-2</v>
      </c>
      <c r="T42">
        <v>0.29784959833177665</v>
      </c>
      <c r="U42">
        <v>0.34311032719002504</v>
      </c>
      <c r="V42">
        <v>-2.4265494100138237E-2</v>
      </c>
      <c r="W42">
        <v>-2.551294166333749E-2</v>
      </c>
      <c r="X42">
        <v>-7.1828308980335889E-2</v>
      </c>
      <c r="Y42">
        <v>0.1673956135172753</v>
      </c>
      <c r="Z42">
        <v>0.13383395690240402</v>
      </c>
      <c r="AA42">
        <v>-0.10067234769573644</v>
      </c>
      <c r="AB42">
        <v>0.31740101943165949</v>
      </c>
      <c r="AC42">
        <v>-0.24371017530249711</v>
      </c>
      <c r="AD42">
        <v>-0.24145400882688217</v>
      </c>
      <c r="AE42">
        <v>-0.1584177536380208</v>
      </c>
      <c r="AF42">
        <v>5.1612825973176631E-2</v>
      </c>
      <c r="AG42">
        <v>7.5190754471051252E-2</v>
      </c>
      <c r="AH42">
        <v>-6.5202800310509915E-2</v>
      </c>
      <c r="AI42">
        <v>0.27206210395122238</v>
      </c>
      <c r="AJ42">
        <v>-0.22275554878201012</v>
      </c>
      <c r="AK42">
        <v>-0.24774672900588116</v>
      </c>
      <c r="AL42">
        <v>-0.2040808295141332</v>
      </c>
      <c r="AM42">
        <v>6.7307120204918552E-2</v>
      </c>
      <c r="AN42">
        <v>7.4511167196873521E-2</v>
      </c>
      <c r="AO42">
        <v>0.18616096274528957</v>
      </c>
      <c r="AP42">
        <v>0.12800752133817894</v>
      </c>
      <c r="AQ42">
        <v>7.8834307356561495E-2</v>
      </c>
      <c r="AR42">
        <v>-0.24613761385420879</v>
      </c>
      <c r="AS42">
        <v>-0.23540984079043711</v>
      </c>
      <c r="AT42">
        <v>8.6063039325875668E-2</v>
      </c>
      <c r="AU42">
        <v>7.9131840023134975E-2</v>
      </c>
      <c r="AV42">
        <v>1.267260603264516E-2</v>
      </c>
      <c r="AW42">
        <v>0.42921597373676662</v>
      </c>
    </row>
    <row r="43" spans="1:49" x14ac:dyDescent="0.25">
      <c r="A43">
        <v>4.2757577275569392E-2</v>
      </c>
      <c r="B43">
        <v>0.11466528631274517</v>
      </c>
      <c r="C43">
        <v>1.8814745674363031E-2</v>
      </c>
      <c r="D43">
        <v>3.1786335492143242E-2</v>
      </c>
      <c r="E43">
        <v>1.3577077401688946E-2</v>
      </c>
      <c r="F43">
        <v>-0.14058563742884267</v>
      </c>
      <c r="G43">
        <v>-0.13623634945895216</v>
      </c>
      <c r="H43">
        <v>-3.3339494831060815E-2</v>
      </c>
      <c r="I43">
        <v>-9.5124750697554938E-2</v>
      </c>
      <c r="J43">
        <v>6.6828765516276617E-2</v>
      </c>
      <c r="K43">
        <v>0.17286814308574611</v>
      </c>
      <c r="L43">
        <v>-6.7032009661752864E-2</v>
      </c>
      <c r="M43">
        <v>-0.13288108813821414</v>
      </c>
      <c r="N43">
        <v>-0.10018946523136876</v>
      </c>
      <c r="O43">
        <v>-2.5789021711786844E-2</v>
      </c>
      <c r="P43">
        <v>3.9268074759700412E-4</v>
      </c>
      <c r="Q43">
        <v>-4.2928070452935244E-2</v>
      </c>
      <c r="R43">
        <v>0.23362604809643245</v>
      </c>
      <c r="S43">
        <v>-1.6157138880131833E-2</v>
      </c>
      <c r="T43">
        <v>0.26499095770975528</v>
      </c>
      <c r="U43">
        <v>0.27395398291055473</v>
      </c>
      <c r="V43">
        <v>7.1885375813219632E-2</v>
      </c>
      <c r="W43">
        <v>-0.14000588547383053</v>
      </c>
      <c r="X43">
        <v>-4.7664159987931276E-2</v>
      </c>
      <c r="Y43">
        <v>0.20332760958961951</v>
      </c>
      <c r="Z43">
        <v>0.19550892373046191</v>
      </c>
      <c r="AA43">
        <v>-8.9242278925019305E-2</v>
      </c>
      <c r="AB43">
        <v>-0.14359611298364641</v>
      </c>
      <c r="AC43">
        <v>-0.16548388474835185</v>
      </c>
      <c r="AD43">
        <v>-0.16680466222044596</v>
      </c>
      <c r="AE43">
        <v>-0.11763733467268969</v>
      </c>
      <c r="AF43">
        <v>9.0485887921095173E-2</v>
      </c>
      <c r="AG43">
        <v>0.13765708155471854</v>
      </c>
      <c r="AH43">
        <v>1.1474587884701355E-2</v>
      </c>
      <c r="AI43">
        <v>-0.16904653820726157</v>
      </c>
      <c r="AJ43">
        <v>-0.18621348881609773</v>
      </c>
      <c r="AK43">
        <v>-0.16698142234415997</v>
      </c>
      <c r="AL43">
        <v>-0.16134729232218323</v>
      </c>
      <c r="AM43">
        <v>-8.4303390796945557E-2</v>
      </c>
      <c r="AN43">
        <v>7.3024897591462135E-2</v>
      </c>
      <c r="AO43">
        <v>0.17740333133073968</v>
      </c>
      <c r="AP43">
        <v>0.14225794110333598</v>
      </c>
      <c r="AQ43">
        <v>4.8800740072702915E-2</v>
      </c>
      <c r="AR43">
        <v>-0.16882478623083366</v>
      </c>
      <c r="AS43">
        <v>-0.14950002658598013</v>
      </c>
      <c r="AT43">
        <v>7.7724836239985357E-2</v>
      </c>
      <c r="AU43">
        <v>-1.9237037898000492E-2</v>
      </c>
      <c r="AV43">
        <v>4.0678235553553571E-2</v>
      </c>
      <c r="AW43">
        <v>0.3156985279141869</v>
      </c>
    </row>
    <row r="44" spans="1:49" x14ac:dyDescent="0.25">
      <c r="A44">
        <v>-5.0786475885061366E-3</v>
      </c>
      <c r="B44">
        <v>9.8348210084429795E-3</v>
      </c>
      <c r="C44">
        <v>7.2065850068545309E-2</v>
      </c>
      <c r="D44">
        <v>0.12341364230280552</v>
      </c>
      <c r="E44">
        <v>-9.6909717899818157E-2</v>
      </c>
      <c r="F44">
        <v>-2.5075364191278624E-2</v>
      </c>
      <c r="G44">
        <v>0.22742454201124795</v>
      </c>
      <c r="H44">
        <v>-5.987051760298305E-2</v>
      </c>
      <c r="I44">
        <v>-0.10021668005355008</v>
      </c>
      <c r="J44">
        <v>-1.5963600551769808E-2</v>
      </c>
      <c r="K44">
        <v>9.6054716864065193E-2</v>
      </c>
      <c r="L44">
        <v>-3.9381810535315184E-2</v>
      </c>
      <c r="M44">
        <v>0.33100054549879632</v>
      </c>
      <c r="N44">
        <v>-1.7879668536815357E-2</v>
      </c>
      <c r="O44">
        <v>2.0822463274767417E-3</v>
      </c>
      <c r="P44">
        <v>-6.6927772354642562E-2</v>
      </c>
      <c r="Q44">
        <v>9.1808118852578946E-2</v>
      </c>
      <c r="R44">
        <v>0.17141530086317347</v>
      </c>
      <c r="S44">
        <v>-7.8380446007882756E-2</v>
      </c>
      <c r="T44">
        <v>0.17414322026098877</v>
      </c>
      <c r="U44">
        <v>0.35579815162152512</v>
      </c>
      <c r="V44">
        <v>-2.2202730998361345E-2</v>
      </c>
      <c r="W44">
        <v>-7.0021626616990046E-2</v>
      </c>
      <c r="X44">
        <v>-3.6049415768996118E-2</v>
      </c>
      <c r="Y44">
        <v>0.12408403326725435</v>
      </c>
      <c r="Z44">
        <v>0.10312946100533724</v>
      </c>
      <c r="AA44">
        <v>-8.7304427040271974E-3</v>
      </c>
      <c r="AB44">
        <v>0.22308892426578136</v>
      </c>
      <c r="AC44">
        <v>-0.32289156634106664</v>
      </c>
      <c r="AD44">
        <v>-0.14670791181399201</v>
      </c>
      <c r="AE44">
        <v>-0.17995532775300577</v>
      </c>
      <c r="AF44">
        <v>6.2141758996860696E-2</v>
      </c>
      <c r="AG44">
        <v>0.25881798230197051</v>
      </c>
      <c r="AH44">
        <v>-1.5968320998803031E-2</v>
      </c>
      <c r="AI44">
        <v>9.427590672667667E-2</v>
      </c>
      <c r="AJ44">
        <v>-0.32176924212239644</v>
      </c>
      <c r="AK44">
        <v>-0.23305286626655447</v>
      </c>
      <c r="AL44">
        <v>-0.23198690957271706</v>
      </c>
      <c r="AM44">
        <v>-1.0682829230532417E-2</v>
      </c>
      <c r="AN44">
        <v>4.3313353542247773E-2</v>
      </c>
      <c r="AO44">
        <v>0.21070257172525439</v>
      </c>
      <c r="AP44">
        <v>0.14037160816508129</v>
      </c>
      <c r="AQ44">
        <v>-1.4766256753402179E-2</v>
      </c>
      <c r="AR44">
        <v>-0.32592456180586404</v>
      </c>
      <c r="AS44">
        <v>-0.31742307042542683</v>
      </c>
      <c r="AT44">
        <v>-1.3925198580029633E-2</v>
      </c>
      <c r="AU44">
        <v>1.6907798336024293E-2</v>
      </c>
      <c r="AV44">
        <v>7.7736767295467663E-2</v>
      </c>
      <c r="AW44">
        <v>0.2767146972492126</v>
      </c>
    </row>
    <row r="45" spans="1:49" x14ac:dyDescent="0.25">
      <c r="A45">
        <v>-4.8838624068535848E-2</v>
      </c>
      <c r="B45">
        <v>1.8652292521760348E-2</v>
      </c>
      <c r="C45">
        <v>3.4248529099952489E-4</v>
      </c>
      <c r="D45">
        <v>-4.7675551678985932E-3</v>
      </c>
      <c r="E45">
        <v>-7.4484090282617779E-2</v>
      </c>
      <c r="F45">
        <v>-2.6882440092006517E-2</v>
      </c>
      <c r="G45">
        <v>-5.1223822603377794E-2</v>
      </c>
      <c r="H45">
        <v>-4.3171522691890882E-2</v>
      </c>
      <c r="I45">
        <v>6.4452586407015997E-2</v>
      </c>
      <c r="J45">
        <v>-6.0298147465383742E-2</v>
      </c>
      <c r="K45">
        <v>-4.0499496789997223E-2</v>
      </c>
      <c r="L45">
        <v>4.1701007105389078E-2</v>
      </c>
      <c r="M45">
        <v>-8.6732879648594108E-2</v>
      </c>
      <c r="N45">
        <v>-6.8561000990074367E-2</v>
      </c>
      <c r="O45">
        <v>6.0408837131530066E-3</v>
      </c>
      <c r="P45">
        <v>6.4666111356721526E-2</v>
      </c>
      <c r="Q45">
        <v>6.7064149644231602E-2</v>
      </c>
      <c r="R45">
        <v>4.4424199281374963E-2</v>
      </c>
      <c r="S45">
        <v>1.4769134781057638E-2</v>
      </c>
      <c r="T45">
        <v>3.5845204000186356E-2</v>
      </c>
      <c r="U45">
        <v>3.9988330407955505E-2</v>
      </c>
      <c r="V45">
        <v>3.1655919902610068E-2</v>
      </c>
      <c r="W45">
        <v>-6.8805272082086782E-2</v>
      </c>
      <c r="X45">
        <v>-6.0467047950301965E-2</v>
      </c>
      <c r="Y45">
        <v>-7.7602234555020896E-2</v>
      </c>
      <c r="Z45">
        <v>-6.2462038919673342E-2</v>
      </c>
      <c r="AA45">
        <v>3.8794187131419584E-2</v>
      </c>
      <c r="AB45">
        <v>-1.0525055513621066E-2</v>
      </c>
      <c r="AC45">
        <v>-8.295864140640026E-2</v>
      </c>
      <c r="AD45">
        <v>-2.5232884693030429E-2</v>
      </c>
      <c r="AE45">
        <v>-8.586544933841303E-2</v>
      </c>
      <c r="AF45">
        <v>4.8816984672314684E-2</v>
      </c>
      <c r="AG45">
        <v>-7.4688562707679193E-2</v>
      </c>
      <c r="AH45">
        <v>4.7667435400158407E-2</v>
      </c>
      <c r="AI45">
        <v>2.4817411713117903E-2</v>
      </c>
      <c r="AJ45">
        <v>-1.1163857233565611E-2</v>
      </c>
      <c r="AK45">
        <v>4.2957934505594389E-2</v>
      </c>
      <c r="AL45">
        <v>-6.7876343498949956E-2</v>
      </c>
      <c r="AM45">
        <v>-5.4116589613858082E-2</v>
      </c>
      <c r="AN45">
        <v>-6.0930807787402411E-2</v>
      </c>
      <c r="AO45">
        <v>-4.9873088360343947E-3</v>
      </c>
      <c r="AP45">
        <v>-8.9916736878804054E-2</v>
      </c>
      <c r="AQ45">
        <v>-4.5950938763790306E-2</v>
      </c>
      <c r="AR45">
        <v>-6.3084054151953839E-2</v>
      </c>
      <c r="AS45">
        <v>-1.5051061071725366E-2</v>
      </c>
      <c r="AT45">
        <v>4.035262104391512E-2</v>
      </c>
      <c r="AU45">
        <v>-8.0394162219949689E-2</v>
      </c>
      <c r="AV45">
        <v>3.1811237060351071E-2</v>
      </c>
      <c r="AW45">
        <v>-2.1895661102067688E-2</v>
      </c>
    </row>
    <row r="46" spans="1:49" x14ac:dyDescent="0.25">
      <c r="A46">
        <v>6.4972785376032627E-2</v>
      </c>
      <c r="B46">
        <v>1.8318363023640708E-2</v>
      </c>
      <c r="C46">
        <v>0.11800762514322655</v>
      </c>
      <c r="D46">
        <v>0.17418360288216422</v>
      </c>
      <c r="E46">
        <v>9.8311329409983023E-2</v>
      </c>
      <c r="F46">
        <v>-0.17344155876266967</v>
      </c>
      <c r="G46">
        <v>-0.20241181243704104</v>
      </c>
      <c r="H46">
        <v>-3.5750067916270549E-2</v>
      </c>
      <c r="I46">
        <v>4.1217089032743709E-2</v>
      </c>
      <c r="J46">
        <v>-3.8250829960417135E-2</v>
      </c>
      <c r="K46">
        <v>9.2678748838743344E-2</v>
      </c>
      <c r="L46">
        <v>9.8015506701263407E-4</v>
      </c>
      <c r="M46">
        <v>0.43559033385857987</v>
      </c>
      <c r="N46">
        <v>-1.1480066975007773E-2</v>
      </c>
      <c r="O46">
        <v>-2.631964601348E-2</v>
      </c>
      <c r="P46">
        <v>2.4104410160716794E-2</v>
      </c>
      <c r="Q46">
        <v>6.5486063258373278E-2</v>
      </c>
      <c r="R46">
        <v>0.15544086835761642</v>
      </c>
      <c r="S46">
        <v>-1.7313540025660309E-2</v>
      </c>
      <c r="T46">
        <v>1.6281608352581259E-2</v>
      </c>
      <c r="U46">
        <v>0.11018295118279182</v>
      </c>
      <c r="V46">
        <v>8.7854804672040668E-2</v>
      </c>
      <c r="W46">
        <v>-8.7565862550754936E-2</v>
      </c>
      <c r="X46">
        <v>-8.3848060329547294E-2</v>
      </c>
      <c r="Y46">
        <v>9.4764831372001132E-2</v>
      </c>
      <c r="Z46">
        <v>0.13336441983611869</v>
      </c>
      <c r="AA46">
        <v>3.5986376125580539E-2</v>
      </c>
      <c r="AB46">
        <v>-0.17467750564045198</v>
      </c>
      <c r="AC46">
        <v>-0.19948547416474693</v>
      </c>
      <c r="AD46">
        <v>-0.20316172758929429</v>
      </c>
      <c r="AE46">
        <v>-0.14120323064417609</v>
      </c>
      <c r="AF46">
        <v>-9.9757604537612704E-2</v>
      </c>
      <c r="AG46">
        <v>9.4805473556572345E-2</v>
      </c>
      <c r="AH46">
        <v>-9.6088540745388626E-2</v>
      </c>
      <c r="AI46">
        <v>0.23318545355177717</v>
      </c>
      <c r="AJ46">
        <v>-0.19476699391625918</v>
      </c>
      <c r="AK46">
        <v>-0.20449733510807933</v>
      </c>
      <c r="AL46">
        <v>-0.16143606021518161</v>
      </c>
      <c r="AM46">
        <v>4.6560321983474241E-2</v>
      </c>
      <c r="AN46">
        <v>0.21856959404304246</v>
      </c>
      <c r="AO46">
        <v>6.5933643697318994E-2</v>
      </c>
      <c r="AP46">
        <v>-0.20225313348808854</v>
      </c>
      <c r="AQ46">
        <v>1.2417473095673643E-2</v>
      </c>
      <c r="AR46">
        <v>-0.20211936049843368</v>
      </c>
      <c r="AS46">
        <v>-0.17810769405338511</v>
      </c>
      <c r="AT46">
        <v>7.6562357395844785E-2</v>
      </c>
      <c r="AU46">
        <v>-2.1598212729191234E-2</v>
      </c>
      <c r="AV46">
        <v>-8.3624657948526124E-2</v>
      </c>
      <c r="AW46">
        <v>0.29930397546785198</v>
      </c>
    </row>
    <row r="47" spans="1:49" x14ac:dyDescent="0.25">
      <c r="A47">
        <v>3.3911501548033927E-2</v>
      </c>
      <c r="B47">
        <v>0.14247010633589141</v>
      </c>
      <c r="C47">
        <v>8.0123718538149015E-3</v>
      </c>
      <c r="D47">
        <v>4.1327929896442392E-2</v>
      </c>
      <c r="E47">
        <v>-9.8818645004530289E-2</v>
      </c>
      <c r="F47">
        <v>-0.13500476341073955</v>
      </c>
      <c r="G47">
        <v>-0.14407247252988759</v>
      </c>
      <c r="H47">
        <v>3.6947609389439098E-2</v>
      </c>
      <c r="I47">
        <v>2.3396088909055514E-2</v>
      </c>
      <c r="J47">
        <v>4.2179987975780306E-2</v>
      </c>
      <c r="K47">
        <v>0.11017338135524768</v>
      </c>
      <c r="L47">
        <v>-3.9785541218179399E-2</v>
      </c>
      <c r="M47">
        <v>-8.2985938761064679E-2</v>
      </c>
      <c r="N47">
        <v>-3.7568159392151107E-2</v>
      </c>
      <c r="O47">
        <v>6.8903561555580792E-2</v>
      </c>
      <c r="P47">
        <v>2.8426649397761197E-2</v>
      </c>
      <c r="Q47">
        <v>8.0378724431437981E-2</v>
      </c>
      <c r="R47">
        <v>0.16919837858534573</v>
      </c>
      <c r="S47">
        <v>-9.322657706019144E-2</v>
      </c>
      <c r="T47">
        <v>-0.14774222124074135</v>
      </c>
      <c r="U47">
        <v>-0.10424948870324582</v>
      </c>
      <c r="V47">
        <v>9.0579164917828137E-2</v>
      </c>
      <c r="W47">
        <v>-0.10125980607163404</v>
      </c>
      <c r="X47">
        <v>-8.0168146734320836E-2</v>
      </c>
      <c r="Y47">
        <v>6.9916970966856881E-2</v>
      </c>
      <c r="Z47">
        <v>0.11956304585614858</v>
      </c>
      <c r="AA47">
        <v>4.0667494128161646E-3</v>
      </c>
      <c r="AB47">
        <v>-0.1324171405271192</v>
      </c>
      <c r="AC47">
        <v>-0.11520866297730714</v>
      </c>
      <c r="AD47">
        <v>-0.1485089687044997</v>
      </c>
      <c r="AE47">
        <v>-8.230953552458016E-2</v>
      </c>
      <c r="AF47">
        <v>9.2787587528058685E-2</v>
      </c>
      <c r="AG47">
        <v>0.20494499202260533</v>
      </c>
      <c r="AH47">
        <v>-3.6192341753274919E-3</v>
      </c>
      <c r="AI47">
        <v>-8.2476890993194149E-2</v>
      </c>
      <c r="AJ47">
        <v>-0.12576416928840736</v>
      </c>
      <c r="AK47">
        <v>-0.18219137183803888</v>
      </c>
      <c r="AL47">
        <v>-8.3588277778467682E-2</v>
      </c>
      <c r="AM47">
        <v>5.8467444911507828E-2</v>
      </c>
      <c r="AN47">
        <v>-8.4935126814611447E-2</v>
      </c>
      <c r="AO47">
        <v>-7.3457232627099897E-2</v>
      </c>
      <c r="AP47">
        <v>0.17597961383987859</v>
      </c>
      <c r="AQ47">
        <v>-9.6319878775886561E-3</v>
      </c>
      <c r="AR47">
        <v>-0.11398230562782269</v>
      </c>
      <c r="AS47">
        <v>-6.0436186632723453E-2</v>
      </c>
      <c r="AT47">
        <v>-1.1189177165448351E-2</v>
      </c>
      <c r="AU47">
        <v>-9.5918821407413604E-2</v>
      </c>
      <c r="AV47">
        <v>-6.4826597540701678E-2</v>
      </c>
      <c r="AW47">
        <v>0.26321119424849626</v>
      </c>
    </row>
    <row r="48" spans="1:49" x14ac:dyDescent="0.25">
      <c r="A48">
        <v>2.8127695330474257E-2</v>
      </c>
      <c r="B48">
        <v>3.4756341245803415E-2</v>
      </c>
      <c r="C48">
        <v>8.3478116529165411E-2</v>
      </c>
      <c r="D48">
        <v>4.7131343925173187E-2</v>
      </c>
      <c r="E48">
        <v>6.9342548064946941E-2</v>
      </c>
      <c r="F48">
        <v>-9.5624436403547702E-2</v>
      </c>
      <c r="G48">
        <v>-0.14036921001951699</v>
      </c>
      <c r="H48">
        <v>6.3609896953291653E-2</v>
      </c>
      <c r="I48">
        <v>8.0540652623416836E-2</v>
      </c>
      <c r="J48">
        <v>8.7364335774941029E-2</v>
      </c>
      <c r="K48">
        <v>0.12028027916336675</v>
      </c>
      <c r="L48">
        <v>-6.5030744832931725E-2</v>
      </c>
      <c r="M48">
        <v>-0.12176325596225372</v>
      </c>
      <c r="N48">
        <v>4.0219063701962453E-2</v>
      </c>
      <c r="O48">
        <v>1.9514063435889666E-2</v>
      </c>
      <c r="P48">
        <v>3.9223894673582921E-2</v>
      </c>
      <c r="Q48">
        <v>2.8851661274002658E-2</v>
      </c>
      <c r="R48">
        <v>0.16797717346818908</v>
      </c>
      <c r="S48">
        <v>-4.5506434015480976E-2</v>
      </c>
      <c r="T48">
        <v>0.30007734578636364</v>
      </c>
      <c r="U48">
        <v>-0.14375406818892358</v>
      </c>
      <c r="V48">
        <v>3.9732472314925826E-2</v>
      </c>
      <c r="W48">
        <v>-0.12361094887584866</v>
      </c>
      <c r="X48">
        <v>6.1304277033035802E-3</v>
      </c>
      <c r="Y48">
        <v>0.13830693868452434</v>
      </c>
      <c r="Z48">
        <v>7.3382906434325171E-2</v>
      </c>
      <c r="AA48">
        <v>-3.7167017729981136E-3</v>
      </c>
      <c r="AB48">
        <v>-0.12962462193294391</v>
      </c>
      <c r="AC48">
        <v>-0.12911191854607332</v>
      </c>
      <c r="AD48">
        <v>-0.16176843627091089</v>
      </c>
      <c r="AE48">
        <v>-0.10657142475617087</v>
      </c>
      <c r="AF48">
        <v>4.4789251199262886E-2</v>
      </c>
      <c r="AG48">
        <v>0.20493559744845335</v>
      </c>
      <c r="AH48">
        <v>-2.05193617849228E-2</v>
      </c>
      <c r="AI48">
        <v>-0.13412634893502101</v>
      </c>
      <c r="AJ48">
        <v>-0.16427241096894135</v>
      </c>
      <c r="AK48">
        <v>-0.15783826829588773</v>
      </c>
      <c r="AL48">
        <v>-0.11232805223418309</v>
      </c>
      <c r="AM48">
        <v>7.5646680993898999E-2</v>
      </c>
      <c r="AN48">
        <v>0.22949336708212101</v>
      </c>
      <c r="AO48">
        <v>0.19097169194441801</v>
      </c>
      <c r="AP48">
        <v>0.11534393003629297</v>
      </c>
      <c r="AQ48">
        <v>-3.6914546065444163E-2</v>
      </c>
      <c r="AR48">
        <v>-0.12407766338617249</v>
      </c>
      <c r="AS48">
        <v>-0.11199591382432039</v>
      </c>
      <c r="AT48">
        <v>-2.8467068900701175E-2</v>
      </c>
      <c r="AU48">
        <v>-5.0966016352015017E-2</v>
      </c>
      <c r="AV48">
        <v>2.2161354835080364E-2</v>
      </c>
      <c r="AW48">
        <v>0.45921440192533969</v>
      </c>
    </row>
    <row r="49" spans="1:49" x14ac:dyDescent="0.25">
      <c r="A49">
        <v>-3.2927527168725691E-2</v>
      </c>
      <c r="B49">
        <v>4.6658311286240144E-2</v>
      </c>
      <c r="C49">
        <v>-1.0473894367577572E-2</v>
      </c>
      <c r="D49">
        <v>0.20433477105064754</v>
      </c>
      <c r="E49">
        <v>-6.4184797373534497E-2</v>
      </c>
      <c r="F49">
        <v>0.4032433662371338</v>
      </c>
      <c r="G49">
        <v>-0.17282308098611263</v>
      </c>
      <c r="H49">
        <v>-1.564750546078272E-2</v>
      </c>
      <c r="I49">
        <v>3.3949491188789337E-2</v>
      </c>
      <c r="J49">
        <v>4.8425163484643978E-2</v>
      </c>
      <c r="K49">
        <v>0.20848595400348943</v>
      </c>
      <c r="L49">
        <v>6.7372580281634328E-2</v>
      </c>
      <c r="M49">
        <v>-0.16612787790836617</v>
      </c>
      <c r="N49">
        <v>7.2220503468664835E-2</v>
      </c>
      <c r="O49">
        <v>6.1315527903039499E-2</v>
      </c>
      <c r="P49">
        <v>-7.8022407809174672E-3</v>
      </c>
      <c r="Q49">
        <v>-2.6375377378550311E-3</v>
      </c>
      <c r="R49">
        <v>0.21608030862264985</v>
      </c>
      <c r="S49">
        <v>7.0602112653673369E-3</v>
      </c>
      <c r="T49">
        <v>0.29336070022960292</v>
      </c>
      <c r="U49">
        <v>-0.14915073666916295</v>
      </c>
      <c r="V49">
        <v>-2.975801118829436E-2</v>
      </c>
      <c r="W49">
        <v>-7.6253179076764179E-3</v>
      </c>
      <c r="X49">
        <v>4.2321601386776909E-2</v>
      </c>
      <c r="Y49">
        <v>0.15565354184802457</v>
      </c>
      <c r="Z49">
        <v>0.26190160564472037</v>
      </c>
      <c r="AA49">
        <v>8.5367707099456097E-2</v>
      </c>
      <c r="AB49">
        <v>0.20969178718994333</v>
      </c>
      <c r="AC49">
        <v>-0.19945757288819252</v>
      </c>
      <c r="AD49">
        <v>-0.20327300366160123</v>
      </c>
      <c r="AE49">
        <v>-0.13223145597784189</v>
      </c>
      <c r="AF49">
        <v>7.559294978302597E-2</v>
      </c>
      <c r="AG49">
        <v>0.17976854639240911</v>
      </c>
      <c r="AH49">
        <v>-9.6765479342257169E-2</v>
      </c>
      <c r="AI49">
        <v>-0.17671206745956142</v>
      </c>
      <c r="AJ49">
        <v>-0.19686928935615561</v>
      </c>
      <c r="AK49">
        <v>-0.20234427754604678</v>
      </c>
      <c r="AL49">
        <v>-0.17949406198574369</v>
      </c>
      <c r="AM49">
        <v>-4.7240295153435571E-2</v>
      </c>
      <c r="AN49">
        <v>0.22551943927908663</v>
      </c>
      <c r="AO49">
        <v>0.12096167514265925</v>
      </c>
      <c r="AP49">
        <v>0.12767543195966541</v>
      </c>
      <c r="AQ49">
        <v>-7.4346595220818518E-2</v>
      </c>
      <c r="AR49">
        <v>-0.20357325021095646</v>
      </c>
      <c r="AS49">
        <v>-0.18053095241503458</v>
      </c>
      <c r="AT49">
        <v>0.10720697008562352</v>
      </c>
      <c r="AU49">
        <v>-9.6353271121863912E-2</v>
      </c>
      <c r="AV49">
        <v>8.1196505754073216E-3</v>
      </c>
      <c r="AW49">
        <v>0.26903126741723205</v>
      </c>
    </row>
    <row r="50" spans="1:49" x14ac:dyDescent="0.25">
      <c r="A50">
        <v>2.9882460843773922E-2</v>
      </c>
      <c r="B50">
        <v>5.6807686288035793E-2</v>
      </c>
      <c r="C50">
        <v>4.4049206391390046E-2</v>
      </c>
      <c r="D50">
        <v>2.4324602753913436E-2</v>
      </c>
      <c r="E50">
        <v>-4.6922327286312668E-2</v>
      </c>
      <c r="F50">
        <v>-0.1772236635568781</v>
      </c>
      <c r="G50">
        <v>-0.30268495299505277</v>
      </c>
      <c r="H50">
        <v>6.5712500314373534E-2</v>
      </c>
      <c r="I50">
        <v>-0.10023327386990666</v>
      </c>
      <c r="J50">
        <v>-7.2759561661119174E-2</v>
      </c>
      <c r="K50">
        <v>5.8494023603643336E-2</v>
      </c>
      <c r="L50">
        <v>6.7729058326339464E-2</v>
      </c>
      <c r="M50">
        <v>-0.18162947119636408</v>
      </c>
      <c r="N50">
        <v>-5.540271875910309E-2</v>
      </c>
      <c r="O50">
        <v>0.10810317551568441</v>
      </c>
      <c r="P50">
        <v>0.22081680349813251</v>
      </c>
      <c r="Q50">
        <v>6.0867780185943549E-2</v>
      </c>
      <c r="R50">
        <v>8.3993895680970362E-2</v>
      </c>
      <c r="S50">
        <v>-8.0481936042462801E-2</v>
      </c>
      <c r="T50">
        <v>-0.1528647119638713</v>
      </c>
      <c r="U50">
        <v>-0.12649632054302942</v>
      </c>
      <c r="V50">
        <v>-8.4308327999199698E-2</v>
      </c>
      <c r="W50">
        <v>0.47641694058402795</v>
      </c>
      <c r="X50">
        <v>8.0884992375750836E-2</v>
      </c>
      <c r="Y50">
        <v>2.0764145822149433E-2</v>
      </c>
      <c r="Z50">
        <v>-8.7041157386686968E-2</v>
      </c>
      <c r="AA50">
        <v>8.0955907458859597E-2</v>
      </c>
      <c r="AB50">
        <v>-0.14581560840866206</v>
      </c>
      <c r="AC50">
        <v>0.83832259684185417</v>
      </c>
      <c r="AD50">
        <v>0.91878325191160171</v>
      </c>
      <c r="AE50">
        <v>0.31909309402927966</v>
      </c>
      <c r="AF50">
        <v>2.4959965785987313E-3</v>
      </c>
      <c r="AG50">
        <v>-5.6102583385681408E-2</v>
      </c>
      <c r="AH50">
        <v>-4.6174870990907044E-2</v>
      </c>
      <c r="AI50">
        <v>-0.11138665854053367</v>
      </c>
      <c r="AJ50">
        <v>1.3875771218420085</v>
      </c>
      <c r="AK50">
        <v>1.1392863758237919</v>
      </c>
      <c r="AL50">
        <v>0.51004580424538681</v>
      </c>
      <c r="AM50">
        <v>-5.1732053386635592E-2</v>
      </c>
      <c r="AN50">
        <v>-9.2457436696574621E-2</v>
      </c>
      <c r="AO50">
        <v>-7.3840380324839236E-2</v>
      </c>
      <c r="AP50">
        <v>-0.17213298714467032</v>
      </c>
      <c r="AQ50">
        <v>-9.4342420895495716E-2</v>
      </c>
      <c r="AR50">
        <v>1.5217854574557459</v>
      </c>
      <c r="AS50">
        <v>0.46484725345046063</v>
      </c>
      <c r="AT50">
        <v>-0.11001166531321539</v>
      </c>
      <c r="AU50">
        <v>7.2813088158728001E-2</v>
      </c>
      <c r="AV50">
        <v>-2.9039479672923921E-2</v>
      </c>
      <c r="AW50">
        <v>-0.15344802509170616</v>
      </c>
    </row>
    <row r="51" spans="1:49" x14ac:dyDescent="0.25">
      <c r="A51">
        <v>0.15356160478144407</v>
      </c>
      <c r="B51">
        <v>0.87176606486666286</v>
      </c>
      <c r="C51">
        <v>8.4821753623067389E-2</v>
      </c>
      <c r="D51">
        <v>0.34867338184908481</v>
      </c>
      <c r="E51">
        <v>1.9189175506965188E-2</v>
      </c>
      <c r="F51">
        <v>0.8220534107175832</v>
      </c>
      <c r="G51">
        <v>0.32053397950760759</v>
      </c>
      <c r="H51">
        <v>0.2375843035414589</v>
      </c>
      <c r="I51">
        <v>0.1575536250650996</v>
      </c>
      <c r="J51">
        <v>0.31754582780118135</v>
      </c>
      <c r="K51">
        <v>-7.1087311018003987E-2</v>
      </c>
      <c r="L51">
        <v>0.18929307192647271</v>
      </c>
      <c r="M51">
        <v>3.0872358761818233E-2</v>
      </c>
      <c r="N51">
        <v>0.10213580131402784</v>
      </c>
      <c r="O51">
        <v>0.19241080087520804</v>
      </c>
      <c r="P51">
        <v>0.86838774277285613</v>
      </c>
    </row>
    <row r="52" spans="1:49" x14ac:dyDescent="0.25">
      <c r="A52">
        <v>-0.40565883211403903</v>
      </c>
      <c r="B52">
        <v>1.3265423400260583</v>
      </c>
      <c r="C52">
        <v>-0.35373086346417604</v>
      </c>
      <c r="D52">
        <v>-0.44787652580497372</v>
      </c>
      <c r="E52">
        <v>-0.34330901894275234</v>
      </c>
      <c r="F52">
        <v>1.4475169189332207</v>
      </c>
      <c r="G52">
        <v>-0.39554574844765333</v>
      </c>
      <c r="H52">
        <v>-0.34684847821967224</v>
      </c>
      <c r="I52">
        <v>-0.43157793543237594</v>
      </c>
      <c r="J52">
        <v>-0.45294346852893441</v>
      </c>
      <c r="K52">
        <v>0.11710321663726141</v>
      </c>
      <c r="L52">
        <v>-0.3832126854562331</v>
      </c>
      <c r="M52">
        <v>-0.34113578398162314</v>
      </c>
      <c r="N52">
        <v>-0.36810771496682709</v>
      </c>
      <c r="O52">
        <v>-0.40186083209308415</v>
      </c>
      <c r="P52">
        <v>1.3362874951233017</v>
      </c>
    </row>
    <row r="53" spans="1:49" x14ac:dyDescent="0.25">
      <c r="A53">
        <v>0.5688949616245137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AA728-BE73-4BDB-A3C8-154C1BCE8E42}">
  <sheetPr codeName="Sheet10"/>
  <dimension ref="B2:X33"/>
  <sheetViews>
    <sheetView workbookViewId="0">
      <selection activeCell="J26" sqref="J26"/>
    </sheetView>
  </sheetViews>
  <sheetFormatPr defaultRowHeight="15" x14ac:dyDescent="0.25"/>
  <cols>
    <col min="3" max="21" width="4" customWidth="1"/>
  </cols>
  <sheetData>
    <row r="2" spans="2:24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L2" s="14"/>
      <c r="M2" s="33" t="s">
        <v>26</v>
      </c>
      <c r="N2" s="34"/>
      <c r="O2" s="34"/>
      <c r="P2" s="34"/>
      <c r="Q2" s="34"/>
      <c r="R2" s="35"/>
      <c r="S2" s="36"/>
    </row>
    <row r="3" spans="2:24" ht="18" customHeight="1" x14ac:dyDescent="0.25">
      <c r="B3" s="14">
        <v>7</v>
      </c>
      <c r="C3" s="18">
        <v>3</v>
      </c>
      <c r="D3" s="19">
        <v>2</v>
      </c>
      <c r="E3" s="20">
        <v>2</v>
      </c>
      <c r="F3" s="20">
        <v>2</v>
      </c>
      <c r="G3" s="20">
        <v>2</v>
      </c>
      <c r="H3" s="20">
        <v>3</v>
      </c>
      <c r="I3" s="21">
        <v>4</v>
      </c>
      <c r="M3" s="37" t="str">
        <f t="shared" ref="M3:S9" si="0">INDEX($X$3:$X$6,MATCH(C3,$W$3:$W$6,0))</f>
        <v>↓</v>
      </c>
      <c r="N3" s="38" t="str">
        <f t="shared" si="0"/>
        <v>→</v>
      </c>
      <c r="O3" s="39" t="str">
        <f t="shared" si="0"/>
        <v>→</v>
      </c>
      <c r="P3" s="39" t="str">
        <f t="shared" si="0"/>
        <v>→</v>
      </c>
      <c r="Q3" s="39" t="str">
        <f t="shared" si="0"/>
        <v>→</v>
      </c>
      <c r="R3" s="39" t="str">
        <f t="shared" si="0"/>
        <v>↓</v>
      </c>
      <c r="S3" s="52" t="str">
        <f t="shared" si="0"/>
        <v>←</v>
      </c>
      <c r="W3">
        <v>1</v>
      </c>
      <c r="X3" s="32" t="s">
        <v>22</v>
      </c>
    </row>
    <row r="4" spans="2:24" ht="18" customHeight="1" x14ac:dyDescent="0.25">
      <c r="B4" s="14">
        <v>6</v>
      </c>
      <c r="C4" s="22">
        <v>2</v>
      </c>
      <c r="D4" s="23">
        <v>2</v>
      </c>
      <c r="E4" s="23">
        <v>1</v>
      </c>
      <c r="F4" s="24">
        <v>2</v>
      </c>
      <c r="G4" s="24">
        <v>2</v>
      </c>
      <c r="H4" s="23">
        <v>3</v>
      </c>
      <c r="I4" s="25">
        <v>2</v>
      </c>
      <c r="M4" s="40" t="str">
        <f t="shared" si="0"/>
        <v>→</v>
      </c>
      <c r="N4" s="41" t="str">
        <f t="shared" si="0"/>
        <v>→</v>
      </c>
      <c r="O4" s="41" t="str">
        <f t="shared" si="0"/>
        <v>↑</v>
      </c>
      <c r="P4" s="42" t="str">
        <f t="shared" si="0"/>
        <v>→</v>
      </c>
      <c r="Q4" s="42" t="str">
        <f t="shared" si="0"/>
        <v>→</v>
      </c>
      <c r="R4" s="41" t="str">
        <f t="shared" si="0"/>
        <v>↓</v>
      </c>
      <c r="S4" s="54" t="str">
        <f t="shared" si="0"/>
        <v>→</v>
      </c>
      <c r="W4">
        <v>2</v>
      </c>
      <c r="X4" s="32" t="s">
        <v>23</v>
      </c>
    </row>
    <row r="5" spans="2:24" ht="18" customHeight="1" x14ac:dyDescent="0.25">
      <c r="B5" s="14">
        <v>5</v>
      </c>
      <c r="C5" s="26">
        <v>2</v>
      </c>
      <c r="D5" s="24">
        <v>2</v>
      </c>
      <c r="E5" s="24">
        <v>2</v>
      </c>
      <c r="F5" s="23">
        <v>3</v>
      </c>
      <c r="G5" s="23">
        <v>4</v>
      </c>
      <c r="H5" s="23">
        <v>4</v>
      </c>
      <c r="I5" s="25">
        <v>2</v>
      </c>
      <c r="M5" s="43" t="str">
        <f t="shared" si="0"/>
        <v>→</v>
      </c>
      <c r="N5" s="42" t="str">
        <f t="shared" si="0"/>
        <v>→</v>
      </c>
      <c r="O5" s="42" t="str">
        <f t="shared" si="0"/>
        <v>→</v>
      </c>
      <c r="P5" s="41" t="str">
        <f t="shared" si="0"/>
        <v>↓</v>
      </c>
      <c r="Q5" s="41" t="str">
        <f t="shared" si="0"/>
        <v>←</v>
      </c>
      <c r="R5" s="41" t="str">
        <f t="shared" si="0"/>
        <v>←</v>
      </c>
      <c r="S5" s="54" t="str">
        <f t="shared" si="0"/>
        <v>→</v>
      </c>
      <c r="W5">
        <v>3</v>
      </c>
      <c r="X5" s="32" t="s">
        <v>24</v>
      </c>
    </row>
    <row r="6" spans="2:24" ht="18" customHeight="1" x14ac:dyDescent="0.25">
      <c r="B6" s="14">
        <v>4</v>
      </c>
      <c r="C6" s="22">
        <v>3</v>
      </c>
      <c r="D6" s="23">
        <v>4</v>
      </c>
      <c r="E6" s="23">
        <v>4</v>
      </c>
      <c r="F6" s="23">
        <v>4</v>
      </c>
      <c r="G6" s="24">
        <v>2</v>
      </c>
      <c r="H6" s="24">
        <v>2</v>
      </c>
      <c r="I6" s="27">
        <v>3</v>
      </c>
      <c r="M6" s="40" t="str">
        <f t="shared" si="0"/>
        <v>↓</v>
      </c>
      <c r="N6" s="41" t="str">
        <f t="shared" si="0"/>
        <v>←</v>
      </c>
      <c r="O6" s="41" t="str">
        <f t="shared" si="0"/>
        <v>←</v>
      </c>
      <c r="P6" s="41" t="str">
        <f t="shared" si="0"/>
        <v>←</v>
      </c>
      <c r="Q6" s="42" t="str">
        <f t="shared" si="0"/>
        <v>→</v>
      </c>
      <c r="R6" s="42" t="str">
        <f t="shared" si="0"/>
        <v>→</v>
      </c>
      <c r="S6" s="53" t="str">
        <f t="shared" si="0"/>
        <v>↓</v>
      </c>
      <c r="W6">
        <v>4</v>
      </c>
      <c r="X6" s="32" t="s">
        <v>25</v>
      </c>
    </row>
    <row r="7" spans="2:24" ht="18" customHeight="1" x14ac:dyDescent="0.25">
      <c r="B7" s="14">
        <v>3</v>
      </c>
      <c r="C7" s="22">
        <v>3</v>
      </c>
      <c r="D7" s="24">
        <v>2</v>
      </c>
      <c r="E7" s="24">
        <v>2</v>
      </c>
      <c r="F7" s="24">
        <v>2</v>
      </c>
      <c r="G7" s="23">
        <v>2</v>
      </c>
      <c r="H7" s="23">
        <v>3</v>
      </c>
      <c r="I7" s="27">
        <v>3</v>
      </c>
      <c r="M7" s="40" t="str">
        <f t="shared" si="0"/>
        <v>↓</v>
      </c>
      <c r="N7" s="42" t="str">
        <f t="shared" si="0"/>
        <v>→</v>
      </c>
      <c r="O7" s="42" t="str">
        <f t="shared" si="0"/>
        <v>→</v>
      </c>
      <c r="P7" s="42" t="str">
        <f t="shared" si="0"/>
        <v>→</v>
      </c>
      <c r="Q7" s="41" t="str">
        <f t="shared" si="0"/>
        <v>→</v>
      </c>
      <c r="R7" s="41" t="str">
        <f t="shared" si="0"/>
        <v>↓</v>
      </c>
      <c r="S7" s="53" t="str">
        <f t="shared" si="0"/>
        <v>↓</v>
      </c>
    </row>
    <row r="8" spans="2:24" ht="18" customHeight="1" x14ac:dyDescent="0.25">
      <c r="B8" s="14">
        <v>2</v>
      </c>
      <c r="C8" s="22">
        <v>3</v>
      </c>
      <c r="D8" s="24">
        <v>2</v>
      </c>
      <c r="E8" s="23">
        <v>2</v>
      </c>
      <c r="F8" s="23">
        <v>2</v>
      </c>
      <c r="G8" s="23">
        <v>2</v>
      </c>
      <c r="H8" s="23">
        <v>3</v>
      </c>
      <c r="I8" s="27">
        <v>3</v>
      </c>
      <c r="M8" s="40" t="str">
        <f t="shared" si="0"/>
        <v>↓</v>
      </c>
      <c r="N8" s="42" t="str">
        <f t="shared" si="0"/>
        <v>→</v>
      </c>
      <c r="O8" s="41" t="str">
        <f t="shared" si="0"/>
        <v>→</v>
      </c>
      <c r="P8" s="41" t="str">
        <f t="shared" si="0"/>
        <v>→</v>
      </c>
      <c r="Q8" s="41" t="str">
        <f t="shared" si="0"/>
        <v>→</v>
      </c>
      <c r="R8" s="41" t="str">
        <f t="shared" si="0"/>
        <v>↓</v>
      </c>
      <c r="S8" s="53" t="str">
        <f t="shared" si="0"/>
        <v>↓</v>
      </c>
    </row>
    <row r="9" spans="2:24" ht="18" customHeight="1" x14ac:dyDescent="0.25">
      <c r="B9" s="14">
        <v>1</v>
      </c>
      <c r="C9" s="28">
        <v>2</v>
      </c>
      <c r="D9" s="29">
        <v>2</v>
      </c>
      <c r="E9" s="29">
        <v>1</v>
      </c>
      <c r="F9" s="30">
        <v>2</v>
      </c>
      <c r="G9" s="29">
        <v>2</v>
      </c>
      <c r="H9" s="29">
        <v>2</v>
      </c>
      <c r="I9" s="31">
        <v>3</v>
      </c>
      <c r="M9" s="44" t="str">
        <f t="shared" si="0"/>
        <v>→</v>
      </c>
      <c r="N9" s="45" t="str">
        <f t="shared" si="0"/>
        <v>→</v>
      </c>
      <c r="O9" s="45" t="str">
        <f t="shared" si="0"/>
        <v>↑</v>
      </c>
      <c r="P9" s="46" t="str">
        <f t="shared" si="0"/>
        <v>→</v>
      </c>
      <c r="Q9" s="45" t="str">
        <f t="shared" si="0"/>
        <v>→</v>
      </c>
      <c r="R9" s="45" t="str">
        <f t="shared" si="0"/>
        <v>→</v>
      </c>
      <c r="S9" s="55" t="str">
        <f t="shared" si="0"/>
        <v>↓</v>
      </c>
    </row>
    <row r="10" spans="2:24" x14ac:dyDescent="0.25">
      <c r="B10" s="14"/>
      <c r="C10" s="17"/>
      <c r="D10" s="17"/>
      <c r="E10" s="17"/>
      <c r="F10" s="17"/>
      <c r="G10" s="17"/>
      <c r="H10" s="17"/>
      <c r="I10" s="17"/>
      <c r="L10" s="17"/>
      <c r="M10" s="17"/>
      <c r="N10" s="17"/>
      <c r="O10" s="17"/>
      <c r="P10" s="17"/>
      <c r="Q10" s="17"/>
    </row>
    <row r="11" spans="2:24" x14ac:dyDescent="0.25">
      <c r="B11" s="14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</row>
    <row r="12" spans="2:24" x14ac:dyDescent="0.25">
      <c r="B12" s="14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</row>
    <row r="13" spans="2:24" x14ac:dyDescent="0.25">
      <c r="B13" s="14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</row>
    <row r="14" spans="2:24" x14ac:dyDescent="0.25">
      <c r="B14" s="14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</row>
    <row r="15" spans="2:24" x14ac:dyDescent="0.25">
      <c r="B15" s="14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</row>
    <row r="16" spans="2:24" x14ac:dyDescent="0.25">
      <c r="B16" s="14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</row>
    <row r="17" spans="2:17" x14ac:dyDescent="0.25">
      <c r="B17" s="14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</row>
    <row r="18" spans="2:17" x14ac:dyDescent="0.25">
      <c r="B18" s="14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2:17" x14ac:dyDescent="0.25">
      <c r="B19" s="14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</row>
    <row r="20" spans="2:17" x14ac:dyDescent="0.25">
      <c r="B20" s="14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</row>
    <row r="21" spans="2:17" x14ac:dyDescent="0.25">
      <c r="B21" s="14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</row>
    <row r="22" spans="2:17" x14ac:dyDescent="0.25">
      <c r="B22" s="14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</row>
    <row r="23" spans="2:17" x14ac:dyDescent="0.25">
      <c r="B23" s="14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</row>
    <row r="24" spans="2:17" x14ac:dyDescent="0.25">
      <c r="B24" s="14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</row>
    <row r="25" spans="2:17" x14ac:dyDescent="0.25">
      <c r="B25" s="14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2:17" x14ac:dyDescent="0.25">
      <c r="B26" s="14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2:17" x14ac:dyDescent="0.25">
      <c r="B27" s="14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2:17" x14ac:dyDescent="0.25">
      <c r="B28" s="14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  <row r="29" spans="2:17" x14ac:dyDescent="0.25">
      <c r="B29" s="14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</row>
    <row r="30" spans="2:17" x14ac:dyDescent="0.25">
      <c r="B30" s="14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</row>
    <row r="31" spans="2:17" x14ac:dyDescent="0.25">
      <c r="B31" s="14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</row>
    <row r="32" spans="2:17" x14ac:dyDescent="0.25">
      <c r="B32" s="14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2:17" x14ac:dyDescent="0.25">
      <c r="B33" s="14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EFAB5-0DB6-4827-B5E7-70C21DD5B7E8}">
  <sheetPr codeName="Sheet5"/>
  <dimension ref="B2:S33"/>
  <sheetViews>
    <sheetView workbookViewId="0">
      <selection activeCell="O12" sqref="O12"/>
    </sheetView>
  </sheetViews>
  <sheetFormatPr defaultRowHeight="15" x14ac:dyDescent="0.25"/>
  <cols>
    <col min="3" max="9" width="4" customWidth="1"/>
    <col min="11" max="17" width="4" customWidth="1"/>
  </cols>
  <sheetData>
    <row r="2" spans="2:19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J2" s="14"/>
      <c r="K2" s="14"/>
      <c r="L2" s="14"/>
      <c r="M2" s="14"/>
      <c r="O2" s="14"/>
      <c r="P2" s="14"/>
      <c r="Q2" s="14"/>
      <c r="R2" s="14"/>
      <c r="S2" s="14"/>
    </row>
    <row r="3" spans="2:19" ht="18" customHeight="1" x14ac:dyDescent="0.25">
      <c r="B3" s="14">
        <v>7</v>
      </c>
      <c r="C3" s="18">
        <v>1.5851970503572614</v>
      </c>
      <c r="D3" s="19">
        <v>3.322250253517415</v>
      </c>
      <c r="E3" s="20">
        <v>1.9146764242309358</v>
      </c>
      <c r="F3" s="20">
        <v>2.057353090354832</v>
      </c>
      <c r="G3" s="20">
        <v>2.1781667214181768</v>
      </c>
      <c r="H3" s="20">
        <v>2.2610792401627458</v>
      </c>
      <c r="I3" s="21">
        <v>0.99642902612567585</v>
      </c>
      <c r="J3" s="15"/>
      <c r="K3" s="18"/>
      <c r="L3" s="19"/>
      <c r="M3" s="20"/>
      <c r="N3" s="20"/>
      <c r="O3" s="20"/>
      <c r="P3" s="20"/>
      <c r="Q3" s="21"/>
      <c r="R3" s="15"/>
      <c r="S3" s="15"/>
    </row>
    <row r="4" spans="2:19" ht="18" customHeight="1" x14ac:dyDescent="0.25">
      <c r="B4" s="14">
        <v>6</v>
      </c>
      <c r="C4" s="22">
        <v>1.7385051585756748</v>
      </c>
      <c r="D4" s="23">
        <v>1.6865274209874022</v>
      </c>
      <c r="E4" s="23">
        <v>1.6356934279984445</v>
      </c>
      <c r="F4" s="24">
        <v>3.303199887602152</v>
      </c>
      <c r="G4" s="24">
        <v>3.3762804311161227</v>
      </c>
      <c r="H4" s="23">
        <v>2.2834619146074866</v>
      </c>
      <c r="I4" s="25">
        <v>2.9929831723116616</v>
      </c>
      <c r="J4" s="15"/>
      <c r="K4" s="22"/>
      <c r="L4" s="23"/>
      <c r="M4" s="23"/>
      <c r="N4" s="24"/>
      <c r="O4" s="24"/>
      <c r="P4" s="23"/>
      <c r="Q4" s="25"/>
      <c r="R4" s="15"/>
      <c r="S4" s="15"/>
    </row>
    <row r="5" spans="2:19" ht="18" customHeight="1" x14ac:dyDescent="0.25">
      <c r="B5" s="14">
        <v>5</v>
      </c>
      <c r="C5" s="26">
        <v>3.2546766919546508</v>
      </c>
      <c r="D5" s="24">
        <v>3.3917448585695649</v>
      </c>
      <c r="E5" s="24">
        <v>3.3093852805318091</v>
      </c>
      <c r="F5" s="23">
        <v>2.426900396786309</v>
      </c>
      <c r="G5" s="23">
        <v>2.3948357525770825</v>
      </c>
      <c r="H5" s="23">
        <v>2.3225601605757231</v>
      </c>
      <c r="I5" s="25">
        <v>3.6339993462719375</v>
      </c>
      <c r="J5" s="15"/>
      <c r="K5" s="26"/>
      <c r="L5" s="24"/>
      <c r="M5" s="24"/>
      <c r="N5" s="23"/>
      <c r="O5" s="23"/>
      <c r="P5" s="23"/>
      <c r="Q5" s="25"/>
      <c r="R5" s="15"/>
      <c r="S5" s="15"/>
    </row>
    <row r="6" spans="2:19" ht="18" customHeight="1" x14ac:dyDescent="0.25">
      <c r="B6" s="14">
        <v>4</v>
      </c>
      <c r="C6" s="22">
        <v>2.7848967567746983</v>
      </c>
      <c r="D6" s="23">
        <v>2.6446198661331564</v>
      </c>
      <c r="E6" s="23">
        <v>2.560384568389392</v>
      </c>
      <c r="F6" s="23">
        <v>2.4905044481134735</v>
      </c>
      <c r="G6" s="24">
        <v>2.9848532478227248</v>
      </c>
      <c r="H6" s="24">
        <v>2.9585217363814786</v>
      </c>
      <c r="I6" s="27">
        <v>2.658545354093242</v>
      </c>
      <c r="J6" s="15"/>
      <c r="K6" s="22"/>
      <c r="L6" s="23"/>
      <c r="M6" s="23"/>
      <c r="N6" s="23"/>
      <c r="O6" s="24"/>
      <c r="P6" s="24"/>
      <c r="Q6" s="27"/>
      <c r="R6" s="15"/>
      <c r="S6" s="15"/>
    </row>
    <row r="7" spans="2:19" ht="18" customHeight="1" x14ac:dyDescent="0.25">
      <c r="B7" s="14">
        <v>3</v>
      </c>
      <c r="C7" s="22">
        <v>2.9444037331686101</v>
      </c>
      <c r="D7" s="24">
        <v>2.8920796239067657</v>
      </c>
      <c r="E7" s="24">
        <v>3.2255746869299848</v>
      </c>
      <c r="F7" s="24">
        <v>3.1586290094802401</v>
      </c>
      <c r="G7" s="23">
        <v>5.0411140272721227</v>
      </c>
      <c r="H7" s="23">
        <v>5.8155853967936419</v>
      </c>
      <c r="I7" s="27">
        <v>5.7942504543651676</v>
      </c>
      <c r="J7" s="15"/>
      <c r="K7" s="22"/>
      <c r="L7" s="24"/>
      <c r="M7" s="24"/>
      <c r="N7" s="24"/>
      <c r="O7" s="23"/>
      <c r="P7" s="23"/>
      <c r="Q7" s="27"/>
      <c r="R7" s="15"/>
      <c r="S7" s="15"/>
    </row>
    <row r="8" spans="2:19" ht="18" customHeight="1" x14ac:dyDescent="0.25">
      <c r="B8" s="14">
        <v>2</v>
      </c>
      <c r="C8" s="22">
        <v>3.0968601174632058</v>
      </c>
      <c r="D8" s="24">
        <v>3.0563647309087854</v>
      </c>
      <c r="E8" s="23">
        <v>4.2256706809414757</v>
      </c>
      <c r="F8" s="23">
        <v>5.4765141639468009</v>
      </c>
      <c r="G8" s="23">
        <v>7.1728539119607611</v>
      </c>
      <c r="H8" s="23">
        <v>8.4396457359202177</v>
      </c>
      <c r="I8" s="27">
        <v>10.01722149979015</v>
      </c>
      <c r="J8" s="15"/>
      <c r="K8" s="22"/>
      <c r="L8" s="24"/>
      <c r="M8" s="23"/>
      <c r="N8" s="23"/>
      <c r="O8" s="23"/>
      <c r="P8" s="23"/>
      <c r="Q8" s="27"/>
      <c r="R8" s="15"/>
      <c r="S8" s="15"/>
    </row>
    <row r="9" spans="2:19" ht="18" customHeight="1" x14ac:dyDescent="0.25">
      <c r="B9" s="14">
        <v>1</v>
      </c>
      <c r="C9" s="28">
        <v>3.2916207958515904</v>
      </c>
      <c r="D9" s="29">
        <v>3.5240938306756844</v>
      </c>
      <c r="E9" s="29">
        <v>3.7588138895548768</v>
      </c>
      <c r="F9" s="30">
        <v>3.0050336316150683</v>
      </c>
      <c r="G9" s="29">
        <v>7.2913710498063118</v>
      </c>
      <c r="H9" s="29">
        <v>9.9999936587405873</v>
      </c>
      <c r="I9" s="31">
        <v>3.3371330578315277</v>
      </c>
      <c r="J9" s="15"/>
      <c r="K9" s="28"/>
      <c r="L9" s="29"/>
      <c r="M9" s="29"/>
      <c r="N9" s="30"/>
      <c r="O9" s="29"/>
      <c r="P9" s="29"/>
      <c r="Q9" s="31"/>
      <c r="R9" s="15"/>
      <c r="S9" s="15"/>
    </row>
    <row r="10" spans="2:19" x14ac:dyDescent="0.25"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O10" s="14"/>
      <c r="P10" s="15"/>
      <c r="Q10" s="15"/>
      <c r="R10" s="15"/>
      <c r="S10" s="15"/>
    </row>
    <row r="11" spans="2:19" x14ac:dyDescent="0.25">
      <c r="B11" s="14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O11" s="14"/>
      <c r="P11" s="15"/>
      <c r="Q11" s="15"/>
      <c r="R11" s="15"/>
      <c r="S11" s="15"/>
    </row>
    <row r="12" spans="2:19" x14ac:dyDescent="0.25">
      <c r="B12" s="14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O12" s="14"/>
      <c r="P12" s="15"/>
      <c r="Q12" s="15"/>
      <c r="R12" s="15"/>
      <c r="S12" s="15"/>
    </row>
    <row r="13" spans="2:19" x14ac:dyDescent="0.25">
      <c r="B13" s="14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O13" s="14"/>
      <c r="P13" s="15"/>
      <c r="Q13" s="15"/>
      <c r="R13" s="15"/>
      <c r="S13" s="15"/>
    </row>
    <row r="14" spans="2:19" x14ac:dyDescent="0.25">
      <c r="B14" s="14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O14" s="14"/>
      <c r="P14" s="15"/>
      <c r="Q14" s="15"/>
      <c r="R14" s="15"/>
      <c r="S14" s="15"/>
    </row>
    <row r="15" spans="2:19" x14ac:dyDescent="0.25">
      <c r="B15" s="14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O15" s="14"/>
      <c r="P15" s="15"/>
      <c r="Q15" s="15"/>
      <c r="R15" s="15"/>
      <c r="S15" s="15"/>
    </row>
    <row r="16" spans="2:19" x14ac:dyDescent="0.25">
      <c r="B16" s="14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O16" s="14"/>
      <c r="P16" s="15"/>
      <c r="Q16" s="15"/>
      <c r="R16" s="15"/>
      <c r="S16" s="15"/>
    </row>
    <row r="17" spans="2:19" x14ac:dyDescent="0.25">
      <c r="B17" s="14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O17" s="14"/>
      <c r="P17" s="15"/>
      <c r="Q17" s="15"/>
      <c r="R17" s="15"/>
      <c r="S17" s="15"/>
    </row>
    <row r="18" spans="2:19" x14ac:dyDescent="0.25">
      <c r="B18" s="14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O18" s="14"/>
      <c r="P18" s="15"/>
      <c r="Q18" s="15"/>
      <c r="R18" s="15"/>
      <c r="S18" s="15"/>
    </row>
    <row r="19" spans="2:19" x14ac:dyDescent="0.25">
      <c r="B19" s="14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O19" s="14"/>
      <c r="P19" s="15"/>
      <c r="Q19" s="15"/>
      <c r="R19" s="15"/>
      <c r="S19" s="15"/>
    </row>
    <row r="20" spans="2:19" x14ac:dyDescent="0.25">
      <c r="B20" s="14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O20" s="14"/>
      <c r="P20" s="15"/>
      <c r="Q20" s="15"/>
      <c r="R20" s="15"/>
      <c r="S20" s="15"/>
    </row>
    <row r="21" spans="2:19" x14ac:dyDescent="0.25">
      <c r="B21" s="14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O21" s="14"/>
      <c r="P21" s="15"/>
      <c r="Q21" s="15"/>
      <c r="R21" s="15"/>
      <c r="S21" s="15"/>
    </row>
    <row r="22" spans="2:19" x14ac:dyDescent="0.25">
      <c r="B22" s="14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O22" s="14"/>
      <c r="P22" s="15"/>
      <c r="Q22" s="15"/>
      <c r="R22" s="15"/>
      <c r="S22" s="15"/>
    </row>
    <row r="23" spans="2:19" x14ac:dyDescent="0.25">
      <c r="B23" s="14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O23" s="14"/>
      <c r="P23" s="15"/>
      <c r="Q23" s="15"/>
      <c r="R23" s="15"/>
      <c r="S23" s="15"/>
    </row>
    <row r="24" spans="2:19" x14ac:dyDescent="0.25">
      <c r="B24" s="14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O24" s="14"/>
      <c r="P24" s="15"/>
      <c r="Q24" s="15"/>
      <c r="R24" s="15"/>
      <c r="S24" s="15"/>
    </row>
    <row r="25" spans="2:19" x14ac:dyDescent="0.25">
      <c r="B25" s="14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O25" s="14"/>
      <c r="P25" s="15"/>
      <c r="Q25" s="15"/>
      <c r="R25" s="15"/>
      <c r="S25" s="15"/>
    </row>
    <row r="26" spans="2:19" x14ac:dyDescent="0.25">
      <c r="B26" s="14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O26" s="14"/>
      <c r="P26" s="15"/>
      <c r="Q26" s="15"/>
      <c r="R26" s="15"/>
      <c r="S26" s="15"/>
    </row>
    <row r="27" spans="2:19" x14ac:dyDescent="0.25">
      <c r="B27" s="14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O27" s="14"/>
      <c r="P27" s="15"/>
      <c r="Q27" s="15"/>
      <c r="R27" s="15"/>
      <c r="S27" s="15"/>
    </row>
    <row r="28" spans="2:19" x14ac:dyDescent="0.25">
      <c r="B28" s="14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O28" s="14"/>
      <c r="P28" s="15"/>
      <c r="Q28" s="15"/>
      <c r="R28" s="15"/>
      <c r="S28" s="15"/>
    </row>
    <row r="29" spans="2:19" x14ac:dyDescent="0.25">
      <c r="B29" s="14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O29" s="14"/>
      <c r="P29" s="15"/>
      <c r="Q29" s="15"/>
      <c r="R29" s="15"/>
      <c r="S29" s="15"/>
    </row>
    <row r="30" spans="2:19" x14ac:dyDescent="0.25">
      <c r="B30" s="14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O30" s="14"/>
      <c r="P30" s="15"/>
      <c r="Q30" s="15"/>
      <c r="R30" s="15"/>
      <c r="S30" s="15"/>
    </row>
    <row r="31" spans="2:19" x14ac:dyDescent="0.25">
      <c r="B31" s="14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O31" s="14"/>
      <c r="P31" s="15"/>
      <c r="Q31" s="15"/>
      <c r="R31" s="15"/>
      <c r="S31" s="15"/>
    </row>
    <row r="32" spans="2:19" x14ac:dyDescent="0.25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O32" s="14"/>
      <c r="P32" s="15"/>
      <c r="Q32" s="15"/>
      <c r="R32" s="15"/>
      <c r="S32" s="15"/>
    </row>
    <row r="33" spans="2:19" x14ac:dyDescent="0.25">
      <c r="B33" s="14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O33" s="14"/>
      <c r="P33" s="15"/>
      <c r="Q33" s="15"/>
      <c r="R33" s="15"/>
      <c r="S33" s="15"/>
    </row>
  </sheetData>
  <conditionalFormatting sqref="C3:I9">
    <cfRule type="colorScale" priority="10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93E67-4738-403C-99D2-C204E4AFBF28}">
  <sheetPr codeName="Sheet13"/>
  <dimension ref="A1:G23"/>
  <sheetViews>
    <sheetView zoomScaleNormal="100" workbookViewId="0">
      <pane xSplit="1" ySplit="1" topLeftCell="B2" activePane="bottomRight" state="frozen"/>
      <selection activeCell="D27" sqref="D27"/>
      <selection pane="topRight" activeCell="D27" sqref="D27"/>
      <selection pane="bottomLeft" activeCell="D27" sqref="D27"/>
      <selection pane="bottomRight" sqref="A1:D23"/>
    </sheetView>
  </sheetViews>
  <sheetFormatPr defaultRowHeight="15" x14ac:dyDescent="0.25"/>
  <sheetData>
    <row r="1" spans="1:7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39</v>
      </c>
    </row>
    <row r="2" spans="1:7" x14ac:dyDescent="0.25">
      <c r="A2">
        <v>1</v>
      </c>
      <c r="B2">
        <v>-71.258000000000052</v>
      </c>
      <c r="C2">
        <v>109</v>
      </c>
      <c r="D2">
        <v>0</v>
      </c>
      <c r="F2">
        <v>1</v>
      </c>
      <c r="G2">
        <v>1.8076285164275065</v>
      </c>
    </row>
    <row r="3" spans="1:7" x14ac:dyDescent="0.25">
      <c r="A3">
        <v>2</v>
      </c>
      <c r="B3">
        <v>-57.991999999999962</v>
      </c>
      <c r="C3">
        <v>109</v>
      </c>
      <c r="D3">
        <v>0</v>
      </c>
      <c r="F3">
        <v>2</v>
      </c>
      <c r="G3">
        <v>1.8032872480047606</v>
      </c>
    </row>
    <row r="4" spans="1:7" x14ac:dyDescent="0.25">
      <c r="A4">
        <v>3</v>
      </c>
      <c r="B4">
        <v>-45.920999999999943</v>
      </c>
      <c r="C4">
        <v>109</v>
      </c>
      <c r="D4">
        <v>0</v>
      </c>
      <c r="F4">
        <v>3</v>
      </c>
      <c r="G4">
        <v>1.7314562263136164</v>
      </c>
    </row>
    <row r="5" spans="1:7" x14ac:dyDescent="0.25">
      <c r="A5">
        <v>4</v>
      </c>
      <c r="B5">
        <v>-35.180999999999948</v>
      </c>
      <c r="C5">
        <v>109</v>
      </c>
      <c r="D5">
        <v>0</v>
      </c>
      <c r="F5">
        <v>4</v>
      </c>
      <c r="G5">
        <v>1.7046564498113039</v>
      </c>
    </row>
    <row r="6" spans="1:7" x14ac:dyDescent="0.25">
      <c r="A6">
        <v>5</v>
      </c>
      <c r="B6">
        <v>-23.431999999999952</v>
      </c>
      <c r="C6">
        <v>109</v>
      </c>
      <c r="D6">
        <v>0</v>
      </c>
      <c r="F6">
        <v>5</v>
      </c>
      <c r="G6">
        <v>1.6224562729656504</v>
      </c>
    </row>
    <row r="7" spans="1:7" x14ac:dyDescent="0.25">
      <c r="A7">
        <v>6</v>
      </c>
      <c r="B7">
        <v>-9.9979999999999869</v>
      </c>
      <c r="C7">
        <v>108.32</v>
      </c>
      <c r="D7">
        <v>0.02</v>
      </c>
      <c r="F7">
        <v>6</v>
      </c>
      <c r="G7">
        <v>1.6634067137915416</v>
      </c>
    </row>
    <row r="8" spans="1:7" x14ac:dyDescent="0.25">
      <c r="A8">
        <v>7</v>
      </c>
      <c r="B8">
        <v>-1.0161999999999802</v>
      </c>
      <c r="C8">
        <v>106.94</v>
      </c>
      <c r="D8">
        <v>0.06</v>
      </c>
      <c r="F8">
        <v>7</v>
      </c>
      <c r="G8">
        <v>1.5786757619212841</v>
      </c>
    </row>
    <row r="9" spans="1:7" x14ac:dyDescent="0.25">
      <c r="A9">
        <v>8</v>
      </c>
      <c r="B9">
        <v>4.5876000000000428</v>
      </c>
      <c r="C9">
        <v>106.04</v>
      </c>
      <c r="D9">
        <v>0.08</v>
      </c>
      <c r="F9">
        <v>8</v>
      </c>
      <c r="G9">
        <v>1.5528679716563114</v>
      </c>
    </row>
    <row r="10" spans="1:7" x14ac:dyDescent="0.25">
      <c r="A10">
        <v>9</v>
      </c>
      <c r="B10">
        <v>29.94800000000005</v>
      </c>
      <c r="C10">
        <v>90.64</v>
      </c>
      <c r="D10">
        <v>0.44</v>
      </c>
      <c r="F10">
        <v>9</v>
      </c>
      <c r="G10">
        <v>1.5153901873357503</v>
      </c>
    </row>
    <row r="11" spans="1:7" x14ac:dyDescent="0.25">
      <c r="A11">
        <v>10</v>
      </c>
      <c r="B11">
        <v>38.705200000000055</v>
      </c>
      <c r="C11">
        <v>87.6</v>
      </c>
      <c r="D11">
        <v>0.57999999999999996</v>
      </c>
      <c r="F11">
        <v>10</v>
      </c>
      <c r="G11">
        <v>1.4608099230767126</v>
      </c>
    </row>
    <row r="12" spans="1:7" x14ac:dyDescent="0.25">
      <c r="A12">
        <v>11</v>
      </c>
      <c r="B12">
        <v>54.173800000000028</v>
      </c>
      <c r="C12">
        <v>75.599999999999994</v>
      </c>
      <c r="D12">
        <v>0.82</v>
      </c>
      <c r="F12">
        <v>11</v>
      </c>
      <c r="G12">
        <v>1.3962009820430306</v>
      </c>
    </row>
    <row r="13" spans="1:7" x14ac:dyDescent="0.25">
      <c r="A13">
        <v>12</v>
      </c>
      <c r="B13">
        <v>57.382000000000026</v>
      </c>
      <c r="C13">
        <v>66.36</v>
      </c>
      <c r="D13">
        <v>0.86</v>
      </c>
      <c r="F13">
        <v>12</v>
      </c>
      <c r="G13">
        <v>1.3102722744778239</v>
      </c>
    </row>
    <row r="14" spans="1:7" x14ac:dyDescent="0.25">
      <c r="A14">
        <v>13</v>
      </c>
      <c r="B14">
        <v>60.468600000000016</v>
      </c>
      <c r="C14">
        <v>57.88</v>
      </c>
      <c r="D14">
        <v>0.92</v>
      </c>
      <c r="F14">
        <v>13</v>
      </c>
      <c r="G14">
        <v>1.2553937409016163</v>
      </c>
    </row>
    <row r="15" spans="1:7" x14ac:dyDescent="0.25">
      <c r="A15">
        <v>14</v>
      </c>
      <c r="B15">
        <v>67.551000000000002</v>
      </c>
      <c r="C15">
        <v>47.7</v>
      </c>
      <c r="D15">
        <v>1</v>
      </c>
      <c r="F15">
        <v>14</v>
      </c>
      <c r="G15">
        <v>1.2598203862513997</v>
      </c>
    </row>
    <row r="16" spans="1:7" x14ac:dyDescent="0.25">
      <c r="A16">
        <v>15</v>
      </c>
      <c r="B16">
        <v>64.918000000000006</v>
      </c>
      <c r="C16">
        <v>43.38</v>
      </c>
      <c r="D16">
        <v>0.98</v>
      </c>
      <c r="F16">
        <v>15</v>
      </c>
      <c r="G16">
        <v>1.2106417539141157</v>
      </c>
    </row>
    <row r="17" spans="1:7" x14ac:dyDescent="0.25">
      <c r="A17">
        <v>16</v>
      </c>
      <c r="B17">
        <v>66.058199999999985</v>
      </c>
      <c r="C17">
        <v>38.520000000000003</v>
      </c>
      <c r="D17">
        <v>1</v>
      </c>
      <c r="F17">
        <v>16</v>
      </c>
      <c r="G17">
        <v>1.152820732274334</v>
      </c>
    </row>
    <row r="18" spans="1:7" x14ac:dyDescent="0.25">
      <c r="A18">
        <v>17</v>
      </c>
      <c r="B18">
        <v>63.839999999999989</v>
      </c>
      <c r="C18">
        <v>39.08</v>
      </c>
      <c r="D18">
        <v>0.98</v>
      </c>
      <c r="F18">
        <v>17</v>
      </c>
      <c r="G18">
        <v>1.100625891601535</v>
      </c>
    </row>
    <row r="19" spans="1:7" x14ac:dyDescent="0.25">
      <c r="A19">
        <v>18</v>
      </c>
      <c r="B19">
        <v>61.837399999999988</v>
      </c>
      <c r="C19">
        <v>39</v>
      </c>
      <c r="D19">
        <v>0.96</v>
      </c>
      <c r="F19">
        <v>18</v>
      </c>
      <c r="G19">
        <v>1.0809085395088587</v>
      </c>
    </row>
    <row r="20" spans="1:7" x14ac:dyDescent="0.25">
      <c r="A20">
        <v>19</v>
      </c>
      <c r="B20">
        <v>65.527600000000007</v>
      </c>
      <c r="C20">
        <v>37.56</v>
      </c>
      <c r="D20">
        <v>1</v>
      </c>
      <c r="F20">
        <v>19</v>
      </c>
      <c r="G20">
        <v>1.2761264878610914</v>
      </c>
    </row>
    <row r="21" spans="1:7" x14ac:dyDescent="0.25">
      <c r="A21">
        <v>20</v>
      </c>
      <c r="B21">
        <v>65.363599999999991</v>
      </c>
      <c r="C21">
        <v>36.159999999999997</v>
      </c>
      <c r="D21">
        <v>1</v>
      </c>
      <c r="F21">
        <v>20</v>
      </c>
      <c r="G21">
        <v>1.2836528828650562</v>
      </c>
    </row>
    <row r="22" spans="1:7" x14ac:dyDescent="0.25">
      <c r="A22">
        <v>21</v>
      </c>
      <c r="B22">
        <v>65.470399999999984</v>
      </c>
      <c r="C22">
        <v>35.74</v>
      </c>
      <c r="D22">
        <v>1</v>
      </c>
      <c r="F22">
        <v>21</v>
      </c>
      <c r="G22">
        <v>1.2148217964722186</v>
      </c>
    </row>
    <row r="23" spans="1:7" x14ac:dyDescent="0.25">
      <c r="A23">
        <v>22</v>
      </c>
      <c r="B23">
        <v>65.845199999999977</v>
      </c>
      <c r="C23">
        <v>36.72</v>
      </c>
      <c r="D23">
        <v>1</v>
      </c>
      <c r="F23">
        <v>22</v>
      </c>
      <c r="G23">
        <v>1.1894439323035004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BC2F-BD6D-4BB9-B7C3-531FD8DB905E}">
  <sheetPr codeName="Sheet14"/>
  <dimension ref="A1:T53"/>
  <sheetViews>
    <sheetView workbookViewId="0">
      <selection activeCell="D28" sqref="A28:D28"/>
    </sheetView>
  </sheetViews>
  <sheetFormatPr defaultRowHeight="15" x14ac:dyDescent="0.25"/>
  <sheetData>
    <row r="1" spans="1:20" x14ac:dyDescent="0.25">
      <c r="A1" t="s">
        <v>11</v>
      </c>
    </row>
    <row r="2" spans="1:20" x14ac:dyDescent="0.25">
      <c r="A2">
        <v>20</v>
      </c>
    </row>
    <row r="3" spans="1:20" x14ac:dyDescent="0.25">
      <c r="A3">
        <v>4</v>
      </c>
    </row>
    <row r="4" spans="1:20" x14ac:dyDescent="0.25">
      <c r="A4">
        <v>1</v>
      </c>
    </row>
    <row r="5" spans="1:20" x14ac:dyDescent="0.25">
      <c r="A5" t="s">
        <v>6</v>
      </c>
    </row>
    <row r="6" spans="1:20" x14ac:dyDescent="0.25">
      <c r="A6">
        <v>16</v>
      </c>
    </row>
    <row r="7" spans="1:20" x14ac:dyDescent="0.25">
      <c r="A7">
        <v>1.6675549459547568E-2</v>
      </c>
      <c r="B7">
        <v>0.26709660932337054</v>
      </c>
      <c r="C7">
        <v>-5.5177766217733501E-2</v>
      </c>
      <c r="D7">
        <v>0.18987868547834841</v>
      </c>
      <c r="E7">
        <v>0.35375118916882181</v>
      </c>
      <c r="F7">
        <v>0.59160117796745104</v>
      </c>
      <c r="G7">
        <v>-2.3645936646870553E-2</v>
      </c>
      <c r="H7">
        <v>0.6192900676957227</v>
      </c>
      <c r="I7">
        <v>-1.3535972669583134</v>
      </c>
      <c r="J7">
        <v>-1.6056522951661278E-2</v>
      </c>
      <c r="K7">
        <v>0.22043587551125682</v>
      </c>
      <c r="L7">
        <v>-0.35063515450743232</v>
      </c>
      <c r="M7">
        <v>0.50100073749264917</v>
      </c>
      <c r="N7">
        <v>7.378392995905346E-2</v>
      </c>
      <c r="O7">
        <v>6.4487010949229776E-2</v>
      </c>
      <c r="P7">
        <v>0.40691409565332026</v>
      </c>
      <c r="Q7">
        <v>-0.47360380336275504</v>
      </c>
      <c r="R7">
        <v>6.1043142391821049E-2</v>
      </c>
      <c r="S7">
        <v>0.21265753159968501</v>
      </c>
      <c r="T7">
        <v>-0.42229479949552967</v>
      </c>
    </row>
    <row r="8" spans="1:20" x14ac:dyDescent="0.25">
      <c r="A8">
        <v>0.15882138109701888</v>
      </c>
      <c r="B8">
        <v>0.30965128859105151</v>
      </c>
      <c r="C8">
        <v>3.3784308135727671E-2</v>
      </c>
      <c r="D8">
        <v>0.59824982599689713</v>
      </c>
      <c r="E8">
        <v>0.56447212568306449</v>
      </c>
      <c r="F8">
        <v>-0.5757730355568641</v>
      </c>
      <c r="G8">
        <v>0.15953817177247895</v>
      </c>
      <c r="H8">
        <v>0.83713448352504438</v>
      </c>
      <c r="I8">
        <v>-0.30767166724914019</v>
      </c>
      <c r="J8">
        <v>4.3690539450962733E-2</v>
      </c>
      <c r="K8">
        <v>0.55403676659136103</v>
      </c>
      <c r="L8">
        <v>-3.9483187682596219E-2</v>
      </c>
      <c r="M8">
        <v>-0.58220281846772348</v>
      </c>
      <c r="N8">
        <v>-0.22024260175116323</v>
      </c>
      <c r="O8">
        <v>-0.46392870790779162</v>
      </c>
      <c r="P8">
        <v>-4.4517369024166392E-2</v>
      </c>
      <c r="Q8">
        <v>-0.19030532637985956</v>
      </c>
      <c r="R8">
        <v>-5.7908102027960609E-2</v>
      </c>
      <c r="S8">
        <v>0.10887413389604139</v>
      </c>
      <c r="T8">
        <v>-0.29642564425502832</v>
      </c>
    </row>
    <row r="9" spans="1:20" x14ac:dyDescent="0.25">
      <c r="A9">
        <v>0.25871927554881591</v>
      </c>
      <c r="B9">
        <v>-0.10761741461954001</v>
      </c>
      <c r="C9">
        <v>0.3740323954193408</v>
      </c>
      <c r="D9">
        <v>-0.29609105671142172</v>
      </c>
      <c r="E9">
        <v>-0.29206264709781637</v>
      </c>
      <c r="F9">
        <v>-0.39570439806193103</v>
      </c>
      <c r="G9">
        <v>-6.0845633480251723E-2</v>
      </c>
      <c r="H9">
        <v>0.13114358924357392</v>
      </c>
      <c r="I9">
        <v>0.34259318541996364</v>
      </c>
      <c r="J9">
        <v>-2.8293707956603114E-3</v>
      </c>
      <c r="K9">
        <v>-0.70702388670401772</v>
      </c>
      <c r="L9">
        <v>0.35075757526842127</v>
      </c>
      <c r="M9">
        <v>0.2047724054960228</v>
      </c>
      <c r="N9">
        <v>-0.10129451508314925</v>
      </c>
      <c r="O9">
        <v>4.5587462526097335E-2</v>
      </c>
      <c r="P9">
        <v>0.37887687018196259</v>
      </c>
      <c r="Q9">
        <v>0.40023799066146676</v>
      </c>
      <c r="R9">
        <v>0.44861290470757742</v>
      </c>
      <c r="S9">
        <v>1.6206686473036688E-2</v>
      </c>
      <c r="T9">
        <v>0.2099594188977027</v>
      </c>
    </row>
    <row r="10" spans="1:20" x14ac:dyDescent="0.25">
      <c r="A10">
        <v>6.4438519608785074E-3</v>
      </c>
      <c r="B10">
        <v>0.24612689077859512</v>
      </c>
      <c r="C10">
        <v>-6.5051108407202735E-3</v>
      </c>
      <c r="D10">
        <v>0.1179796258478248</v>
      </c>
      <c r="E10">
        <v>0.12628239441538891</v>
      </c>
      <c r="F10">
        <v>-1.189420984519086</v>
      </c>
      <c r="G10">
        <v>0.44461190600219569</v>
      </c>
      <c r="H10">
        <v>0.37255183056970997</v>
      </c>
      <c r="I10">
        <v>0.87565379610336957</v>
      </c>
      <c r="J10">
        <v>0.18313697490472799</v>
      </c>
      <c r="K10">
        <v>0.10662754309630625</v>
      </c>
      <c r="L10">
        <v>0.52214852273504164</v>
      </c>
      <c r="M10">
        <v>-0.17548239525671477</v>
      </c>
      <c r="N10">
        <v>-0.37247002629575038</v>
      </c>
      <c r="O10">
        <v>-0.38968288826324859</v>
      </c>
      <c r="P10">
        <v>8.7505151754408789E-2</v>
      </c>
      <c r="Q10">
        <v>0.54405885962558709</v>
      </c>
      <c r="R10">
        <v>0.27581510746271798</v>
      </c>
      <c r="S10">
        <v>-0.2234463818393744</v>
      </c>
      <c r="T10">
        <v>0.57420613798966014</v>
      </c>
    </row>
    <row r="11" spans="1:20" x14ac:dyDescent="0.25">
      <c r="A11">
        <v>0.15495023041916425</v>
      </c>
      <c r="B11">
        <v>0.39967579269049908</v>
      </c>
      <c r="C11">
        <v>0.23976519786937492</v>
      </c>
      <c r="D11">
        <v>0.47668223487526917</v>
      </c>
      <c r="E11">
        <v>9.6975597126516946E-2</v>
      </c>
      <c r="F11">
        <v>0.55283459102717769</v>
      </c>
      <c r="G11">
        <v>5.2281752109736054E-2</v>
      </c>
      <c r="H11">
        <v>-0.37346433910814614</v>
      </c>
      <c r="I11">
        <v>-0.461343715938695</v>
      </c>
      <c r="J11">
        <v>-0.11543305521960537</v>
      </c>
      <c r="K11">
        <v>0.98682083704932178</v>
      </c>
      <c r="L11">
        <v>0.26362954897174506</v>
      </c>
      <c r="M11">
        <v>0.10547142224469484</v>
      </c>
      <c r="N11">
        <v>0.1568246727539313</v>
      </c>
      <c r="O11">
        <v>0.15805416406316561</v>
      </c>
      <c r="P11">
        <v>-0.29058099799411846</v>
      </c>
      <c r="Q11">
        <v>-0.23814363727988178</v>
      </c>
      <c r="R11">
        <v>-9.3126870212968796E-2</v>
      </c>
      <c r="S11">
        <v>0.54525188493740373</v>
      </c>
      <c r="T11">
        <v>0.29268853783712584</v>
      </c>
    </row>
    <row r="12" spans="1:20" x14ac:dyDescent="0.25">
      <c r="A12">
        <v>0.28962502424052677</v>
      </c>
      <c r="B12">
        <v>0.20690829286721055</v>
      </c>
      <c r="C12">
        <v>4.9769176580481335E-2</v>
      </c>
      <c r="D12">
        <v>0.27974766877249646</v>
      </c>
      <c r="E12">
        <v>0.59361747074557047</v>
      </c>
      <c r="F12">
        <v>0.84893712477190331</v>
      </c>
      <c r="G12">
        <v>-9.7629738463220844E-2</v>
      </c>
      <c r="H12">
        <v>-0.24463763939415423</v>
      </c>
      <c r="I12">
        <v>-0.63675987931226907</v>
      </c>
      <c r="J12">
        <v>4.4854390093304733E-2</v>
      </c>
      <c r="K12">
        <v>-0.53320664583709876</v>
      </c>
      <c r="L12">
        <v>-0.28097109209396703</v>
      </c>
      <c r="M12">
        <v>0.14337912988948201</v>
      </c>
      <c r="N12">
        <v>7.9600446336010267E-2</v>
      </c>
      <c r="O12">
        <v>0.4629628628274346</v>
      </c>
      <c r="P12">
        <v>0.46743523765275763</v>
      </c>
      <c r="Q12">
        <v>-9.5852146141564731E-2</v>
      </c>
      <c r="R12">
        <v>0.44336555990613524</v>
      </c>
      <c r="S12">
        <v>-6.293522130906215E-2</v>
      </c>
      <c r="T12">
        <v>-0.24134900254324312</v>
      </c>
    </row>
    <row r="13" spans="1:20" x14ac:dyDescent="0.25">
      <c r="A13">
        <v>0.34629722958352499</v>
      </c>
      <c r="B13">
        <v>-0.13609305024192014</v>
      </c>
      <c r="C13">
        <v>0.37940728415274522</v>
      </c>
      <c r="D13">
        <v>-0.12520147661833461</v>
      </c>
      <c r="E13">
        <v>-0.16220059294168368</v>
      </c>
      <c r="F13">
        <v>0.67863049985987567</v>
      </c>
      <c r="G13">
        <v>-3.8995798310750764E-2</v>
      </c>
      <c r="H13">
        <v>-0.87750579035956788</v>
      </c>
      <c r="I13">
        <v>0.57706443523431283</v>
      </c>
      <c r="J13">
        <v>0.38452135362563095</v>
      </c>
      <c r="K13">
        <v>-0.65325640808476448</v>
      </c>
      <c r="L13">
        <v>0.37335775433165647</v>
      </c>
      <c r="M13">
        <v>0.16007668392155044</v>
      </c>
      <c r="N13">
        <v>0.34045006374250691</v>
      </c>
      <c r="O13">
        <v>0.27149504398262886</v>
      </c>
      <c r="P13">
        <v>0.15753629065907984</v>
      </c>
      <c r="Q13">
        <v>0.56971542430012745</v>
      </c>
      <c r="R13">
        <v>-5.8677561392503512E-2</v>
      </c>
      <c r="S13">
        <v>1.404339034393208E-2</v>
      </c>
      <c r="T13">
        <v>0.17601877346218034</v>
      </c>
    </row>
    <row r="14" spans="1:20" x14ac:dyDescent="0.25">
      <c r="A14">
        <v>-0.37233465724247422</v>
      </c>
      <c r="B14">
        <v>0.57339114260989366</v>
      </c>
      <c r="C14">
        <v>-8.53849007464315E-2</v>
      </c>
      <c r="D14">
        <v>0.52361191072663382</v>
      </c>
      <c r="E14">
        <v>0.15885752828161859</v>
      </c>
      <c r="F14">
        <v>-0.89010667100508234</v>
      </c>
      <c r="G14">
        <v>0.60972795913044275</v>
      </c>
      <c r="H14">
        <v>1.0282319723616595</v>
      </c>
      <c r="I14">
        <v>-0.11681198604812174</v>
      </c>
      <c r="J14">
        <v>7.5869307154099508E-2</v>
      </c>
      <c r="K14">
        <v>-0.16965747116741159</v>
      </c>
      <c r="L14">
        <v>-0.15746898450157379</v>
      </c>
      <c r="M14">
        <v>0.21155241082701273</v>
      </c>
      <c r="N14">
        <v>-0.20600696127083656</v>
      </c>
      <c r="O14">
        <v>0.13899781454076127</v>
      </c>
      <c r="P14">
        <v>7.0569496121779068E-2</v>
      </c>
      <c r="Q14">
        <v>-6.5156868320405889E-2</v>
      </c>
      <c r="R14">
        <v>0.3484853296905675</v>
      </c>
      <c r="S14">
        <v>0.20343722264879927</v>
      </c>
      <c r="T14">
        <v>6.0082158984410973E-4</v>
      </c>
    </row>
    <row r="15" spans="1:20" x14ac:dyDescent="0.25">
      <c r="A15">
        <v>0.27257498662433916</v>
      </c>
      <c r="B15">
        <v>-0.29530553323012493</v>
      </c>
      <c r="C15">
        <v>9.96168844485079E-2</v>
      </c>
      <c r="D15">
        <v>-0.14483853517032019</v>
      </c>
      <c r="E15">
        <v>0.13245645164380926</v>
      </c>
      <c r="F15">
        <v>-0.16872794379770556</v>
      </c>
      <c r="G15">
        <v>0.20021208230302712</v>
      </c>
      <c r="H15">
        <v>-0.77064429812398383</v>
      </c>
      <c r="I15">
        <v>1.3700034849943568</v>
      </c>
      <c r="J15">
        <v>0.20081798405934326</v>
      </c>
      <c r="K15">
        <v>8.9796839954370294E-2</v>
      </c>
      <c r="L15">
        <v>0.27278953045134935</v>
      </c>
      <c r="M15">
        <v>-0.23455981645901894</v>
      </c>
      <c r="N15">
        <v>-4.7458570572481464E-2</v>
      </c>
      <c r="O15">
        <v>2.4349829179808328E-2</v>
      </c>
      <c r="P15">
        <v>-2.724272700515231E-2</v>
      </c>
      <c r="Q15">
        <v>0.4845262913179762</v>
      </c>
      <c r="R15">
        <v>-0.50918111927853216</v>
      </c>
      <c r="S15">
        <v>0.431197548335918</v>
      </c>
      <c r="T15">
        <v>0.37601339585249721</v>
      </c>
    </row>
    <row r="16" spans="1:20" x14ac:dyDescent="0.25">
      <c r="A16">
        <v>0.25053353955898189</v>
      </c>
      <c r="B16">
        <v>0.3842006937425006</v>
      </c>
      <c r="C16">
        <v>0.21564455126271059</v>
      </c>
      <c r="D16">
        <v>0.44493603456192432</v>
      </c>
      <c r="E16">
        <v>0.39748397368704735</v>
      </c>
      <c r="F16">
        <v>0.10285094423043635</v>
      </c>
      <c r="G16">
        <v>0.14114098246921863</v>
      </c>
      <c r="H16">
        <v>0.4201209565268807</v>
      </c>
      <c r="I16">
        <v>-0.58637139273203509</v>
      </c>
      <c r="J16">
        <v>-0.20875731270540229</v>
      </c>
      <c r="K16">
        <v>1.5074590524633973</v>
      </c>
      <c r="L16">
        <v>-6.5788734687782222E-2</v>
      </c>
      <c r="M16">
        <v>-0.12789492376427145</v>
      </c>
      <c r="N16">
        <v>-0.14647712805273339</v>
      </c>
      <c r="O16">
        <v>-1.6940536500914042E-2</v>
      </c>
      <c r="P16">
        <v>-0.1394262605031894</v>
      </c>
      <c r="Q16">
        <v>-0.17753727592160118</v>
      </c>
      <c r="R16">
        <v>7.2613885390682184E-2</v>
      </c>
      <c r="S16">
        <v>0.32303443216836675</v>
      </c>
      <c r="T16">
        <v>0.36425467645462312</v>
      </c>
    </row>
    <row r="17" spans="1:20" x14ac:dyDescent="0.25">
      <c r="A17">
        <v>-0.17425928111430436</v>
      </c>
      <c r="B17">
        <v>0.40584524527468846</v>
      </c>
      <c r="C17">
        <v>-8.4666601343956024E-2</v>
      </c>
      <c r="D17">
        <v>0.29917507546330563</v>
      </c>
      <c r="E17">
        <v>0.30157052071726603</v>
      </c>
      <c r="F17">
        <v>0.44851856040330557</v>
      </c>
      <c r="G17">
        <v>0.19939334340605255</v>
      </c>
      <c r="H17">
        <v>0.50892786343086815</v>
      </c>
      <c r="I17">
        <v>-0.74928459535073966</v>
      </c>
      <c r="J17">
        <v>0.32054797947132307</v>
      </c>
      <c r="K17">
        <v>-0.77206895368078832</v>
      </c>
      <c r="L17">
        <v>-0.44296575104311797</v>
      </c>
      <c r="M17">
        <v>0.74489124408934226</v>
      </c>
      <c r="N17">
        <v>0.45347936950181056</v>
      </c>
      <c r="O17">
        <v>0.21780836062788522</v>
      </c>
      <c r="P17">
        <v>0.62405813219065542</v>
      </c>
      <c r="Q17">
        <v>-0.37190739880553014</v>
      </c>
      <c r="R17">
        <v>0.17558100238210173</v>
      </c>
      <c r="S17">
        <v>-8.7590289673097343E-2</v>
      </c>
      <c r="T17">
        <v>-0.49220789209673027</v>
      </c>
    </row>
    <row r="18" spans="1:20" x14ac:dyDescent="0.25">
      <c r="A18">
        <v>0.34499057614308748</v>
      </c>
      <c r="B18">
        <v>0.3013841556842517</v>
      </c>
      <c r="C18">
        <v>0.44920418707007503</v>
      </c>
      <c r="D18">
        <v>0.19846655619728662</v>
      </c>
      <c r="E18">
        <v>-3.2482781958449169E-2</v>
      </c>
      <c r="F18">
        <v>0.62371778746444895</v>
      </c>
      <c r="G18">
        <v>5.9040412330256462E-2</v>
      </c>
      <c r="H18">
        <v>-1.0560430213737571</v>
      </c>
      <c r="I18">
        <v>-0.1478243309028491</v>
      </c>
      <c r="J18">
        <v>-2.6748719401170028E-2</v>
      </c>
      <c r="K18">
        <v>1.0684744640546162</v>
      </c>
      <c r="L18">
        <v>0.28492387096167615</v>
      </c>
      <c r="M18">
        <v>3.2609492435706263E-3</v>
      </c>
      <c r="N18">
        <v>4.3003485812008788E-2</v>
      </c>
      <c r="O18">
        <v>0.24916400915574691</v>
      </c>
      <c r="P18">
        <v>-0.50592668165652366</v>
      </c>
      <c r="Q18">
        <v>0.32526781041705355</v>
      </c>
      <c r="R18">
        <v>-0.10852148501067564</v>
      </c>
      <c r="S18">
        <v>0.38979566770646235</v>
      </c>
      <c r="T18">
        <v>0.53578172202770369</v>
      </c>
    </row>
    <row r="19" spans="1:20" x14ac:dyDescent="0.25">
      <c r="A19">
        <v>0.44311161796978821</v>
      </c>
      <c r="B19">
        <v>0.39287252362673797</v>
      </c>
      <c r="C19">
        <v>0.20154502893456502</v>
      </c>
      <c r="D19">
        <v>0.31871650510576544</v>
      </c>
      <c r="E19">
        <v>-7.7771027291859043E-2</v>
      </c>
      <c r="F19">
        <v>-0.4170478014854494</v>
      </c>
      <c r="G19">
        <v>-0.21977785304012898</v>
      </c>
      <c r="H19">
        <v>0.19323695017263831</v>
      </c>
      <c r="I19">
        <v>-0.60999037512203602</v>
      </c>
      <c r="J19">
        <v>0.32591290485857538</v>
      </c>
      <c r="K19">
        <v>0.21721662426408939</v>
      </c>
      <c r="L19">
        <v>-0.32358215578164101</v>
      </c>
      <c r="M19">
        <v>0.1256636728821211</v>
      </c>
      <c r="N19">
        <v>-0.13941289826361877</v>
      </c>
      <c r="O19">
        <v>-7.0301663797975337E-3</v>
      </c>
      <c r="P19">
        <v>0.19109345922788634</v>
      </c>
      <c r="Q19">
        <v>-0.34334767358281426</v>
      </c>
      <c r="R19">
        <v>-5.1126824243216303E-2</v>
      </c>
      <c r="S19">
        <v>-6.8167806654683055E-2</v>
      </c>
      <c r="T19">
        <v>-9.7367794152130073E-3</v>
      </c>
    </row>
    <row r="20" spans="1:20" x14ac:dyDescent="0.25">
      <c r="A20">
        <v>0.47260356762955513</v>
      </c>
      <c r="B20">
        <v>0.3738527451692778</v>
      </c>
      <c r="C20">
        <v>0.23066733045821791</v>
      </c>
      <c r="D20">
        <v>0.37958627808958972</v>
      </c>
      <c r="E20">
        <v>-0.12955424827172293</v>
      </c>
      <c r="F20">
        <v>8.3124623593773844E-2</v>
      </c>
      <c r="G20">
        <v>-0.19036197253257736</v>
      </c>
      <c r="H20">
        <v>0.34286839188705825</v>
      </c>
      <c r="I20">
        <v>-0.68799416004656821</v>
      </c>
      <c r="J20">
        <v>0.36572128782022684</v>
      </c>
      <c r="K20">
        <v>-2.1512388198824395E-2</v>
      </c>
      <c r="L20">
        <v>-4.9242281837373982E-2</v>
      </c>
      <c r="M20">
        <v>0.67972406775280381</v>
      </c>
      <c r="N20">
        <v>0.44900608464329328</v>
      </c>
      <c r="O20">
        <v>-0.10029282021932419</v>
      </c>
      <c r="P20">
        <v>0.11730385331469691</v>
      </c>
      <c r="Q20">
        <v>-0.75024508767858511</v>
      </c>
      <c r="R20">
        <v>-0.29863580364606951</v>
      </c>
      <c r="S20">
        <v>-0.34777221379251327</v>
      </c>
      <c r="T20">
        <v>-0.1311483751606882</v>
      </c>
    </row>
    <row r="21" spans="1:20" x14ac:dyDescent="0.25">
      <c r="A21">
        <v>0.20365901159600269</v>
      </c>
      <c r="B21">
        <v>-0.24163765851311761</v>
      </c>
      <c r="C21">
        <v>0.21144782600187836</v>
      </c>
      <c r="D21">
        <v>1.8648903695375673E-3</v>
      </c>
      <c r="E21">
        <v>0.13956594664471025</v>
      </c>
      <c r="F21">
        <v>-0.74805032991256915</v>
      </c>
      <c r="G21">
        <v>2.0243459554932671E-2</v>
      </c>
      <c r="H21">
        <v>0.2079899636244314</v>
      </c>
      <c r="I21">
        <v>1.139393365071937</v>
      </c>
      <c r="J21">
        <v>0.18174205902095636</v>
      </c>
      <c r="K21">
        <v>-0.52394053851663525</v>
      </c>
      <c r="L21">
        <v>0.35588243418200732</v>
      </c>
      <c r="M21">
        <v>-0.13018976331755305</v>
      </c>
      <c r="N21">
        <v>-4.7057484451757718E-2</v>
      </c>
      <c r="O21">
        <v>-7.7487999431813892E-2</v>
      </c>
      <c r="P21">
        <v>0.48483164710847398</v>
      </c>
      <c r="Q21">
        <v>0.34236825873797189</v>
      </c>
      <c r="R21">
        <v>0.38086183641356564</v>
      </c>
      <c r="S21">
        <v>-8.9057831749711672E-2</v>
      </c>
      <c r="T21">
        <v>-2.625742277057231E-2</v>
      </c>
    </row>
    <row r="22" spans="1:20" x14ac:dyDescent="0.25">
      <c r="A22">
        <v>0.22913662351175104</v>
      </c>
      <c r="B22">
        <v>-0.28981931200487149</v>
      </c>
      <c r="C22">
        <v>0.25109400042374735</v>
      </c>
      <c r="D22">
        <v>-0.43585553965501539</v>
      </c>
      <c r="E22">
        <v>0.1217408238224173</v>
      </c>
      <c r="F22">
        <v>0.32490652144499127</v>
      </c>
      <c r="G22">
        <v>0.18931974476739472</v>
      </c>
      <c r="H22">
        <v>0.23712001336446439</v>
      </c>
      <c r="I22">
        <v>0.2735527611553446</v>
      </c>
      <c r="J22">
        <v>0.15513827796814963</v>
      </c>
      <c r="K22">
        <v>-0.74519273924545881</v>
      </c>
      <c r="L22">
        <v>-0.23961390883114422</v>
      </c>
      <c r="M22">
        <v>0.20563867192838736</v>
      </c>
      <c r="N22">
        <v>0.50961268005092264</v>
      </c>
      <c r="O22">
        <v>0.13727142581299157</v>
      </c>
      <c r="P22">
        <v>0.2646172400052329</v>
      </c>
      <c r="Q22">
        <v>-9.7129432870808025E-2</v>
      </c>
      <c r="R22">
        <v>0.16976358038808487</v>
      </c>
      <c r="S22">
        <v>-0.35675175391641117</v>
      </c>
      <c r="T22">
        <v>-0.17945796528349647</v>
      </c>
    </row>
    <row r="23" spans="1:20" x14ac:dyDescent="0.25">
      <c r="A23">
        <v>-2.2157125584632349E-2</v>
      </c>
      <c r="B23">
        <v>-9.6319837075869441E-3</v>
      </c>
      <c r="C23">
        <v>0.32650031062824914</v>
      </c>
      <c r="D23">
        <v>0.20753487196684423</v>
      </c>
      <c r="E23">
        <v>-1.9980488520769332E-2</v>
      </c>
      <c r="F23">
        <v>0.28280622121983851</v>
      </c>
      <c r="G23">
        <v>0.35652888242429143</v>
      </c>
      <c r="H23">
        <v>5.1215010257833565E-2</v>
      </c>
      <c r="I23">
        <v>0.2705878641810443</v>
      </c>
      <c r="J23">
        <v>8.6303506967028171E-3</v>
      </c>
      <c r="K23">
        <v>0.23952857535454425</v>
      </c>
      <c r="L23">
        <v>-4.048599594461505E-2</v>
      </c>
      <c r="M23">
        <v>7.1271684516531056E-2</v>
      </c>
      <c r="N23">
        <v>9.7468819262049297E-2</v>
      </c>
      <c r="O23">
        <v>0.36695652483217911</v>
      </c>
      <c r="P23">
        <v>0.33069530223198512</v>
      </c>
    </row>
    <row r="24" spans="1:20" x14ac:dyDescent="0.25">
      <c r="A24">
        <v>-0.104971458716635</v>
      </c>
      <c r="B24">
        <v>-1.0798888334358614</v>
      </c>
      <c r="C24">
        <v>0.9279876033117177</v>
      </c>
      <c r="D24">
        <v>-0.15344696092822088</v>
      </c>
      <c r="E24">
        <v>-0.8991562486445559</v>
      </c>
      <c r="F24">
        <v>0.402101273730053</v>
      </c>
      <c r="G24">
        <v>0.77634320990832373</v>
      </c>
      <c r="H24">
        <v>-0.24615306932256611</v>
      </c>
      <c r="I24">
        <v>0.15818061292967223</v>
      </c>
      <c r="J24">
        <v>-1.0759296929159512</v>
      </c>
      <c r="K24">
        <v>0.44265853900265606</v>
      </c>
      <c r="L24">
        <v>-0.75566527102577152</v>
      </c>
      <c r="M24">
        <v>-1.2649115714002113E-2</v>
      </c>
      <c r="N24">
        <v>0.27178184701762009</v>
      </c>
      <c r="O24">
        <v>0.63403293517962478</v>
      </c>
      <c r="P24">
        <v>0.6317158491314564</v>
      </c>
    </row>
    <row r="25" spans="1:20" x14ac:dyDescent="0.25">
      <c r="A25">
        <v>0.86989601544860706</v>
      </c>
      <c r="B25">
        <v>0.64674273321764963</v>
      </c>
      <c r="C25">
        <v>-0.86127839485390201</v>
      </c>
      <c r="D25">
        <v>-0.95135735908398578</v>
      </c>
      <c r="E25">
        <v>0.44415931833525768</v>
      </c>
      <c r="F25">
        <v>0.40207385465691931</v>
      </c>
      <c r="G25">
        <v>-0.51711627528116444</v>
      </c>
      <c r="H25">
        <v>0.52901999302980363</v>
      </c>
      <c r="I25">
        <v>-1.2345137826281909</v>
      </c>
      <c r="J25">
        <v>0.49755125086130003</v>
      </c>
      <c r="K25">
        <v>0.4467177808905351</v>
      </c>
      <c r="L25">
        <v>2.3464423258085765E-3</v>
      </c>
      <c r="M25">
        <v>0.70710341323380554</v>
      </c>
      <c r="N25">
        <v>0.74589401755681906</v>
      </c>
      <c r="O25">
        <v>-1.0945756097512276</v>
      </c>
      <c r="P25">
        <v>6.709104124719048E-2</v>
      </c>
    </row>
    <row r="26" spans="1:20" x14ac:dyDescent="0.25">
      <c r="A26">
        <v>-0.55936441622500144</v>
      </c>
      <c r="B26">
        <v>0.76915107336181121</v>
      </c>
      <c r="C26">
        <v>0.39602640885829388</v>
      </c>
      <c r="D26">
        <v>0.86568793780273745</v>
      </c>
      <c r="E26">
        <v>-0.43049336964926765</v>
      </c>
      <c r="F26">
        <v>-1.2274380464176446</v>
      </c>
      <c r="G26">
        <v>-0.68330863715694046</v>
      </c>
      <c r="H26">
        <v>1.0330032190043235</v>
      </c>
      <c r="I26">
        <v>0.62704647726702989</v>
      </c>
      <c r="J26">
        <v>0.22168734503558926</v>
      </c>
      <c r="K26">
        <v>-1.007633544312778</v>
      </c>
      <c r="L26">
        <v>-0.3683144779797779</v>
      </c>
      <c r="M26">
        <v>0.13708918328864136</v>
      </c>
      <c r="N26">
        <v>-0.72606384987386696</v>
      </c>
      <c r="O26">
        <v>0.59502989950368779</v>
      </c>
      <c r="P26">
        <v>-1.0169219041286046</v>
      </c>
    </row>
    <row r="27" spans="1:20" x14ac:dyDescent="0.25">
      <c r="A27">
        <v>-0.37116719572762619</v>
      </c>
      <c r="B27">
        <v>-0.79640004663783637</v>
      </c>
      <c r="C27">
        <v>-0.27996129455324315</v>
      </c>
      <c r="D27">
        <v>-0.30015520927042488</v>
      </c>
      <c r="E27">
        <v>0.64659132660745022</v>
      </c>
      <c r="F27">
        <v>-5.6012665137674139E-2</v>
      </c>
      <c r="G27">
        <v>0.60676432002459957</v>
      </c>
      <c r="H27">
        <v>-1.4555670875970215</v>
      </c>
      <c r="I27">
        <v>0.72237217833833522</v>
      </c>
      <c r="J27">
        <v>0.2365004819319956</v>
      </c>
      <c r="K27">
        <v>-1.0100668087125926</v>
      </c>
      <c r="L27">
        <v>0.88115459340190827</v>
      </c>
      <c r="M27">
        <v>-1.0784886749635978</v>
      </c>
      <c r="N27">
        <v>-0.71168324754609147</v>
      </c>
      <c r="O27">
        <v>-0.19860900184673194</v>
      </c>
      <c r="P27">
        <v>-0.29246862322660883</v>
      </c>
    </row>
    <row r="28" spans="1:20" x14ac:dyDescent="0.25">
      <c r="A28">
        <v>0.1751877831638268</v>
      </c>
      <c r="B28">
        <v>-0.12376595157196575</v>
      </c>
      <c r="C28">
        <v>-0.13252846192048034</v>
      </c>
      <c r="D28">
        <v>-7.0056737176509339E-3</v>
      </c>
    </row>
    <row r="29" spans="1:20" x14ac:dyDescent="0.25">
      <c r="A29" t="s">
        <v>7</v>
      </c>
    </row>
    <row r="30" spans="1:20" x14ac:dyDescent="0.25">
      <c r="A30">
        <v>20</v>
      </c>
    </row>
    <row r="31" spans="1:20" x14ac:dyDescent="0.25">
      <c r="A31">
        <v>1</v>
      </c>
    </row>
    <row r="32" spans="1:20" x14ac:dyDescent="0.25">
      <c r="A32">
        <v>1</v>
      </c>
    </row>
    <row r="33" spans="1:20" x14ac:dyDescent="0.25">
      <c r="A33" t="s">
        <v>6</v>
      </c>
    </row>
    <row r="34" spans="1:20" x14ac:dyDescent="0.25">
      <c r="A34">
        <v>16</v>
      </c>
    </row>
    <row r="35" spans="1:20" x14ac:dyDescent="0.25">
      <c r="A35">
        <v>1.3267995763155105</v>
      </c>
      <c r="B35">
        <v>1.8628394683340483</v>
      </c>
      <c r="C35">
        <v>1.4561842074527116</v>
      </c>
      <c r="D35">
        <v>1.8828785696735371</v>
      </c>
      <c r="E35">
        <v>-0.52713838033034</v>
      </c>
      <c r="F35">
        <v>-0.99055556125493482</v>
      </c>
      <c r="G35">
        <v>-0.46014615010844623</v>
      </c>
      <c r="H35">
        <v>-1.4440103233319206</v>
      </c>
      <c r="I35">
        <v>0.10172382481586087</v>
      </c>
      <c r="J35">
        <v>-1.1940500915916696</v>
      </c>
      <c r="K35">
        <v>-1.2297983040197396</v>
      </c>
      <c r="L35">
        <v>-0.23507799939879084</v>
      </c>
      <c r="M35">
        <v>-4.0502643847517214E-2</v>
      </c>
      <c r="N35">
        <v>-0.64937672110838784</v>
      </c>
      <c r="O35">
        <v>0.12516160076050978</v>
      </c>
      <c r="P35">
        <v>-0.78174556157080821</v>
      </c>
      <c r="Q35">
        <v>-0.4792468473387852</v>
      </c>
      <c r="R35">
        <v>-1.0224638220461439</v>
      </c>
      <c r="S35">
        <v>-0.77218721808403401</v>
      </c>
      <c r="T35">
        <v>-0.56653479307042953</v>
      </c>
    </row>
    <row r="36" spans="1:20" x14ac:dyDescent="0.25">
      <c r="A36">
        <v>0.38997381342452841</v>
      </c>
      <c r="B36">
        <v>0.49689814299598761</v>
      </c>
      <c r="C36">
        <v>0.45192219098406478</v>
      </c>
      <c r="D36">
        <v>0.49207342396408121</v>
      </c>
      <c r="E36">
        <v>-1.2800014099127179</v>
      </c>
      <c r="F36">
        <v>-2.3099348651125569E-2</v>
      </c>
      <c r="G36">
        <v>-1.2771392927658822</v>
      </c>
      <c r="H36">
        <v>0.26665641163608345</v>
      </c>
      <c r="I36">
        <v>0.25381178386746955</v>
      </c>
      <c r="J36">
        <v>0.31431549896461275</v>
      </c>
      <c r="K36">
        <v>3.3585878392761233E-2</v>
      </c>
      <c r="L36">
        <v>0.59766680066941547</v>
      </c>
      <c r="M36">
        <v>0.78189561706843214</v>
      </c>
      <c r="N36">
        <v>0.66344199999873199</v>
      </c>
      <c r="O36">
        <v>0.21480124296530695</v>
      </c>
      <c r="P36">
        <v>0.21777964926393265</v>
      </c>
      <c r="Q36">
        <v>0.43270537042673923</v>
      </c>
      <c r="R36">
        <v>-8.6858911331518199E-2</v>
      </c>
      <c r="S36">
        <v>-0.97494196961600132</v>
      </c>
      <c r="T36">
        <v>-0.53049759581399436</v>
      </c>
    </row>
    <row r="37" spans="1:20" x14ac:dyDescent="0.25">
      <c r="A37">
        <v>1.4958162758642883</v>
      </c>
      <c r="B37">
        <v>1.6600608971277575</v>
      </c>
      <c r="C37">
        <v>1.5248351432437626</v>
      </c>
      <c r="D37">
        <v>1.9537725296951403</v>
      </c>
      <c r="E37">
        <v>-0.51666475426760583</v>
      </c>
      <c r="F37">
        <v>-0.76837450590236434</v>
      </c>
      <c r="G37">
        <v>-0.23596744328818833</v>
      </c>
      <c r="H37">
        <v>-0.77039802029617843</v>
      </c>
      <c r="I37">
        <v>-0.25190681500043738</v>
      </c>
      <c r="J37">
        <v>-0.94430355418140355</v>
      </c>
      <c r="K37">
        <v>-0.41869372832047941</v>
      </c>
      <c r="L37">
        <v>-0.95126121695529453</v>
      </c>
      <c r="M37">
        <v>-0.61099934887361251</v>
      </c>
      <c r="N37">
        <v>-0.90397349183935416</v>
      </c>
      <c r="O37">
        <v>-0.39836084649349229</v>
      </c>
      <c r="P37">
        <v>-1.2936112718142634</v>
      </c>
      <c r="Q37">
        <v>-1.1117107716784491</v>
      </c>
      <c r="R37">
        <v>-0.85143739531327323</v>
      </c>
      <c r="S37">
        <v>-0.81454470234733267</v>
      </c>
      <c r="T37">
        <v>-0.34089603350244047</v>
      </c>
    </row>
    <row r="38" spans="1:20" x14ac:dyDescent="0.25">
      <c r="A38">
        <v>0.54651988172244281</v>
      </c>
      <c r="B38">
        <v>0.78537767907340739</v>
      </c>
      <c r="C38">
        <v>0.579596217534321</v>
      </c>
      <c r="D38">
        <v>0.88070093558080087</v>
      </c>
      <c r="E38">
        <v>5.6881229979107002E-2</v>
      </c>
      <c r="F38">
        <v>0.40893398675158382</v>
      </c>
      <c r="G38">
        <v>0.1043493959108666</v>
      </c>
      <c r="H38">
        <v>0.59315811757943182</v>
      </c>
      <c r="I38">
        <v>-0.46333698635159359</v>
      </c>
      <c r="J38">
        <v>0.31390690939409988</v>
      </c>
      <c r="K38">
        <v>0.39909458323237973</v>
      </c>
      <c r="L38">
        <v>-0.143760743561471</v>
      </c>
      <c r="M38">
        <v>0.1078194450483438</v>
      </c>
      <c r="N38">
        <v>-0.34690845276324461</v>
      </c>
      <c r="O38">
        <v>-5.3296089233538298E-2</v>
      </c>
      <c r="P38">
        <v>-0.39756197942739063</v>
      </c>
      <c r="Q38">
        <v>-0.48565673381575375</v>
      </c>
      <c r="R38">
        <v>-0.18280333280064123</v>
      </c>
      <c r="S38">
        <v>-1.806612444601277</v>
      </c>
      <c r="T38">
        <v>-2.5260211326607225</v>
      </c>
    </row>
    <row r="39" spans="1:20" x14ac:dyDescent="0.25">
      <c r="A39">
        <v>-0.25348214604622765</v>
      </c>
      <c r="B39">
        <v>-0.41503706815145347</v>
      </c>
      <c r="C39">
        <v>-0.18969731782720661</v>
      </c>
      <c r="D39">
        <v>-0.31164621484387062</v>
      </c>
      <c r="E39">
        <v>6.2362769352939933E-2</v>
      </c>
      <c r="F39">
        <v>0.46217857150815111</v>
      </c>
      <c r="G39">
        <v>0.48861719531149578</v>
      </c>
      <c r="H39">
        <v>-0.45087349259448189</v>
      </c>
      <c r="I39">
        <v>0.2189279353459728</v>
      </c>
      <c r="J39">
        <v>-0.21901499827546028</v>
      </c>
      <c r="K39">
        <v>0.38715676056220705</v>
      </c>
      <c r="L39">
        <v>0.66083284125083253</v>
      </c>
      <c r="M39">
        <v>0.25604592910598578</v>
      </c>
      <c r="N39">
        <v>-3.383586636032232E-2</v>
      </c>
      <c r="O39">
        <v>-0.21881953065949394</v>
      </c>
      <c r="P39">
        <v>0.4492291550240225</v>
      </c>
      <c r="Q39">
        <v>0.10842358403022005</v>
      </c>
      <c r="R39">
        <v>-0.11934399087247448</v>
      </c>
      <c r="S39">
        <v>-3.3975785080474011E-2</v>
      </c>
      <c r="T39">
        <v>-6.4345279626713547E-2</v>
      </c>
    </row>
    <row r="40" spans="1:20" x14ac:dyDescent="0.25">
      <c r="A40">
        <v>0.56453021159610539</v>
      </c>
      <c r="B40">
        <v>0.9893167991015418</v>
      </c>
      <c r="C40">
        <v>0.39745140085649494</v>
      </c>
      <c r="D40">
        <v>1.0554996548944178</v>
      </c>
      <c r="E40">
        <v>0.8337325105725204</v>
      </c>
      <c r="F40">
        <v>0.38602235855411743</v>
      </c>
      <c r="G40">
        <v>0.26304708008519445</v>
      </c>
      <c r="H40">
        <v>0.75436875616520505</v>
      </c>
      <c r="I40">
        <v>3.1078501782829063E-2</v>
      </c>
      <c r="J40">
        <v>0.63756801101735516</v>
      </c>
      <c r="K40">
        <v>0.15755717377759743</v>
      </c>
      <c r="L40">
        <v>-0.19036161624490219</v>
      </c>
      <c r="M40">
        <v>-0.12143142095969586</v>
      </c>
      <c r="N40">
        <v>-0.31753208491624041</v>
      </c>
      <c r="O40">
        <v>-6.6136588534175617E-2</v>
      </c>
      <c r="P40">
        <v>5.4440681621963208E-2</v>
      </c>
      <c r="Q40">
        <v>-0.38846439702311236</v>
      </c>
      <c r="R40">
        <v>3.1152984697019721E-2</v>
      </c>
      <c r="S40">
        <v>-0.36917113524999484</v>
      </c>
      <c r="T40">
        <v>-0.32896698209388803</v>
      </c>
    </row>
    <row r="41" spans="1:20" x14ac:dyDescent="0.25">
      <c r="A41">
        <v>0.67224850867590469</v>
      </c>
      <c r="B41">
        <v>0.84387296548928292</v>
      </c>
      <c r="C41">
        <v>0.69930825168178179</v>
      </c>
      <c r="D41">
        <v>0.87257027912380225</v>
      </c>
      <c r="E41">
        <v>0.68493037680574742</v>
      </c>
      <c r="F41">
        <v>0.2975768030080147</v>
      </c>
      <c r="G41">
        <v>0.26084736046887946</v>
      </c>
      <c r="H41">
        <v>0.85821415547571656</v>
      </c>
      <c r="I41">
        <v>0.38917834542398999</v>
      </c>
      <c r="J41">
        <v>0.73669514338712905</v>
      </c>
      <c r="K41">
        <v>-5.8147833741864094E-2</v>
      </c>
      <c r="L41">
        <v>-0.22053105657981883</v>
      </c>
      <c r="M41">
        <v>8.4622326918741039E-2</v>
      </c>
      <c r="N41">
        <v>1.7271846267976725E-2</v>
      </c>
      <c r="O41">
        <v>0.21956741117887441</v>
      </c>
      <c r="P41">
        <v>0.14333048157942924</v>
      </c>
      <c r="Q41">
        <v>-0.3594035515557667</v>
      </c>
      <c r="R41">
        <v>0.49864901658121347</v>
      </c>
      <c r="S41">
        <v>0.35867277861632163</v>
      </c>
      <c r="T41">
        <v>0.21718789733467805</v>
      </c>
    </row>
    <row r="42" spans="1:20" x14ac:dyDescent="0.25">
      <c r="A42">
        <v>-0.12794617959717242</v>
      </c>
      <c r="B42">
        <v>-0.31482607739055535</v>
      </c>
      <c r="C42">
        <v>-0.21336377103381887</v>
      </c>
      <c r="D42">
        <v>-0.13712827596213012</v>
      </c>
      <c r="E42">
        <v>1.9729599513972747E-2</v>
      </c>
      <c r="F42">
        <v>0.65692290203511672</v>
      </c>
      <c r="G42">
        <v>0.43484530675684702</v>
      </c>
      <c r="H42">
        <v>-1.2310829335310738</v>
      </c>
      <c r="I42">
        <v>0.32148059048822147</v>
      </c>
      <c r="J42">
        <v>-0.42738415937970803</v>
      </c>
      <c r="K42">
        <v>-0.19448240500945502</v>
      </c>
      <c r="L42">
        <v>1.1452179262608112E-2</v>
      </c>
      <c r="M42">
        <v>0.22392945875424466</v>
      </c>
      <c r="N42">
        <v>4.2014761092523181E-2</v>
      </c>
      <c r="O42">
        <v>-0.42392025456954391</v>
      </c>
      <c r="P42">
        <v>0.34806799492075158</v>
      </c>
      <c r="Q42">
        <v>-0.3226813487049936</v>
      </c>
      <c r="R42">
        <v>-0.90721935782973628</v>
      </c>
      <c r="S42">
        <v>0.20392098694471517</v>
      </c>
      <c r="T42">
        <v>0.51955652062680668</v>
      </c>
    </row>
    <row r="43" spans="1:20" x14ac:dyDescent="0.25">
      <c r="A43">
        <v>1.3125046831303939</v>
      </c>
      <c r="B43">
        <v>1.7393912432605483</v>
      </c>
      <c r="C43">
        <v>1.5165122960369137</v>
      </c>
      <c r="D43">
        <v>1.770934769387472</v>
      </c>
      <c r="E43">
        <v>-0.29339128737501974</v>
      </c>
      <c r="F43">
        <v>-0.93583366615403574</v>
      </c>
      <c r="G43">
        <v>-0.4314822824494059</v>
      </c>
      <c r="H43">
        <v>-0.28717725711558473</v>
      </c>
      <c r="I43">
        <v>-4.6049674057641245E-2</v>
      </c>
      <c r="J43">
        <v>-0.69082950655174213</v>
      </c>
      <c r="K43">
        <v>-0.93122258947856351</v>
      </c>
      <c r="L43">
        <v>-0.50194088461783404</v>
      </c>
      <c r="M43">
        <v>-0.16290215787830817</v>
      </c>
      <c r="N43">
        <v>-1.0772758213262434</v>
      </c>
      <c r="O43">
        <v>-0.39028692566976381</v>
      </c>
      <c r="P43">
        <v>-1.1257063638167841</v>
      </c>
      <c r="Q43">
        <v>-1.1474747639753182</v>
      </c>
      <c r="R43">
        <v>-1.3546348623697939</v>
      </c>
      <c r="S43">
        <v>-1.0466732896706128</v>
      </c>
      <c r="T43">
        <v>0.35521159282558024</v>
      </c>
    </row>
    <row r="44" spans="1:20" x14ac:dyDescent="0.25">
      <c r="A44">
        <v>1.1604369252890827</v>
      </c>
      <c r="B44">
        <v>1.692818030050633</v>
      </c>
      <c r="C44">
        <v>1.3117560252688052</v>
      </c>
      <c r="D44">
        <v>1.5755095659603335</v>
      </c>
      <c r="E44">
        <v>-0.14493812407572049</v>
      </c>
      <c r="F44">
        <v>-0.6685478167783484</v>
      </c>
      <c r="G44">
        <v>-0.26284013199939882</v>
      </c>
      <c r="H44">
        <v>-0.46454331753572481</v>
      </c>
      <c r="I44">
        <v>-0.23013441224734429</v>
      </c>
      <c r="J44">
        <v>-0.53279950032274925</v>
      </c>
      <c r="K44">
        <v>-0.20665238853760301</v>
      </c>
      <c r="L44">
        <v>-0.57384920128878436</v>
      </c>
      <c r="M44">
        <v>-0.74264548474487702</v>
      </c>
      <c r="N44">
        <v>-1.0587677787751817</v>
      </c>
      <c r="O44">
        <v>-0.28969575272542297</v>
      </c>
      <c r="P44">
        <v>-1.2538279856123822</v>
      </c>
      <c r="Q44">
        <v>-1.1785010742159818</v>
      </c>
      <c r="R44">
        <v>-0.91200379272879295</v>
      </c>
      <c r="S44">
        <v>-0.67357949304535825</v>
      </c>
      <c r="T44">
        <v>-0.431149151688142</v>
      </c>
    </row>
    <row r="45" spans="1:20" x14ac:dyDescent="0.25">
      <c r="A45">
        <v>-0.19325907034088216</v>
      </c>
      <c r="B45">
        <v>-0.27873621810553773</v>
      </c>
      <c r="C45">
        <v>-0.2877479082206521</v>
      </c>
      <c r="D45">
        <v>-0.23923479505476314</v>
      </c>
      <c r="E45">
        <v>-8.1421482161144962E-2</v>
      </c>
      <c r="F45">
        <v>0.59527166028847833</v>
      </c>
      <c r="G45">
        <v>0.29279382786672131</v>
      </c>
      <c r="H45">
        <v>-1.2934585410526733</v>
      </c>
      <c r="I45">
        <v>0.42391180448506449</v>
      </c>
      <c r="J45">
        <v>-0.5727961348091789</v>
      </c>
      <c r="K45">
        <v>-6.7106368723347479E-2</v>
      </c>
      <c r="L45">
        <v>4.8702809171996278E-2</v>
      </c>
      <c r="M45">
        <v>0.26189009542086056</v>
      </c>
      <c r="N45">
        <v>-0.13712844094983506</v>
      </c>
      <c r="O45">
        <v>-0.75141568726980335</v>
      </c>
      <c r="P45">
        <v>0.51029898498269588</v>
      </c>
      <c r="Q45">
        <v>-0.15170160759541151</v>
      </c>
      <c r="R45">
        <v>-0.58366967496325417</v>
      </c>
      <c r="S45">
        <v>0.37967367299309096</v>
      </c>
      <c r="T45">
        <v>0.5898517463096089</v>
      </c>
    </row>
    <row r="46" spans="1:20" x14ac:dyDescent="0.25">
      <c r="A46">
        <v>0.49028668386329488</v>
      </c>
      <c r="B46">
        <v>-0.87281707883760506</v>
      </c>
      <c r="C46">
        <v>0.38099863831628661</v>
      </c>
      <c r="D46">
        <v>-0.88144757468976875</v>
      </c>
      <c r="E46">
        <v>0.53187372415108991</v>
      </c>
      <c r="F46">
        <v>-0.21355831446952842</v>
      </c>
      <c r="G46">
        <v>-0.57802511190740047</v>
      </c>
      <c r="H46">
        <v>-1.5142473398260545</v>
      </c>
      <c r="I46">
        <v>5.5715669307556309E-2</v>
      </c>
      <c r="J46">
        <v>-3.738589658903109E-2</v>
      </c>
      <c r="K46">
        <v>1.0342087457417062</v>
      </c>
      <c r="L46">
        <v>0.8275516064274222</v>
      </c>
      <c r="M46">
        <v>-0.29827194319002903</v>
      </c>
      <c r="N46">
        <v>0.17146640353716663</v>
      </c>
      <c r="O46">
        <v>0.48334668361694133</v>
      </c>
      <c r="P46">
        <v>0.44180030193693687</v>
      </c>
      <c r="Q46">
        <v>-0.71903476431975766</v>
      </c>
      <c r="R46">
        <v>-1.6441312811177595</v>
      </c>
      <c r="S46">
        <v>0.38500154592463326</v>
      </c>
      <c r="T46">
        <v>-1.082851165381528</v>
      </c>
    </row>
    <row r="47" spans="1:20" x14ac:dyDescent="0.25">
      <c r="A47">
        <v>0.71162696355918587</v>
      </c>
      <c r="B47">
        <v>0.97920203972073816</v>
      </c>
      <c r="C47">
        <v>0.51419235549128339</v>
      </c>
      <c r="D47">
        <v>1.1468382059212539</v>
      </c>
      <c r="E47">
        <v>0.73214398602159347</v>
      </c>
      <c r="F47">
        <v>0.60177172365774367</v>
      </c>
      <c r="G47">
        <v>0.30413503454015717</v>
      </c>
      <c r="H47">
        <v>-0.88703253567681184</v>
      </c>
      <c r="I47">
        <v>-1.5252503235012147E-2</v>
      </c>
      <c r="J47">
        <v>0.19995361607733955</v>
      </c>
      <c r="K47">
        <v>-0.37010302610003587</v>
      </c>
      <c r="L47">
        <v>-0.70744847764459651</v>
      </c>
      <c r="M47">
        <v>-0.13852141133245904</v>
      </c>
      <c r="N47">
        <v>-0.68891208170499774</v>
      </c>
      <c r="O47">
        <v>0.44066961083900796</v>
      </c>
      <c r="P47">
        <v>-1.0345413553681578E-3</v>
      </c>
      <c r="Q47">
        <v>5.1359084691785808E-2</v>
      </c>
      <c r="R47">
        <v>0.1118475540299143</v>
      </c>
      <c r="S47">
        <v>-0.24072348697556104</v>
      </c>
      <c r="T47">
        <v>6.8729028364937508E-2</v>
      </c>
    </row>
    <row r="48" spans="1:20" x14ac:dyDescent="0.25">
      <c r="A48">
        <v>-1.7712154001908915</v>
      </c>
      <c r="B48">
        <v>2.032027108791477</v>
      </c>
      <c r="C48">
        <v>-2.0511898416201784</v>
      </c>
      <c r="D48">
        <v>1.9105531622708776</v>
      </c>
      <c r="E48">
        <v>0.21279578200885158</v>
      </c>
      <c r="F48">
        <v>0.54165074073412511</v>
      </c>
      <c r="G48">
        <v>-0.13814995535552804</v>
      </c>
      <c r="H48">
        <v>0.39035617995973998</v>
      </c>
      <c r="I48">
        <v>0.6069433052280172</v>
      </c>
      <c r="J48">
        <v>-0.44575256848958245</v>
      </c>
      <c r="K48">
        <v>-0.23807112115346257</v>
      </c>
      <c r="L48">
        <v>0.18219464947651115</v>
      </c>
      <c r="M48">
        <v>0.37275833337715136</v>
      </c>
      <c r="N48">
        <v>0.46807972790229629</v>
      </c>
      <c r="O48">
        <v>0.1108159533189188</v>
      </c>
      <c r="P48">
        <v>-1.4061921931056192E-2</v>
      </c>
      <c r="Q48">
        <v>0.18238111750459157</v>
      </c>
      <c r="R48">
        <v>-0.12054429015862253</v>
      </c>
      <c r="S48">
        <v>-0.5533851028198028</v>
      </c>
      <c r="T48">
        <v>0.62239165747867786</v>
      </c>
    </row>
    <row r="49" spans="1:20" x14ac:dyDescent="0.25">
      <c r="A49">
        <v>-0.32639370409074464</v>
      </c>
      <c r="B49">
        <v>-0.4200166728534907</v>
      </c>
      <c r="C49">
        <v>-0.27301911703734916</v>
      </c>
      <c r="D49">
        <v>-0.38035879683630142</v>
      </c>
      <c r="E49">
        <v>3.3846885517004821E-2</v>
      </c>
      <c r="F49">
        <v>0.43214041786021151</v>
      </c>
      <c r="G49">
        <v>0.72677815953392877</v>
      </c>
      <c r="H49">
        <v>-0.20581825293732747</v>
      </c>
      <c r="I49">
        <v>-0.70728120600559086</v>
      </c>
      <c r="J49">
        <v>-0.19339748101841689</v>
      </c>
      <c r="K49">
        <v>9.1294355643507463E-2</v>
      </c>
      <c r="L49">
        <v>0.19220416381471153</v>
      </c>
      <c r="M49">
        <v>0.10706697549629948</v>
      </c>
      <c r="N49">
        <v>8.4366086855701863E-2</v>
      </c>
      <c r="O49">
        <v>-0.2663689539740377</v>
      </c>
      <c r="P49">
        <v>0.14337635135734164</v>
      </c>
      <c r="Q49">
        <v>0.24305569692500745</v>
      </c>
      <c r="R49">
        <v>-0.40942063549440555</v>
      </c>
      <c r="S49">
        <v>-0.25698809029052494</v>
      </c>
      <c r="T49">
        <v>0.14463185158800429</v>
      </c>
    </row>
    <row r="50" spans="1:20" x14ac:dyDescent="0.25">
      <c r="A50">
        <v>0.53109334144502318</v>
      </c>
      <c r="B50">
        <v>-1.0275140038978188</v>
      </c>
      <c r="C50">
        <v>0.60175092310673595</v>
      </c>
      <c r="D50">
        <v>-0.95059076381231633</v>
      </c>
      <c r="E50">
        <v>-0.32288602030595143</v>
      </c>
      <c r="F50">
        <v>5.7425664117241156E-2</v>
      </c>
      <c r="G50">
        <v>0.98907135472782215</v>
      </c>
      <c r="H50">
        <v>0.45389964204092703</v>
      </c>
      <c r="I50">
        <v>-0.38822620785250384</v>
      </c>
      <c r="J50">
        <v>-0.27659149892117496</v>
      </c>
      <c r="K50">
        <v>0.17266828347811156</v>
      </c>
      <c r="L50">
        <v>0.61905706840640473</v>
      </c>
      <c r="M50">
        <v>0.14989116026288657</v>
      </c>
      <c r="N50">
        <v>7.1936249891724938E-2</v>
      </c>
      <c r="O50">
        <v>-0.17938761252475621</v>
      </c>
      <c r="P50">
        <v>-7.6747208074140122E-2</v>
      </c>
      <c r="Q50">
        <v>8.5129172558281674E-2</v>
      </c>
      <c r="R50">
        <v>4.2458303223654473E-2</v>
      </c>
      <c r="S50">
        <v>0.19142111999511768</v>
      </c>
      <c r="T50">
        <v>0.37222821748499962</v>
      </c>
    </row>
    <row r="51" spans="1:20" x14ac:dyDescent="0.25">
      <c r="A51">
        <v>-0.93795256083387757</v>
      </c>
      <c r="B51">
        <v>-2.6615244869154987E-2</v>
      </c>
      <c r="C51">
        <v>-1.1538074794296056</v>
      </c>
      <c r="D51">
        <v>3.5735354696323822E-2</v>
      </c>
      <c r="E51">
        <v>8.6739278114498455E-2</v>
      </c>
      <c r="F51">
        <v>0.27195998086931078</v>
      </c>
      <c r="G51">
        <v>0.4304447471279706</v>
      </c>
      <c r="H51">
        <v>0.1516351793447058</v>
      </c>
      <c r="I51">
        <v>-0.86060124337014243</v>
      </c>
      <c r="J51">
        <v>-1.0787070873380151</v>
      </c>
      <c r="K51">
        <v>0.24786806161214991</v>
      </c>
      <c r="L51">
        <v>0.53139113891158807</v>
      </c>
      <c r="M51">
        <v>-4.3583894338165873E-4</v>
      </c>
      <c r="N51">
        <v>-0.58875414269851067</v>
      </c>
      <c r="O51">
        <v>4.4123038873792784E-2</v>
      </c>
      <c r="P51">
        <v>3.1205889140345021E-2</v>
      </c>
    </row>
    <row r="52" spans="1:20" x14ac:dyDescent="0.25">
      <c r="A52">
        <v>3.9688451599850159</v>
      </c>
      <c r="B52">
        <v>1.6804558472143933</v>
      </c>
      <c r="C52">
        <v>4.1028638214833277</v>
      </c>
      <c r="D52">
        <v>1.4217224188619517</v>
      </c>
      <c r="E52">
        <v>-0.9875680928151167</v>
      </c>
      <c r="F52">
        <v>1.1195157844752264</v>
      </c>
      <c r="G52">
        <v>1.2642280423478804</v>
      </c>
      <c r="H52">
        <v>-1.1965758568916858</v>
      </c>
      <c r="I52">
        <v>4.1791184689807164</v>
      </c>
      <c r="J52">
        <v>3.799209464631021</v>
      </c>
      <c r="K52">
        <v>-1.4631615954423227</v>
      </c>
      <c r="L52">
        <v>-3.826583939046877</v>
      </c>
      <c r="M52">
        <v>1.2673821414513251</v>
      </c>
      <c r="N52">
        <v>-4.6953397858462624</v>
      </c>
      <c r="O52">
        <v>-1.0049665111710897</v>
      </c>
      <c r="P52">
        <v>-2.6907562588872582</v>
      </c>
    </row>
    <row r="53" spans="1:20" x14ac:dyDescent="0.25">
      <c r="A53">
        <v>0.32854479755712795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93D95-1CE3-45C5-8211-1BD5AD45C8C7}">
  <sheetPr codeName="Sheet15"/>
  <dimension ref="B2:AL33"/>
  <sheetViews>
    <sheetView workbookViewId="0">
      <selection activeCell="D27" sqref="D27"/>
    </sheetView>
  </sheetViews>
  <sheetFormatPr defaultRowHeight="15" x14ac:dyDescent="0.25"/>
  <cols>
    <col min="3" max="35" width="4" customWidth="1"/>
  </cols>
  <sheetData>
    <row r="2" spans="2:38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J2" s="14">
        <v>8</v>
      </c>
      <c r="K2" s="14">
        <v>9</v>
      </c>
      <c r="L2" s="14">
        <v>10</v>
      </c>
      <c r="M2" s="14">
        <v>11</v>
      </c>
      <c r="N2" s="14">
        <v>12</v>
      </c>
      <c r="O2" s="14">
        <v>13</v>
      </c>
      <c r="R2" s="14"/>
      <c r="S2" s="33" t="s">
        <v>26</v>
      </c>
      <c r="T2" s="34"/>
      <c r="U2" s="34"/>
      <c r="V2" s="34"/>
      <c r="W2" s="34"/>
      <c r="X2" s="35"/>
      <c r="Y2" s="36"/>
      <c r="Z2" s="2"/>
      <c r="AA2" s="2"/>
      <c r="AB2" s="2"/>
      <c r="AC2" s="2"/>
      <c r="AD2" s="2"/>
      <c r="AE2" s="2"/>
      <c r="AF2" s="2"/>
      <c r="AG2" s="2"/>
    </row>
    <row r="3" spans="2:38" ht="18" customHeight="1" x14ac:dyDescent="0.25">
      <c r="B3" s="14">
        <v>7</v>
      </c>
      <c r="C3" s="18">
        <v>2</v>
      </c>
      <c r="D3" s="19">
        <v>2</v>
      </c>
      <c r="E3" s="20">
        <v>2</v>
      </c>
      <c r="F3" s="20">
        <v>2</v>
      </c>
      <c r="G3" s="20">
        <v>2</v>
      </c>
      <c r="H3" s="20">
        <v>2</v>
      </c>
      <c r="I3" s="19">
        <v>2</v>
      </c>
      <c r="J3" s="20">
        <v>2</v>
      </c>
      <c r="K3" s="20">
        <v>2</v>
      </c>
      <c r="L3" s="20">
        <v>2</v>
      </c>
      <c r="M3" s="20">
        <v>2</v>
      </c>
      <c r="N3" s="20">
        <v>2</v>
      </c>
      <c r="O3" s="21">
        <v>2</v>
      </c>
      <c r="S3" s="37" t="str">
        <f t="shared" ref="S3:AE9" si="0">INDEX($AL$3:$AL$6,MATCH(C3,$AK$3:$AK$6,0))</f>
        <v>→</v>
      </c>
      <c r="T3" s="38" t="str">
        <f t="shared" si="0"/>
        <v>→</v>
      </c>
      <c r="U3" s="39" t="str">
        <f t="shared" si="0"/>
        <v>→</v>
      </c>
      <c r="V3" s="39" t="str">
        <f t="shared" si="0"/>
        <v>→</v>
      </c>
      <c r="W3" s="39" t="str">
        <f t="shared" si="0"/>
        <v>→</v>
      </c>
      <c r="X3" s="39" t="str">
        <f t="shared" si="0"/>
        <v>→</v>
      </c>
      <c r="Y3" s="38" t="str">
        <f t="shared" si="0"/>
        <v>→</v>
      </c>
      <c r="Z3" s="39" t="str">
        <f t="shared" si="0"/>
        <v>→</v>
      </c>
      <c r="AA3" s="39" t="str">
        <f t="shared" si="0"/>
        <v>→</v>
      </c>
      <c r="AB3" s="39" t="str">
        <f t="shared" si="0"/>
        <v>→</v>
      </c>
      <c r="AC3" s="39" t="str">
        <f t="shared" si="0"/>
        <v>→</v>
      </c>
      <c r="AD3" s="39" t="str">
        <f t="shared" si="0"/>
        <v>→</v>
      </c>
      <c r="AE3" s="52" t="str">
        <f t="shared" si="0"/>
        <v>→</v>
      </c>
      <c r="AF3" s="41"/>
      <c r="AG3" s="41"/>
      <c r="AK3">
        <v>1</v>
      </c>
      <c r="AL3" s="32" t="s">
        <v>22</v>
      </c>
    </row>
    <row r="4" spans="2:38" ht="18" customHeight="1" x14ac:dyDescent="0.25">
      <c r="B4" s="14">
        <v>6</v>
      </c>
      <c r="C4" s="22">
        <v>2</v>
      </c>
      <c r="D4" s="23">
        <v>2</v>
      </c>
      <c r="E4" s="23">
        <v>2</v>
      </c>
      <c r="F4" s="24">
        <v>2</v>
      </c>
      <c r="G4" s="24">
        <v>2</v>
      </c>
      <c r="H4" s="23">
        <v>2</v>
      </c>
      <c r="I4" s="24">
        <v>2</v>
      </c>
      <c r="J4" s="23">
        <v>2</v>
      </c>
      <c r="K4" s="23">
        <v>2</v>
      </c>
      <c r="L4" s="23">
        <v>2</v>
      </c>
      <c r="M4" s="23">
        <v>2</v>
      </c>
      <c r="N4" s="23">
        <v>2</v>
      </c>
      <c r="O4" s="27">
        <v>2</v>
      </c>
      <c r="S4" s="40" t="str">
        <f t="shared" si="0"/>
        <v>→</v>
      </c>
      <c r="T4" s="41" t="str">
        <f t="shared" si="0"/>
        <v>→</v>
      </c>
      <c r="U4" s="41" t="str">
        <f t="shared" si="0"/>
        <v>→</v>
      </c>
      <c r="V4" s="42" t="str">
        <f t="shared" si="0"/>
        <v>→</v>
      </c>
      <c r="W4" s="42" t="str">
        <f t="shared" si="0"/>
        <v>→</v>
      </c>
      <c r="X4" s="41" t="str">
        <f t="shared" si="0"/>
        <v>→</v>
      </c>
      <c r="Y4" s="42" t="str">
        <f t="shared" si="0"/>
        <v>→</v>
      </c>
      <c r="Z4" s="41" t="str">
        <f t="shared" si="0"/>
        <v>→</v>
      </c>
      <c r="AA4" s="41" t="str">
        <f t="shared" si="0"/>
        <v>→</v>
      </c>
      <c r="AB4" s="41" t="str">
        <f t="shared" si="0"/>
        <v>→</v>
      </c>
      <c r="AC4" s="41" t="str">
        <f t="shared" si="0"/>
        <v>→</v>
      </c>
      <c r="AD4" s="41" t="str">
        <f t="shared" si="0"/>
        <v>→</v>
      </c>
      <c r="AE4" s="53" t="str">
        <f t="shared" si="0"/>
        <v>→</v>
      </c>
      <c r="AF4" s="41"/>
      <c r="AG4" s="41"/>
      <c r="AK4">
        <v>2</v>
      </c>
      <c r="AL4" s="32" t="s">
        <v>23</v>
      </c>
    </row>
    <row r="5" spans="2:38" ht="18" customHeight="1" x14ac:dyDescent="0.25">
      <c r="B5" s="14">
        <v>5</v>
      </c>
      <c r="C5" s="26">
        <v>2</v>
      </c>
      <c r="D5" s="24">
        <v>2</v>
      </c>
      <c r="E5" s="24">
        <v>2</v>
      </c>
      <c r="F5" s="23">
        <v>2</v>
      </c>
      <c r="G5" s="23">
        <v>2</v>
      </c>
      <c r="H5" s="23">
        <v>2</v>
      </c>
      <c r="I5" s="24">
        <v>2</v>
      </c>
      <c r="J5" s="23">
        <v>2</v>
      </c>
      <c r="K5" s="24">
        <v>2</v>
      </c>
      <c r="L5" s="24">
        <v>2</v>
      </c>
      <c r="M5" s="24">
        <v>2</v>
      </c>
      <c r="N5" s="24">
        <v>2</v>
      </c>
      <c r="O5" s="25">
        <v>2</v>
      </c>
      <c r="S5" s="43" t="str">
        <f t="shared" si="0"/>
        <v>→</v>
      </c>
      <c r="T5" s="42" t="str">
        <f t="shared" si="0"/>
        <v>→</v>
      </c>
      <c r="U5" s="42" t="str">
        <f t="shared" si="0"/>
        <v>→</v>
      </c>
      <c r="V5" s="41" t="str">
        <f t="shared" si="0"/>
        <v>→</v>
      </c>
      <c r="W5" s="41" t="str">
        <f t="shared" si="0"/>
        <v>→</v>
      </c>
      <c r="X5" s="41" t="str">
        <f t="shared" si="0"/>
        <v>→</v>
      </c>
      <c r="Y5" s="42" t="str">
        <f t="shared" si="0"/>
        <v>→</v>
      </c>
      <c r="Z5" s="41" t="str">
        <f t="shared" si="0"/>
        <v>→</v>
      </c>
      <c r="AA5" s="42" t="str">
        <f t="shared" si="0"/>
        <v>→</v>
      </c>
      <c r="AB5" s="42" t="str">
        <f t="shared" si="0"/>
        <v>→</v>
      </c>
      <c r="AC5" s="42" t="str">
        <f t="shared" si="0"/>
        <v>→</v>
      </c>
      <c r="AD5" s="42" t="str">
        <f t="shared" si="0"/>
        <v>→</v>
      </c>
      <c r="AE5" s="54" t="str">
        <f t="shared" si="0"/>
        <v>→</v>
      </c>
      <c r="AF5" s="41"/>
      <c r="AG5" s="41"/>
      <c r="AK5">
        <v>3</v>
      </c>
      <c r="AL5" s="32" t="s">
        <v>24</v>
      </c>
    </row>
    <row r="6" spans="2:38" ht="18" customHeight="1" x14ac:dyDescent="0.25">
      <c r="B6" s="14">
        <v>4</v>
      </c>
      <c r="C6" s="22">
        <v>2</v>
      </c>
      <c r="D6" s="23">
        <v>2</v>
      </c>
      <c r="E6" s="23">
        <v>2</v>
      </c>
      <c r="F6" s="23">
        <v>2</v>
      </c>
      <c r="G6" s="24">
        <v>2</v>
      </c>
      <c r="H6" s="24">
        <v>2</v>
      </c>
      <c r="I6" s="23">
        <v>2</v>
      </c>
      <c r="J6" s="23">
        <v>2</v>
      </c>
      <c r="K6" s="23">
        <v>2</v>
      </c>
      <c r="L6" s="23">
        <v>2</v>
      </c>
      <c r="M6" s="23">
        <v>2</v>
      </c>
      <c r="N6" s="23">
        <v>2</v>
      </c>
      <c r="O6" s="27">
        <v>2</v>
      </c>
      <c r="S6" s="40" t="str">
        <f t="shared" si="0"/>
        <v>→</v>
      </c>
      <c r="T6" s="41" t="str">
        <f t="shared" si="0"/>
        <v>→</v>
      </c>
      <c r="U6" s="41" t="str">
        <f t="shared" si="0"/>
        <v>→</v>
      </c>
      <c r="V6" s="41" t="str">
        <f t="shared" si="0"/>
        <v>→</v>
      </c>
      <c r="W6" s="42" t="str">
        <f t="shared" si="0"/>
        <v>→</v>
      </c>
      <c r="X6" s="42" t="str">
        <f t="shared" si="0"/>
        <v>→</v>
      </c>
      <c r="Y6" s="41" t="str">
        <f t="shared" si="0"/>
        <v>→</v>
      </c>
      <c r="Z6" s="41" t="str">
        <f t="shared" si="0"/>
        <v>→</v>
      </c>
      <c r="AA6" s="41" t="str">
        <f t="shared" si="0"/>
        <v>→</v>
      </c>
      <c r="AB6" s="41" t="str">
        <f t="shared" si="0"/>
        <v>→</v>
      </c>
      <c r="AC6" s="41" t="str">
        <f t="shared" si="0"/>
        <v>→</v>
      </c>
      <c r="AD6" s="41" t="str">
        <f t="shared" si="0"/>
        <v>→</v>
      </c>
      <c r="AE6" s="53" t="str">
        <f t="shared" si="0"/>
        <v>→</v>
      </c>
      <c r="AF6" s="41"/>
      <c r="AG6" s="41"/>
      <c r="AK6">
        <v>4</v>
      </c>
      <c r="AL6" s="32" t="s">
        <v>25</v>
      </c>
    </row>
    <row r="7" spans="2:38" ht="18" customHeight="1" x14ac:dyDescent="0.25">
      <c r="B7" s="14">
        <v>3</v>
      </c>
      <c r="C7" s="22">
        <v>2</v>
      </c>
      <c r="D7" s="24">
        <v>2</v>
      </c>
      <c r="E7" s="24">
        <v>2</v>
      </c>
      <c r="F7" s="24">
        <v>2</v>
      </c>
      <c r="G7" s="23">
        <v>2</v>
      </c>
      <c r="H7" s="23">
        <v>2</v>
      </c>
      <c r="I7" s="23">
        <v>2</v>
      </c>
      <c r="J7" s="23">
        <v>2</v>
      </c>
      <c r="K7" s="23">
        <v>2</v>
      </c>
      <c r="L7" s="23">
        <v>2</v>
      </c>
      <c r="M7" s="23">
        <v>2</v>
      </c>
      <c r="N7" s="23">
        <v>2</v>
      </c>
      <c r="O7" s="27">
        <v>2</v>
      </c>
      <c r="S7" s="40" t="str">
        <f t="shared" si="0"/>
        <v>→</v>
      </c>
      <c r="T7" s="42" t="str">
        <f t="shared" si="0"/>
        <v>→</v>
      </c>
      <c r="U7" s="42" t="str">
        <f t="shared" si="0"/>
        <v>→</v>
      </c>
      <c r="V7" s="42" t="str">
        <f t="shared" si="0"/>
        <v>→</v>
      </c>
      <c r="W7" s="41" t="str">
        <f t="shared" si="0"/>
        <v>→</v>
      </c>
      <c r="X7" s="41" t="str">
        <f t="shared" si="0"/>
        <v>→</v>
      </c>
      <c r="Y7" s="41" t="str">
        <f t="shared" si="0"/>
        <v>→</v>
      </c>
      <c r="Z7" s="41" t="str">
        <f t="shared" si="0"/>
        <v>→</v>
      </c>
      <c r="AA7" s="41" t="str">
        <f t="shared" si="0"/>
        <v>→</v>
      </c>
      <c r="AB7" s="41" t="str">
        <f t="shared" si="0"/>
        <v>→</v>
      </c>
      <c r="AC7" s="41" t="str">
        <f t="shared" si="0"/>
        <v>→</v>
      </c>
      <c r="AD7" s="41" t="str">
        <f t="shared" si="0"/>
        <v>→</v>
      </c>
      <c r="AE7" s="53" t="str">
        <f t="shared" si="0"/>
        <v>→</v>
      </c>
      <c r="AF7" s="41"/>
      <c r="AG7" s="41"/>
    </row>
    <row r="8" spans="2:38" ht="18" customHeight="1" x14ac:dyDescent="0.25">
      <c r="B8" s="14">
        <v>2</v>
      </c>
      <c r="C8" s="22">
        <v>1</v>
      </c>
      <c r="D8" s="24">
        <v>1</v>
      </c>
      <c r="E8" s="23">
        <v>1</v>
      </c>
      <c r="F8" s="23">
        <v>1</v>
      </c>
      <c r="G8" s="23">
        <v>1</v>
      </c>
      <c r="H8" s="23">
        <v>1</v>
      </c>
      <c r="I8" s="23">
        <v>1</v>
      </c>
      <c r="J8" s="24">
        <v>1</v>
      </c>
      <c r="K8" s="24">
        <v>1</v>
      </c>
      <c r="L8" s="24">
        <v>1</v>
      </c>
      <c r="M8" s="24">
        <v>1</v>
      </c>
      <c r="N8" s="24">
        <v>1</v>
      </c>
      <c r="O8" s="25">
        <v>1</v>
      </c>
      <c r="S8" s="40" t="str">
        <f t="shared" si="0"/>
        <v>↑</v>
      </c>
      <c r="T8" s="42" t="str">
        <f t="shared" si="0"/>
        <v>↑</v>
      </c>
      <c r="U8" s="41" t="str">
        <f t="shared" si="0"/>
        <v>↑</v>
      </c>
      <c r="V8" s="41" t="str">
        <f t="shared" si="0"/>
        <v>↑</v>
      </c>
      <c r="W8" s="41" t="str">
        <f t="shared" si="0"/>
        <v>↑</v>
      </c>
      <c r="X8" s="41" t="str">
        <f t="shared" si="0"/>
        <v>↑</v>
      </c>
      <c r="Y8" s="41" t="str">
        <f t="shared" si="0"/>
        <v>↑</v>
      </c>
      <c r="Z8" s="42" t="str">
        <f t="shared" si="0"/>
        <v>↑</v>
      </c>
      <c r="AA8" s="42" t="str">
        <f t="shared" si="0"/>
        <v>↑</v>
      </c>
      <c r="AB8" s="42" t="str">
        <f t="shared" si="0"/>
        <v>↑</v>
      </c>
      <c r="AC8" s="42" t="str">
        <f t="shared" si="0"/>
        <v>↑</v>
      </c>
      <c r="AD8" s="42" t="str">
        <f t="shared" si="0"/>
        <v>↑</v>
      </c>
      <c r="AE8" s="54" t="str">
        <f t="shared" si="0"/>
        <v>↑</v>
      </c>
      <c r="AF8" s="41"/>
      <c r="AG8" s="41"/>
    </row>
    <row r="9" spans="2:38" ht="18" customHeight="1" x14ac:dyDescent="0.25">
      <c r="B9" s="14">
        <v>1</v>
      </c>
      <c r="C9" s="28">
        <v>1</v>
      </c>
      <c r="D9" s="29">
        <v>1</v>
      </c>
      <c r="E9" s="29">
        <v>1</v>
      </c>
      <c r="F9" s="30">
        <v>1</v>
      </c>
      <c r="G9" s="29">
        <v>1</v>
      </c>
      <c r="H9" s="29">
        <v>1</v>
      </c>
      <c r="I9" s="29">
        <v>1</v>
      </c>
      <c r="J9" s="29">
        <v>1</v>
      </c>
      <c r="K9" s="29">
        <v>1</v>
      </c>
      <c r="L9" s="29">
        <v>1</v>
      </c>
      <c r="M9" s="29">
        <v>1</v>
      </c>
      <c r="N9" s="29">
        <v>1</v>
      </c>
      <c r="O9" s="31">
        <v>1</v>
      </c>
      <c r="S9" s="44" t="str">
        <f t="shared" si="0"/>
        <v>↑</v>
      </c>
      <c r="T9" s="45" t="str">
        <f t="shared" si="0"/>
        <v>↑</v>
      </c>
      <c r="U9" s="45" t="str">
        <f t="shared" si="0"/>
        <v>↑</v>
      </c>
      <c r="V9" s="46" t="str">
        <f t="shared" si="0"/>
        <v>↑</v>
      </c>
      <c r="W9" s="45" t="str">
        <f t="shared" si="0"/>
        <v>↑</v>
      </c>
      <c r="X9" s="45" t="str">
        <f t="shared" si="0"/>
        <v>↑</v>
      </c>
      <c r="Y9" s="45" t="str">
        <f t="shared" si="0"/>
        <v>↑</v>
      </c>
      <c r="Z9" s="45" t="str">
        <f t="shared" si="0"/>
        <v>↑</v>
      </c>
      <c r="AA9" s="45" t="str">
        <f t="shared" si="0"/>
        <v>↑</v>
      </c>
      <c r="AB9" s="45" t="str">
        <f t="shared" si="0"/>
        <v>↑</v>
      </c>
      <c r="AC9" s="45" t="str">
        <f t="shared" si="0"/>
        <v>↑</v>
      </c>
      <c r="AD9" s="45" t="str">
        <f t="shared" si="0"/>
        <v>↑</v>
      </c>
      <c r="AE9" s="55" t="str">
        <f t="shared" si="0"/>
        <v>↑</v>
      </c>
      <c r="AF9" s="41"/>
      <c r="AG9" s="41"/>
    </row>
    <row r="10" spans="2:38" x14ac:dyDescent="0.25">
      <c r="B10" s="14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R10" s="17"/>
      <c r="S10" s="17"/>
      <c r="T10" s="17"/>
      <c r="U10" s="17"/>
      <c r="V10" s="17"/>
      <c r="W10" s="17"/>
    </row>
    <row r="11" spans="2:38" x14ac:dyDescent="0.25">
      <c r="B11" s="14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</row>
    <row r="12" spans="2:38" x14ac:dyDescent="0.25">
      <c r="B12" s="14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</row>
    <row r="13" spans="2:38" x14ac:dyDescent="0.25">
      <c r="B13" s="14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</row>
    <row r="14" spans="2:38" x14ac:dyDescent="0.25">
      <c r="B14" s="14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</row>
    <row r="15" spans="2:38" x14ac:dyDescent="0.25">
      <c r="B15" s="14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</row>
    <row r="16" spans="2:38" x14ac:dyDescent="0.25">
      <c r="B16" s="14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</row>
    <row r="17" spans="2:23" x14ac:dyDescent="0.25">
      <c r="B17" s="14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</row>
    <row r="18" spans="2:23" x14ac:dyDescent="0.25">
      <c r="B18" s="14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</row>
    <row r="19" spans="2:23" x14ac:dyDescent="0.25">
      <c r="B19" s="14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</row>
    <row r="20" spans="2:23" x14ac:dyDescent="0.25">
      <c r="B20" s="14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</row>
    <row r="21" spans="2:23" x14ac:dyDescent="0.25">
      <c r="B21" s="14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</row>
    <row r="22" spans="2:23" x14ac:dyDescent="0.25">
      <c r="B22" s="14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</row>
    <row r="23" spans="2:23" x14ac:dyDescent="0.25">
      <c r="B23" s="14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</row>
    <row r="24" spans="2:23" x14ac:dyDescent="0.25">
      <c r="B24" s="14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</row>
    <row r="25" spans="2:23" x14ac:dyDescent="0.25">
      <c r="B25" s="14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</row>
    <row r="26" spans="2:23" x14ac:dyDescent="0.25">
      <c r="B26" s="14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</row>
    <row r="27" spans="2:23" x14ac:dyDescent="0.25">
      <c r="B27" s="14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</row>
    <row r="28" spans="2:23" x14ac:dyDescent="0.25">
      <c r="B28" s="14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</row>
    <row r="29" spans="2:23" x14ac:dyDescent="0.25">
      <c r="B29" s="14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</row>
    <row r="30" spans="2:23" x14ac:dyDescent="0.25">
      <c r="B30" s="14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</row>
    <row r="31" spans="2:23" x14ac:dyDescent="0.25">
      <c r="B31" s="14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</row>
    <row r="32" spans="2:23" x14ac:dyDescent="0.25">
      <c r="B32" s="14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</row>
    <row r="33" spans="2:23" x14ac:dyDescent="0.25">
      <c r="B33" s="14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F40CF-7ABD-4361-8B8A-CCE697A77540}">
  <sheetPr codeName="Sheet16"/>
  <dimension ref="B2:O33"/>
  <sheetViews>
    <sheetView workbookViewId="0">
      <selection activeCell="K7" sqref="K7"/>
    </sheetView>
  </sheetViews>
  <sheetFormatPr defaultRowHeight="15" x14ac:dyDescent="0.25"/>
  <cols>
    <col min="3" max="15" width="4" customWidth="1"/>
  </cols>
  <sheetData>
    <row r="2" spans="2:15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J2" s="14">
        <v>8</v>
      </c>
      <c r="K2" s="14">
        <v>9</v>
      </c>
      <c r="L2" s="14">
        <v>10</v>
      </c>
      <c r="M2" s="14">
        <v>11</v>
      </c>
      <c r="N2" s="14">
        <v>12</v>
      </c>
      <c r="O2" s="14">
        <v>13</v>
      </c>
    </row>
    <row r="3" spans="2:15" ht="18" customHeight="1" x14ac:dyDescent="0.25">
      <c r="B3" s="14">
        <v>7</v>
      </c>
      <c r="C3" s="18">
        <v>42.631944400038115</v>
      </c>
      <c r="D3" s="19">
        <v>48.015137455176756</v>
      </c>
      <c r="E3" s="20">
        <v>53.398330510315404</v>
      </c>
      <c r="F3" s="20">
        <v>58.78152356545403</v>
      </c>
      <c r="G3" s="20">
        <v>64.164716620592671</v>
      </c>
      <c r="H3" s="20">
        <v>69.547909675731319</v>
      </c>
      <c r="I3" s="21">
        <v>74.931102730869966</v>
      </c>
      <c r="J3" s="23">
        <v>80.3142957860086</v>
      </c>
      <c r="K3" s="23">
        <v>85.697488841147248</v>
      </c>
      <c r="L3" s="23">
        <v>91.080681896285881</v>
      </c>
      <c r="M3" s="23">
        <v>96.463874951424529</v>
      </c>
      <c r="N3" s="23">
        <v>101.02750611464728</v>
      </c>
      <c r="O3" s="23">
        <v>105.03012290751647</v>
      </c>
    </row>
    <row r="4" spans="2:15" ht="18" customHeight="1" x14ac:dyDescent="0.25">
      <c r="B4" s="14">
        <v>6</v>
      </c>
      <c r="C4" s="22">
        <v>35.567240611294579</v>
      </c>
      <c r="D4" s="23">
        <v>40.950433666433213</v>
      </c>
      <c r="E4" s="23">
        <v>46.333626721571868</v>
      </c>
      <c r="F4" s="24">
        <v>51.716819776710508</v>
      </c>
      <c r="G4" s="24">
        <v>57.100012831849142</v>
      </c>
      <c r="H4" s="23">
        <v>62.48320588698779</v>
      </c>
      <c r="I4" s="25">
        <v>67.866398942126438</v>
      </c>
      <c r="J4" s="24">
        <v>73.249591997265071</v>
      </c>
      <c r="K4" s="24">
        <v>78.632785052403705</v>
      </c>
      <c r="L4" s="24">
        <v>83.313032453649427</v>
      </c>
      <c r="M4" s="24">
        <v>87.315649246518618</v>
      </c>
      <c r="N4" s="24">
        <v>91.318266039387794</v>
      </c>
      <c r="O4" s="24">
        <v>95.320882832256999</v>
      </c>
    </row>
    <row r="5" spans="2:15" ht="18" customHeight="1" x14ac:dyDescent="0.25">
      <c r="B5" s="14">
        <v>5</v>
      </c>
      <c r="C5" s="26">
        <v>28.502536822551036</v>
      </c>
      <c r="D5" s="24">
        <v>33.885729877689684</v>
      </c>
      <c r="E5" s="24">
        <v>39.268922932828332</v>
      </c>
      <c r="F5" s="23">
        <v>44.652115987966972</v>
      </c>
      <c r="G5" s="23">
        <v>50.035309043105613</v>
      </c>
      <c r="H5" s="23">
        <v>55.418502098244247</v>
      </c>
      <c r="I5" s="25">
        <v>60.801695153382887</v>
      </c>
      <c r="J5" s="24">
        <v>65.598558792651545</v>
      </c>
      <c r="K5" s="24">
        <v>69.60117558552075</v>
      </c>
      <c r="L5" s="24">
        <v>73.60379237838994</v>
      </c>
      <c r="M5" s="24">
        <v>77.546766563504519</v>
      </c>
      <c r="N5" s="24">
        <v>81.292918247129109</v>
      </c>
      <c r="O5" s="24">
        <v>85.039069930753698</v>
      </c>
    </row>
    <row r="6" spans="2:15" ht="18" customHeight="1" x14ac:dyDescent="0.25">
      <c r="B6" s="14">
        <v>4</v>
      </c>
      <c r="C6" s="22">
        <v>21.437833033807507</v>
      </c>
      <c r="D6" s="23">
        <v>26.821026088946148</v>
      </c>
      <c r="E6" s="23">
        <v>32.204219144084789</v>
      </c>
      <c r="F6" s="23">
        <v>37.587412199223422</v>
      </c>
      <c r="G6" s="24">
        <v>42.97060525436207</v>
      </c>
      <c r="H6" s="24">
        <v>47.884085131653684</v>
      </c>
      <c r="I6" s="27">
        <v>51.886701924522868</v>
      </c>
      <c r="J6" s="23">
        <v>55.640094159081855</v>
      </c>
      <c r="K6" s="23">
        <v>59.386245842706444</v>
      </c>
      <c r="L6" s="23">
        <v>63.132397526331061</v>
      </c>
      <c r="M6" s="23">
        <v>66.878549209955665</v>
      </c>
      <c r="N6" s="23">
        <v>70.624700893580268</v>
      </c>
      <c r="O6" s="23">
        <v>74.280161788756743</v>
      </c>
    </row>
    <row r="7" spans="2:15" ht="18" customHeight="1" x14ac:dyDescent="0.25">
      <c r="B7" s="14">
        <v>3</v>
      </c>
      <c r="C7" s="22">
        <v>14.373129245063977</v>
      </c>
      <c r="D7" s="24">
        <v>19.756322300202612</v>
      </c>
      <c r="E7" s="24">
        <v>25.139515355341256</v>
      </c>
      <c r="F7" s="24">
        <v>29.987270071034608</v>
      </c>
      <c r="G7" s="23">
        <v>33.733421754659211</v>
      </c>
      <c r="H7" s="23">
        <v>37.479573438283808</v>
      </c>
      <c r="I7" s="27">
        <v>41.225725121908418</v>
      </c>
      <c r="J7" s="23">
        <v>44.971876805533022</v>
      </c>
      <c r="K7" s="23">
        <v>48.718028489157618</v>
      </c>
      <c r="L7" s="23">
        <v>52.31655084038983</v>
      </c>
      <c r="M7" s="23">
        <v>55.828225001307722</v>
      </c>
      <c r="N7" s="23">
        <v>59.339899162225628</v>
      </c>
      <c r="O7" s="23">
        <v>62.851573323143498</v>
      </c>
    </row>
    <row r="8" spans="2:15" ht="18" customHeight="1" x14ac:dyDescent="0.25">
      <c r="B8" s="14">
        <v>2</v>
      </c>
      <c r="C8" s="22">
        <v>6.8445046404188536</v>
      </c>
      <c r="D8" s="24">
        <v>11.788889648986467</v>
      </c>
      <c r="E8" s="23">
        <v>15.572901033861172</v>
      </c>
      <c r="F8" s="23">
        <v>19.319052717485775</v>
      </c>
      <c r="G8" s="23">
        <v>23.065204401110382</v>
      </c>
      <c r="H8" s="23">
        <v>26.811356084734978</v>
      </c>
      <c r="I8" s="27">
        <v>30.35293989202291</v>
      </c>
      <c r="J8" s="23">
        <v>33.864614052940809</v>
      </c>
      <c r="K8" s="23">
        <v>37.3762882138587</v>
      </c>
      <c r="L8" s="23">
        <v>40.887962374776592</v>
      </c>
      <c r="M8" s="23">
        <v>44.399636535694498</v>
      </c>
      <c r="N8" s="23">
        <v>47.911310696612396</v>
      </c>
      <c r="O8" s="23">
        <v>51.422984857530281</v>
      </c>
    </row>
    <row r="9" spans="2:15" ht="18" customHeight="1" x14ac:dyDescent="0.25">
      <c r="B9" s="14">
        <v>1</v>
      </c>
      <c r="C9" s="28">
        <v>1.7442527965863199</v>
      </c>
      <c r="D9" s="29">
        <v>2.5595342001680708</v>
      </c>
      <c r="E9" s="29">
        <v>4.9326219203332249</v>
      </c>
      <c r="F9" s="30">
        <v>8.3514768722111938</v>
      </c>
      <c r="G9" s="29">
        <v>11.901003104573883</v>
      </c>
      <c r="H9" s="29">
        <v>15.412677265491782</v>
      </c>
      <c r="I9" s="31">
        <v>18.924351426409672</v>
      </c>
      <c r="J9" s="23">
        <v>22.436025587327574</v>
      </c>
      <c r="K9" s="23">
        <v>25.947699748245469</v>
      </c>
      <c r="L9" s="23">
        <v>29.459373909163368</v>
      </c>
      <c r="M9" s="23">
        <v>32.97104807008126</v>
      </c>
      <c r="N9" s="23">
        <v>36.482722230999158</v>
      </c>
      <c r="O9" s="23">
        <v>39.994396391917057</v>
      </c>
    </row>
    <row r="10" spans="2:15" x14ac:dyDescent="0.25"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</row>
    <row r="11" spans="2:15" x14ac:dyDescent="0.25">
      <c r="B11" s="14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</row>
    <row r="12" spans="2:15" x14ac:dyDescent="0.25">
      <c r="B12" s="14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</row>
    <row r="13" spans="2:15" x14ac:dyDescent="0.25">
      <c r="B13" s="14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x14ac:dyDescent="0.25">
      <c r="B14" s="14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</row>
    <row r="15" spans="2:15" x14ac:dyDescent="0.25">
      <c r="B15" s="14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</row>
    <row r="16" spans="2:15" x14ac:dyDescent="0.25">
      <c r="B16" s="14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</row>
    <row r="17" spans="2:15" x14ac:dyDescent="0.25">
      <c r="B17" s="14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</row>
    <row r="18" spans="2:15" x14ac:dyDescent="0.25">
      <c r="B18" s="14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</row>
    <row r="19" spans="2:15" x14ac:dyDescent="0.25">
      <c r="B19" s="14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</row>
    <row r="20" spans="2:15" x14ac:dyDescent="0.25">
      <c r="B20" s="14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</row>
    <row r="21" spans="2:15" x14ac:dyDescent="0.25">
      <c r="B21" s="14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</row>
    <row r="22" spans="2:15" x14ac:dyDescent="0.25">
      <c r="B22" s="14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</row>
    <row r="23" spans="2:15" x14ac:dyDescent="0.25">
      <c r="B23" s="14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</row>
    <row r="24" spans="2:15" x14ac:dyDescent="0.25">
      <c r="B24" s="14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</row>
    <row r="25" spans="2:15" x14ac:dyDescent="0.25">
      <c r="B25" s="14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</row>
    <row r="26" spans="2:15" x14ac:dyDescent="0.25">
      <c r="B26" s="14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</row>
    <row r="27" spans="2:15" x14ac:dyDescent="0.25">
      <c r="B27" s="14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</row>
    <row r="28" spans="2:15" x14ac:dyDescent="0.25">
      <c r="B28" s="14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</row>
    <row r="29" spans="2:15" x14ac:dyDescent="0.25">
      <c r="B29" s="14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</row>
    <row r="30" spans="2:15" x14ac:dyDescent="0.25">
      <c r="B30" s="14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</row>
    <row r="31" spans="2:15" x14ac:dyDescent="0.25">
      <c r="B31" s="14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</row>
    <row r="32" spans="2:15" x14ac:dyDescent="0.25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</row>
    <row r="33" spans="2:15" x14ac:dyDescent="0.25">
      <c r="B33" s="14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</row>
  </sheetData>
  <conditionalFormatting sqref="C3:O9">
    <cfRule type="colorScale" priority="11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CCC32-6D11-4F12-9D3E-0E6B66ED4268}">
  <sheetPr codeName="Sheet4"/>
  <dimension ref="A1:H50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21" sqref="H21"/>
    </sheetView>
  </sheetViews>
  <sheetFormatPr defaultRowHeight="15" x14ac:dyDescent="0.25"/>
  <sheetData>
    <row r="1" spans="1:8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37</v>
      </c>
    </row>
    <row r="2" spans="1:8" x14ac:dyDescent="0.25">
      <c r="A2">
        <v>1</v>
      </c>
      <c r="B2">
        <v>-28.150174296379092</v>
      </c>
      <c r="C2">
        <v>50.6</v>
      </c>
      <c r="D2">
        <v>0.28000000000000003</v>
      </c>
      <c r="F2">
        <v>1</v>
      </c>
      <c r="G2">
        <v>0.83365434898246549</v>
      </c>
    </row>
    <row r="3" spans="1:8" x14ac:dyDescent="0.25">
      <c r="A3">
        <v>2</v>
      </c>
      <c r="B3">
        <v>-24.406170118570344</v>
      </c>
      <c r="C3">
        <v>52.12</v>
      </c>
      <c r="D3">
        <v>0.36</v>
      </c>
      <c r="F3">
        <v>2</v>
      </c>
      <c r="G3">
        <v>0.78266811410658488</v>
      </c>
      <c r="H3" s="51">
        <f t="shared" ref="H3:H66" si="0">(G3-G2)/G2</f>
        <v>-6.1159921900620973E-2</v>
      </c>
    </row>
    <row r="4" spans="1:8" x14ac:dyDescent="0.25">
      <c r="A4">
        <v>3</v>
      </c>
      <c r="B4">
        <v>-21.445352877378468</v>
      </c>
      <c r="C4">
        <v>50.26</v>
      </c>
      <c r="D4">
        <v>0.24</v>
      </c>
      <c r="F4">
        <v>3</v>
      </c>
      <c r="G4">
        <v>0.7337576664247436</v>
      </c>
      <c r="H4" s="51">
        <f t="shared" si="0"/>
        <v>-6.2491938537284755E-2</v>
      </c>
    </row>
    <row r="5" spans="1:8" x14ac:dyDescent="0.25">
      <c r="A5">
        <v>4</v>
      </c>
      <c r="B5">
        <v>-14.30245124042035</v>
      </c>
      <c r="C5">
        <v>53.34</v>
      </c>
      <c r="D5">
        <v>0.5</v>
      </c>
      <c r="F5">
        <v>4</v>
      </c>
      <c r="G5">
        <v>0.68446379277821057</v>
      </c>
      <c r="H5" s="51">
        <f t="shared" si="0"/>
        <v>-6.7180045813652514E-2</v>
      </c>
    </row>
    <row r="6" spans="1:8" x14ac:dyDescent="0.25">
      <c r="A6">
        <v>5</v>
      </c>
      <c r="B6">
        <v>-11.698168813705445</v>
      </c>
      <c r="C6">
        <v>54.5</v>
      </c>
      <c r="D6">
        <v>0.38</v>
      </c>
      <c r="F6">
        <v>5</v>
      </c>
      <c r="G6">
        <v>0.65760728940622404</v>
      </c>
      <c r="H6" s="51">
        <f t="shared" si="0"/>
        <v>-3.9237288597804537E-2</v>
      </c>
    </row>
    <row r="7" spans="1:8" x14ac:dyDescent="0.25">
      <c r="A7">
        <v>6</v>
      </c>
      <c r="B7">
        <v>-10.639500792503357</v>
      </c>
      <c r="C7">
        <v>53.32</v>
      </c>
      <c r="D7">
        <v>0.28000000000000003</v>
      </c>
      <c r="F7">
        <v>6</v>
      </c>
      <c r="G7">
        <v>0.63181705095780616</v>
      </c>
      <c r="H7" s="51">
        <f t="shared" si="0"/>
        <v>-3.921829770424954E-2</v>
      </c>
    </row>
    <row r="8" spans="1:8" x14ac:dyDescent="0.25">
      <c r="A8">
        <v>7</v>
      </c>
      <c r="B8">
        <v>-6.2435189300775589</v>
      </c>
      <c r="C8">
        <v>53.48</v>
      </c>
      <c r="D8">
        <v>0.44</v>
      </c>
      <c r="F8">
        <v>7</v>
      </c>
      <c r="G8">
        <v>0.59957884062536437</v>
      </c>
      <c r="H8" s="51">
        <f t="shared" si="0"/>
        <v>-5.1024596888561508E-2</v>
      </c>
    </row>
    <row r="9" spans="1:8" x14ac:dyDescent="0.25">
      <c r="A9">
        <v>8</v>
      </c>
      <c r="B9">
        <v>-5.8972371306419298</v>
      </c>
      <c r="C9">
        <v>51.3</v>
      </c>
      <c r="D9">
        <v>0.42</v>
      </c>
      <c r="F9">
        <v>8</v>
      </c>
      <c r="G9">
        <v>0.5748318267890199</v>
      </c>
      <c r="H9" s="51">
        <f t="shared" si="0"/>
        <v>-4.1273994610172018E-2</v>
      </c>
    </row>
    <row r="10" spans="1:8" x14ac:dyDescent="0.25">
      <c r="A10">
        <v>9</v>
      </c>
      <c r="B10">
        <v>-4.3717705470323569</v>
      </c>
      <c r="C10">
        <v>51.92</v>
      </c>
      <c r="D10">
        <v>0.46</v>
      </c>
      <c r="F10">
        <v>9</v>
      </c>
      <c r="G10">
        <v>0.54104917260634378</v>
      </c>
      <c r="H10" s="51">
        <f t="shared" si="0"/>
        <v>-5.8769630713358785E-2</v>
      </c>
    </row>
    <row r="11" spans="1:8" x14ac:dyDescent="0.25">
      <c r="A11">
        <v>10</v>
      </c>
      <c r="B11">
        <v>-5.6346131252050391</v>
      </c>
      <c r="C11">
        <v>50.46</v>
      </c>
      <c r="D11">
        <v>0.34</v>
      </c>
      <c r="F11">
        <v>10</v>
      </c>
      <c r="G11">
        <v>0.51016470882467813</v>
      </c>
      <c r="H11" s="51">
        <f t="shared" si="0"/>
        <v>-5.7082545072361747E-2</v>
      </c>
    </row>
    <row r="12" spans="1:8" x14ac:dyDescent="0.25">
      <c r="A12">
        <v>11</v>
      </c>
      <c r="B12">
        <v>-6.8636987048387503</v>
      </c>
      <c r="C12">
        <v>49.08</v>
      </c>
      <c r="D12">
        <v>0.26</v>
      </c>
      <c r="F12">
        <v>11</v>
      </c>
      <c r="G12">
        <v>0.48260326033207956</v>
      </c>
      <c r="H12" s="51">
        <f t="shared" si="0"/>
        <v>-5.4024608162518466E-2</v>
      </c>
    </row>
    <row r="13" spans="1:8" x14ac:dyDescent="0.25">
      <c r="A13">
        <v>12</v>
      </c>
      <c r="B13">
        <v>-7.0773496582508049</v>
      </c>
      <c r="C13">
        <v>50.8</v>
      </c>
      <c r="D13">
        <v>0.24</v>
      </c>
      <c r="F13">
        <v>12</v>
      </c>
      <c r="G13">
        <v>0.45368277447359379</v>
      </c>
      <c r="H13" s="51">
        <f t="shared" si="0"/>
        <v>-5.9926005967273356E-2</v>
      </c>
    </row>
    <row r="14" spans="1:8" x14ac:dyDescent="0.25">
      <c r="A14">
        <v>13</v>
      </c>
      <c r="B14">
        <v>-6.2996338722705811</v>
      </c>
      <c r="C14">
        <v>49.86</v>
      </c>
      <c r="D14">
        <v>0.26</v>
      </c>
      <c r="F14">
        <v>13</v>
      </c>
      <c r="G14">
        <v>0.43409058290734098</v>
      </c>
      <c r="H14" s="51">
        <f t="shared" si="0"/>
        <v>-4.318478167698904E-2</v>
      </c>
    </row>
    <row r="15" spans="1:8" x14ac:dyDescent="0.25">
      <c r="A15">
        <v>14</v>
      </c>
      <c r="B15">
        <v>-6.3863029209375428</v>
      </c>
      <c r="C15">
        <v>47.24</v>
      </c>
      <c r="D15">
        <v>0.26</v>
      </c>
      <c r="F15">
        <v>14</v>
      </c>
      <c r="G15">
        <v>0.43195291844127665</v>
      </c>
      <c r="H15" s="51">
        <f t="shared" si="0"/>
        <v>-4.9244663446675911E-3</v>
      </c>
    </row>
    <row r="16" spans="1:8" x14ac:dyDescent="0.25">
      <c r="A16">
        <v>15</v>
      </c>
      <c r="B16">
        <v>-5.4168999438285743</v>
      </c>
      <c r="C16">
        <v>49.98</v>
      </c>
      <c r="D16">
        <v>0.3</v>
      </c>
      <c r="F16">
        <v>15</v>
      </c>
      <c r="G16">
        <v>0.41308289145344007</v>
      </c>
      <c r="H16" s="51">
        <f t="shared" si="0"/>
        <v>-4.3685379082354613E-2</v>
      </c>
    </row>
    <row r="17" spans="1:8" x14ac:dyDescent="0.25">
      <c r="A17">
        <v>16</v>
      </c>
      <c r="B17">
        <v>-7.0181673291921634</v>
      </c>
      <c r="C17">
        <v>49.44</v>
      </c>
      <c r="D17">
        <v>0.22</v>
      </c>
      <c r="F17">
        <v>16</v>
      </c>
      <c r="G17">
        <v>0.38609063526856696</v>
      </c>
      <c r="H17" s="51">
        <f t="shared" si="0"/>
        <v>-6.5343437705445359E-2</v>
      </c>
    </row>
    <row r="18" spans="1:8" x14ac:dyDescent="0.25">
      <c r="A18">
        <v>17</v>
      </c>
      <c r="B18">
        <v>-7.5701835293769868</v>
      </c>
      <c r="C18">
        <v>49.92</v>
      </c>
      <c r="D18">
        <v>0.16</v>
      </c>
      <c r="F18">
        <v>17</v>
      </c>
      <c r="G18">
        <v>0.37700967523809337</v>
      </c>
      <c r="H18" s="51">
        <f t="shared" si="0"/>
        <v>-2.3520280475481683E-2</v>
      </c>
    </row>
    <row r="19" spans="1:8" x14ac:dyDescent="0.25">
      <c r="A19">
        <v>18</v>
      </c>
      <c r="B19">
        <v>-7.1296413855552672</v>
      </c>
      <c r="C19">
        <v>47.82</v>
      </c>
      <c r="D19">
        <v>0.2</v>
      </c>
      <c r="F19">
        <v>18</v>
      </c>
      <c r="G19">
        <v>0.36710119756142218</v>
      </c>
      <c r="H19" s="51">
        <f t="shared" si="0"/>
        <v>-2.6281759666814061E-2</v>
      </c>
    </row>
    <row r="20" spans="1:8" x14ac:dyDescent="0.25">
      <c r="A20">
        <v>19</v>
      </c>
      <c r="B20">
        <v>-7.7043755719661746</v>
      </c>
      <c r="C20">
        <v>47.66</v>
      </c>
      <c r="D20">
        <v>0.16</v>
      </c>
      <c r="F20">
        <v>19</v>
      </c>
      <c r="G20">
        <v>0.34202591064138688</v>
      </c>
      <c r="H20" s="51">
        <f t="shared" si="0"/>
        <v>-6.8306197546086148E-2</v>
      </c>
    </row>
    <row r="21" spans="1:8" x14ac:dyDescent="0.25">
      <c r="A21">
        <v>20</v>
      </c>
      <c r="B21">
        <v>-8.19691684269905</v>
      </c>
      <c r="C21">
        <v>51.24</v>
      </c>
      <c r="D21">
        <v>0.12</v>
      </c>
      <c r="F21">
        <v>20</v>
      </c>
      <c r="G21">
        <v>0.34245146755804984</v>
      </c>
      <c r="H21" s="51">
        <f t="shared" si="0"/>
        <v>1.2442242047245259E-3</v>
      </c>
    </row>
    <row r="22" spans="1:8" x14ac:dyDescent="0.25">
      <c r="A22">
        <v>21</v>
      </c>
      <c r="B22">
        <v>-7.3059137203693414</v>
      </c>
      <c r="C22">
        <v>47.88</v>
      </c>
      <c r="D22">
        <v>0.16</v>
      </c>
      <c r="F22">
        <v>21</v>
      </c>
      <c r="G22">
        <v>0.33875687854302694</v>
      </c>
      <c r="H22" s="51">
        <f t="shared" si="0"/>
        <v>-1.0788649969492739E-2</v>
      </c>
    </row>
    <row r="23" spans="1:8" x14ac:dyDescent="0.25">
      <c r="A23">
        <v>22</v>
      </c>
      <c r="B23">
        <v>-8.4480647680759446</v>
      </c>
      <c r="C23">
        <v>47.8</v>
      </c>
      <c r="D23">
        <v>0.1</v>
      </c>
      <c r="F23">
        <v>22</v>
      </c>
      <c r="G23">
        <v>0.36166502155256025</v>
      </c>
      <c r="H23" s="51">
        <f t="shared" si="0"/>
        <v>6.7624141266326057E-2</v>
      </c>
    </row>
    <row r="24" spans="1:8" x14ac:dyDescent="0.25">
      <c r="A24">
        <v>23</v>
      </c>
      <c r="B24">
        <v>-7.7410595899820365</v>
      </c>
      <c r="C24">
        <v>46.94</v>
      </c>
      <c r="D24">
        <v>0.16</v>
      </c>
      <c r="F24">
        <v>23</v>
      </c>
      <c r="G24">
        <v>0.3665179806132145</v>
      </c>
      <c r="H24" s="51">
        <f t="shared" si="0"/>
        <v>1.3418381019600415E-2</v>
      </c>
    </row>
    <row r="25" spans="1:8" x14ac:dyDescent="0.25">
      <c r="A25">
        <v>24</v>
      </c>
      <c r="B25">
        <v>-8.4117763223648083</v>
      </c>
      <c r="C25">
        <v>47.54</v>
      </c>
      <c r="D25">
        <v>0.1</v>
      </c>
      <c r="F25">
        <v>24</v>
      </c>
      <c r="G25">
        <v>0.34004447760542483</v>
      </c>
      <c r="H25" s="51">
        <f t="shared" si="0"/>
        <v>-7.2229752448972173E-2</v>
      </c>
    </row>
    <row r="26" spans="1:8" x14ac:dyDescent="0.25">
      <c r="A26">
        <v>25</v>
      </c>
      <c r="B26">
        <v>-8.5325178326368345</v>
      </c>
      <c r="C26">
        <v>48</v>
      </c>
      <c r="D26">
        <v>0.1</v>
      </c>
      <c r="F26">
        <v>25</v>
      </c>
      <c r="G26">
        <v>0.35733644124371972</v>
      </c>
      <c r="H26" s="51">
        <f t="shared" si="0"/>
        <v>5.08520642948357E-2</v>
      </c>
    </row>
    <row r="27" spans="1:8" x14ac:dyDescent="0.25">
      <c r="A27">
        <v>26</v>
      </c>
      <c r="B27">
        <v>-7.8647960129976253</v>
      </c>
      <c r="C27">
        <v>47.44</v>
      </c>
      <c r="D27">
        <v>0.14000000000000001</v>
      </c>
      <c r="F27">
        <v>26</v>
      </c>
      <c r="G27">
        <v>0.36345207978871302</v>
      </c>
      <c r="H27" s="51">
        <f t="shared" si="0"/>
        <v>1.7114511253617605E-2</v>
      </c>
    </row>
    <row r="28" spans="1:8" x14ac:dyDescent="0.25">
      <c r="A28">
        <v>27</v>
      </c>
      <c r="B28">
        <v>-8.1263297199010847</v>
      </c>
      <c r="C28">
        <v>48.06</v>
      </c>
      <c r="D28">
        <v>0.14000000000000001</v>
      </c>
      <c r="F28">
        <v>27</v>
      </c>
      <c r="G28">
        <v>0.35406120093161209</v>
      </c>
      <c r="H28" s="51">
        <f t="shared" si="0"/>
        <v>-2.5838011059285099E-2</v>
      </c>
    </row>
    <row r="29" spans="1:8" x14ac:dyDescent="0.25">
      <c r="A29">
        <v>28</v>
      </c>
      <c r="B29">
        <v>-6.2779277497530011</v>
      </c>
      <c r="C29">
        <v>47.52</v>
      </c>
      <c r="D29">
        <v>0.24</v>
      </c>
      <c r="F29">
        <v>28</v>
      </c>
      <c r="G29">
        <v>0.32763036793006095</v>
      </c>
      <c r="H29" s="51">
        <f t="shared" si="0"/>
        <v>-7.4650464190953031E-2</v>
      </c>
    </row>
    <row r="30" spans="1:8" x14ac:dyDescent="0.25">
      <c r="A30">
        <v>29</v>
      </c>
      <c r="B30">
        <v>-7.2632529110908486</v>
      </c>
      <c r="C30">
        <v>49.26</v>
      </c>
      <c r="D30">
        <v>0.18</v>
      </c>
      <c r="F30">
        <v>29</v>
      </c>
      <c r="G30">
        <v>0.3164367657745818</v>
      </c>
      <c r="H30" s="51">
        <f t="shared" si="0"/>
        <v>-3.4165337682826293E-2</v>
      </c>
    </row>
    <row r="31" spans="1:8" x14ac:dyDescent="0.25">
      <c r="A31">
        <v>30</v>
      </c>
      <c r="B31">
        <v>-6.4878300784826264</v>
      </c>
      <c r="C31">
        <v>48.32</v>
      </c>
      <c r="D31">
        <v>0.24</v>
      </c>
      <c r="F31">
        <v>30</v>
      </c>
      <c r="G31">
        <v>0.30043076139815872</v>
      </c>
      <c r="H31" s="51">
        <f t="shared" si="0"/>
        <v>-5.0581999652420863E-2</v>
      </c>
    </row>
    <row r="32" spans="1:8" x14ac:dyDescent="0.25">
      <c r="A32">
        <v>31</v>
      </c>
      <c r="B32">
        <v>-7.0302702319622146</v>
      </c>
      <c r="C32">
        <v>51.16</v>
      </c>
      <c r="D32">
        <v>0.2</v>
      </c>
      <c r="F32">
        <v>31</v>
      </c>
      <c r="G32">
        <v>0.28813679657672947</v>
      </c>
      <c r="H32" s="51">
        <f t="shared" si="0"/>
        <v>-4.0921125267649093E-2</v>
      </c>
    </row>
    <row r="33" spans="1:8" x14ac:dyDescent="0.25">
      <c r="A33">
        <v>32</v>
      </c>
      <c r="B33">
        <v>-7.9113638243675233</v>
      </c>
      <c r="C33">
        <v>49.56</v>
      </c>
      <c r="D33">
        <v>0.16</v>
      </c>
      <c r="F33">
        <v>32</v>
      </c>
      <c r="G33">
        <v>0.29648383245561272</v>
      </c>
      <c r="H33" s="51">
        <f t="shared" si="0"/>
        <v>2.8969003536000897E-2</v>
      </c>
    </row>
    <row r="34" spans="1:8" x14ac:dyDescent="0.25">
      <c r="A34">
        <v>33</v>
      </c>
      <c r="B34">
        <v>-8.232914300322534</v>
      </c>
      <c r="C34">
        <v>50.18</v>
      </c>
      <c r="D34">
        <v>0.12</v>
      </c>
      <c r="F34">
        <v>33</v>
      </c>
      <c r="G34">
        <v>0.28204597236244466</v>
      </c>
      <c r="H34" s="51">
        <f t="shared" si="0"/>
        <v>-4.8696955829217362E-2</v>
      </c>
    </row>
    <row r="35" spans="1:8" x14ac:dyDescent="0.25">
      <c r="A35">
        <v>34</v>
      </c>
      <c r="B35">
        <v>-8.175858159422873</v>
      </c>
      <c r="C35">
        <v>48.16</v>
      </c>
      <c r="D35">
        <v>0.12</v>
      </c>
      <c r="F35">
        <v>34</v>
      </c>
      <c r="G35">
        <v>0.29344990303624074</v>
      </c>
      <c r="H35" s="51">
        <f t="shared" si="0"/>
        <v>4.0432879002935733E-2</v>
      </c>
    </row>
    <row r="36" spans="1:8" x14ac:dyDescent="0.25">
      <c r="A36">
        <v>35</v>
      </c>
      <c r="B36">
        <v>-9.1464405338764188</v>
      </c>
      <c r="C36">
        <v>46.34</v>
      </c>
      <c r="D36">
        <v>0.06</v>
      </c>
      <c r="F36">
        <v>35</v>
      </c>
      <c r="G36">
        <v>0.29404920672455387</v>
      </c>
      <c r="H36" s="51">
        <f t="shared" si="0"/>
        <v>2.0422691645568913E-3</v>
      </c>
    </row>
    <row r="37" spans="1:8" x14ac:dyDescent="0.25">
      <c r="A37">
        <v>36</v>
      </c>
      <c r="B37">
        <v>-6.5753470337390887</v>
      </c>
      <c r="C37">
        <v>50.08</v>
      </c>
      <c r="D37">
        <v>0.26</v>
      </c>
      <c r="F37">
        <v>36</v>
      </c>
      <c r="G37">
        <v>0.27803399499228004</v>
      </c>
      <c r="H37" s="51">
        <f t="shared" si="0"/>
        <v>-5.4464393598163428E-2</v>
      </c>
    </row>
    <row r="38" spans="1:8" x14ac:dyDescent="0.25">
      <c r="A38">
        <v>37</v>
      </c>
      <c r="B38">
        <v>-8.7865559476614035</v>
      </c>
      <c r="C38">
        <v>50</v>
      </c>
      <c r="D38">
        <v>0.08</v>
      </c>
      <c r="F38">
        <v>37</v>
      </c>
      <c r="G38">
        <v>0.26896421107338619</v>
      </c>
      <c r="H38" s="51">
        <f t="shared" si="0"/>
        <v>-3.2621132963059719E-2</v>
      </c>
    </row>
    <row r="39" spans="1:8" x14ac:dyDescent="0.25">
      <c r="A39">
        <v>38</v>
      </c>
      <c r="B39">
        <v>-7.6747264053821667</v>
      </c>
      <c r="C39">
        <v>48.62</v>
      </c>
      <c r="D39">
        <v>0.16</v>
      </c>
      <c r="F39">
        <v>38</v>
      </c>
      <c r="G39">
        <v>0.2485239457394163</v>
      </c>
      <c r="H39" s="51">
        <f t="shared" si="0"/>
        <v>-7.5996227350830767E-2</v>
      </c>
    </row>
    <row r="40" spans="1:8" x14ac:dyDescent="0.25">
      <c r="A40">
        <v>39</v>
      </c>
      <c r="B40">
        <v>-5.1123987705707528</v>
      </c>
      <c r="C40">
        <v>49.64</v>
      </c>
      <c r="D40">
        <v>0.3</v>
      </c>
      <c r="F40">
        <v>39</v>
      </c>
      <c r="G40">
        <v>0.2445475501709225</v>
      </c>
      <c r="H40" s="51">
        <f t="shared" si="0"/>
        <v>-1.6000050042112052E-2</v>
      </c>
    </row>
    <row r="41" spans="1:8" x14ac:dyDescent="0.25">
      <c r="A41">
        <v>40</v>
      </c>
      <c r="B41">
        <v>-7.9075799950361292</v>
      </c>
      <c r="C41">
        <v>50.1</v>
      </c>
      <c r="D41">
        <v>0.16</v>
      </c>
      <c r="F41">
        <v>40</v>
      </c>
      <c r="G41">
        <v>0.24100727010020792</v>
      </c>
      <c r="H41" s="51">
        <f t="shared" si="0"/>
        <v>-1.4476857642778099E-2</v>
      </c>
    </row>
    <row r="42" spans="1:8" x14ac:dyDescent="0.25">
      <c r="A42">
        <v>41</v>
      </c>
      <c r="B42">
        <v>-5.2951562763452555</v>
      </c>
      <c r="C42">
        <v>48.54</v>
      </c>
      <c r="D42">
        <v>0.28000000000000003</v>
      </c>
      <c r="F42">
        <v>41</v>
      </c>
      <c r="G42">
        <v>0.23556783966617792</v>
      </c>
      <c r="H42" s="51">
        <f t="shared" si="0"/>
        <v>-2.2569569921141182E-2</v>
      </c>
    </row>
    <row r="43" spans="1:8" x14ac:dyDescent="0.25">
      <c r="A43">
        <v>42</v>
      </c>
      <c r="B43">
        <v>-6.9210989224910744</v>
      </c>
      <c r="C43">
        <v>48.92</v>
      </c>
      <c r="D43">
        <v>0.2</v>
      </c>
      <c r="F43">
        <v>42</v>
      </c>
      <c r="G43">
        <v>0.23965301832669078</v>
      </c>
      <c r="H43" s="51">
        <f t="shared" si="0"/>
        <v>1.7341835228025817E-2</v>
      </c>
    </row>
    <row r="44" spans="1:8" x14ac:dyDescent="0.25">
      <c r="A44">
        <v>43</v>
      </c>
      <c r="B44">
        <v>-6.947567244052899</v>
      </c>
      <c r="C44">
        <v>49.36</v>
      </c>
      <c r="D44">
        <v>0.22</v>
      </c>
      <c r="F44">
        <v>43</v>
      </c>
      <c r="G44">
        <v>0.25242603666242147</v>
      </c>
      <c r="H44" s="51">
        <f t="shared" si="0"/>
        <v>5.3297965637631721E-2</v>
      </c>
    </row>
    <row r="45" spans="1:8" x14ac:dyDescent="0.25">
      <c r="A45">
        <v>44</v>
      </c>
      <c r="B45">
        <v>-5.581122915148736</v>
      </c>
      <c r="C45">
        <v>49.34</v>
      </c>
      <c r="D45">
        <v>0.3</v>
      </c>
      <c r="F45">
        <v>44</v>
      </c>
      <c r="G45">
        <v>0.24517725105572663</v>
      </c>
      <c r="H45" s="51">
        <f t="shared" si="0"/>
        <v>-2.8716473556128861E-2</v>
      </c>
    </row>
    <row r="46" spans="1:8" x14ac:dyDescent="0.25">
      <c r="A46">
        <v>45</v>
      </c>
      <c r="B46">
        <v>-5.3639056435823447</v>
      </c>
      <c r="C46">
        <v>51.24</v>
      </c>
      <c r="D46">
        <v>0.32</v>
      </c>
      <c r="F46">
        <v>45</v>
      </c>
      <c r="G46">
        <v>0.26348650923866296</v>
      </c>
      <c r="H46" s="51">
        <f t="shared" si="0"/>
        <v>7.4677638745426642E-2</v>
      </c>
    </row>
    <row r="47" spans="1:8" x14ac:dyDescent="0.25">
      <c r="A47">
        <v>46</v>
      </c>
      <c r="B47">
        <v>-8.0576528285741844</v>
      </c>
      <c r="C47">
        <v>48.62</v>
      </c>
      <c r="D47">
        <v>0.14000000000000001</v>
      </c>
      <c r="F47">
        <v>46</v>
      </c>
      <c r="G47">
        <v>0.27367246968698866</v>
      </c>
      <c r="H47" s="51">
        <f t="shared" si="0"/>
        <v>3.8658375632808516E-2</v>
      </c>
    </row>
    <row r="48" spans="1:8" x14ac:dyDescent="0.25">
      <c r="A48">
        <v>47</v>
      </c>
      <c r="B48">
        <v>-5.7100666055679348</v>
      </c>
      <c r="C48">
        <v>49.64</v>
      </c>
      <c r="D48">
        <v>0.3</v>
      </c>
      <c r="F48">
        <v>47</v>
      </c>
      <c r="G48">
        <v>0.26384155938311038</v>
      </c>
      <c r="H48" s="51">
        <f t="shared" si="0"/>
        <v>-3.5922174835935565E-2</v>
      </c>
    </row>
    <row r="49" spans="1:8" x14ac:dyDescent="0.25">
      <c r="A49">
        <v>48</v>
      </c>
      <c r="B49">
        <v>-6.6155203665494966</v>
      </c>
      <c r="C49">
        <v>48.64</v>
      </c>
      <c r="D49">
        <v>0.24</v>
      </c>
      <c r="F49">
        <v>48</v>
      </c>
      <c r="G49">
        <v>0.27251759161428918</v>
      </c>
      <c r="H49" s="51">
        <f t="shared" si="0"/>
        <v>3.2883493606785393E-2</v>
      </c>
    </row>
    <row r="50" spans="1:8" x14ac:dyDescent="0.25">
      <c r="A50">
        <v>49</v>
      </c>
      <c r="B50">
        <v>-5.6245567148923943</v>
      </c>
      <c r="C50">
        <v>49.64</v>
      </c>
      <c r="D50">
        <v>0.28000000000000003</v>
      </c>
      <c r="F50">
        <v>49</v>
      </c>
      <c r="G50">
        <v>0.25161342883238769</v>
      </c>
      <c r="H50" s="51">
        <f t="shared" si="0"/>
        <v>-7.670757200690527E-2</v>
      </c>
    </row>
    <row r="51" spans="1:8" x14ac:dyDescent="0.25">
      <c r="A51">
        <v>50</v>
      </c>
      <c r="B51">
        <v>-6.1703789321184175</v>
      </c>
      <c r="C51">
        <v>51.18</v>
      </c>
      <c r="D51">
        <v>0.26</v>
      </c>
      <c r="F51">
        <v>50</v>
      </c>
      <c r="G51">
        <v>0.23861422204539157</v>
      </c>
      <c r="H51" s="51">
        <f t="shared" si="0"/>
        <v>-5.1663406231213294E-2</v>
      </c>
    </row>
    <row r="52" spans="1:8" x14ac:dyDescent="0.25">
      <c r="A52">
        <v>51</v>
      </c>
      <c r="B52">
        <v>-5.6355282485485017</v>
      </c>
      <c r="C52">
        <v>51.7</v>
      </c>
      <c r="D52">
        <v>0.28000000000000003</v>
      </c>
      <c r="H52" s="51">
        <f t="shared" si="0"/>
        <v>-1</v>
      </c>
    </row>
    <row r="53" spans="1:8" x14ac:dyDescent="0.25">
      <c r="A53">
        <v>52</v>
      </c>
      <c r="B53">
        <v>-5.155676820874211</v>
      </c>
      <c r="C53">
        <v>50.14</v>
      </c>
      <c r="D53">
        <v>0.32</v>
      </c>
      <c r="H53" s="51" t="e">
        <f t="shared" si="0"/>
        <v>#DIV/0!</v>
      </c>
    </row>
    <row r="54" spans="1:8" x14ac:dyDescent="0.25">
      <c r="A54">
        <v>53</v>
      </c>
      <c r="B54">
        <v>-6.2039231261014871</v>
      </c>
      <c r="C54">
        <v>51.4</v>
      </c>
      <c r="D54">
        <v>0.28000000000000003</v>
      </c>
      <c r="H54" s="51" t="e">
        <f t="shared" si="0"/>
        <v>#DIV/0!</v>
      </c>
    </row>
    <row r="55" spans="1:8" x14ac:dyDescent="0.25">
      <c r="A55">
        <v>54</v>
      </c>
      <c r="B55">
        <v>-4.4398757650852234</v>
      </c>
      <c r="C55">
        <v>50.12</v>
      </c>
      <c r="D55">
        <v>0.36</v>
      </c>
      <c r="H55" s="51" t="e">
        <f t="shared" si="0"/>
        <v>#DIV/0!</v>
      </c>
    </row>
    <row r="56" spans="1:8" x14ac:dyDescent="0.25">
      <c r="A56">
        <v>55</v>
      </c>
      <c r="B56">
        <v>-4.8138148097991911</v>
      </c>
      <c r="C56">
        <v>51.06</v>
      </c>
      <c r="D56">
        <v>0.36</v>
      </c>
      <c r="H56" s="51" t="e">
        <f t="shared" si="0"/>
        <v>#DIV/0!</v>
      </c>
    </row>
    <row r="57" spans="1:8" x14ac:dyDescent="0.25">
      <c r="A57">
        <v>56</v>
      </c>
      <c r="B57">
        <v>-2.3731584115028306</v>
      </c>
      <c r="C57">
        <v>51.72</v>
      </c>
      <c r="D57">
        <v>0.5</v>
      </c>
      <c r="H57" s="51" t="e">
        <f t="shared" si="0"/>
        <v>#DIV/0!</v>
      </c>
    </row>
    <row r="58" spans="1:8" x14ac:dyDescent="0.25">
      <c r="A58">
        <v>57</v>
      </c>
      <c r="B58">
        <v>-2.1513293449878668</v>
      </c>
      <c r="C58">
        <v>54.34</v>
      </c>
      <c r="D58">
        <v>0.52</v>
      </c>
      <c r="H58" s="51" t="e">
        <f t="shared" si="0"/>
        <v>#DIV/0!</v>
      </c>
    </row>
    <row r="59" spans="1:8" x14ac:dyDescent="0.25">
      <c r="A59">
        <v>58</v>
      </c>
      <c r="B59">
        <v>-3.0342768470048793</v>
      </c>
      <c r="C59">
        <v>54.08</v>
      </c>
      <c r="D59">
        <v>0.46</v>
      </c>
      <c r="H59" s="51" t="e">
        <f t="shared" si="0"/>
        <v>#DIV/0!</v>
      </c>
    </row>
    <row r="60" spans="1:8" x14ac:dyDescent="0.25">
      <c r="A60">
        <v>59</v>
      </c>
      <c r="B60">
        <v>-3.9813573868274794</v>
      </c>
      <c r="C60">
        <v>52.66</v>
      </c>
      <c r="D60">
        <v>0.4</v>
      </c>
      <c r="H60" s="51" t="e">
        <f t="shared" si="0"/>
        <v>#DIV/0!</v>
      </c>
    </row>
    <row r="61" spans="1:8" x14ac:dyDescent="0.25">
      <c r="A61">
        <v>60</v>
      </c>
      <c r="B61">
        <v>-1.6956693792343105</v>
      </c>
      <c r="C61">
        <v>53.22</v>
      </c>
      <c r="D61">
        <v>0.54</v>
      </c>
      <c r="H61" s="51" t="e">
        <f t="shared" si="0"/>
        <v>#DIV/0!</v>
      </c>
    </row>
    <row r="62" spans="1:8" x14ac:dyDescent="0.25">
      <c r="A62">
        <v>61</v>
      </c>
      <c r="B62">
        <v>-2.0370226864814729</v>
      </c>
      <c r="C62">
        <v>56.46</v>
      </c>
      <c r="D62">
        <v>0.54</v>
      </c>
      <c r="H62" s="51" t="e">
        <f t="shared" si="0"/>
        <v>#DIV/0!</v>
      </c>
    </row>
    <row r="63" spans="1:8" x14ac:dyDescent="0.25">
      <c r="A63">
        <v>62</v>
      </c>
      <c r="B63">
        <v>-2.8702817240953475</v>
      </c>
      <c r="C63">
        <v>55.26</v>
      </c>
      <c r="D63">
        <v>0.48</v>
      </c>
      <c r="H63" s="51" t="e">
        <f t="shared" si="0"/>
        <v>#DIV/0!</v>
      </c>
    </row>
    <row r="64" spans="1:8" x14ac:dyDescent="0.25">
      <c r="A64">
        <v>63</v>
      </c>
      <c r="B64">
        <v>0.39557017862796684</v>
      </c>
      <c r="C64">
        <v>51.72</v>
      </c>
      <c r="D64">
        <v>0.68</v>
      </c>
      <c r="H64" s="51" t="e">
        <f t="shared" si="0"/>
        <v>#DIV/0!</v>
      </c>
    </row>
    <row r="65" spans="1:8" x14ac:dyDescent="0.25">
      <c r="A65">
        <v>64</v>
      </c>
      <c r="B65">
        <v>-1.8439279434680969</v>
      </c>
      <c r="C65">
        <v>53.68</v>
      </c>
      <c r="D65">
        <v>0.52</v>
      </c>
      <c r="H65" s="51" t="e">
        <f t="shared" si="0"/>
        <v>#DIV/0!</v>
      </c>
    </row>
    <row r="66" spans="1:8" x14ac:dyDescent="0.25">
      <c r="A66">
        <v>65</v>
      </c>
      <c r="B66">
        <v>0.16030333411694012</v>
      </c>
      <c r="C66">
        <v>53.92</v>
      </c>
      <c r="D66">
        <v>0.66</v>
      </c>
      <c r="H66" s="51" t="e">
        <f t="shared" si="0"/>
        <v>#DIV/0!</v>
      </c>
    </row>
    <row r="67" spans="1:8" x14ac:dyDescent="0.25">
      <c r="A67">
        <v>66</v>
      </c>
      <c r="B67">
        <v>-3.3111734669208506</v>
      </c>
      <c r="C67">
        <v>54.34</v>
      </c>
      <c r="D67">
        <v>0.46</v>
      </c>
      <c r="H67" s="51" t="e">
        <f t="shared" ref="H67:H130" si="1">(G67-G66)/G66</f>
        <v>#DIV/0!</v>
      </c>
    </row>
    <row r="68" spans="1:8" x14ac:dyDescent="0.25">
      <c r="A68">
        <v>67</v>
      </c>
      <c r="B68">
        <v>-0.48489091002942414</v>
      </c>
      <c r="C68">
        <v>54.42</v>
      </c>
      <c r="D68">
        <v>0.6</v>
      </c>
      <c r="H68" s="51" t="e">
        <f t="shared" si="1"/>
        <v>#DIV/0!</v>
      </c>
    </row>
    <row r="69" spans="1:8" x14ac:dyDescent="0.25">
      <c r="A69">
        <v>68</v>
      </c>
      <c r="B69">
        <v>-1.2422715457677851</v>
      </c>
      <c r="C69">
        <v>52.8</v>
      </c>
      <c r="D69">
        <v>0.6</v>
      </c>
      <c r="H69" s="51" t="e">
        <f t="shared" si="1"/>
        <v>#DIV/0!</v>
      </c>
    </row>
    <row r="70" spans="1:8" x14ac:dyDescent="0.25">
      <c r="A70">
        <v>69</v>
      </c>
      <c r="B70">
        <v>0.78949371421337944</v>
      </c>
      <c r="C70">
        <v>54.6</v>
      </c>
      <c r="D70">
        <v>0.72</v>
      </c>
      <c r="H70" s="51" t="e">
        <f t="shared" si="1"/>
        <v>#DIV/0!</v>
      </c>
    </row>
    <row r="71" spans="1:8" x14ac:dyDescent="0.25">
      <c r="A71">
        <v>70</v>
      </c>
      <c r="B71">
        <v>-0.86417751002312782</v>
      </c>
      <c r="C71">
        <v>55.96</v>
      </c>
      <c r="D71">
        <v>0.6</v>
      </c>
      <c r="H71" s="51" t="e">
        <f t="shared" si="1"/>
        <v>#DIV/0!</v>
      </c>
    </row>
    <row r="72" spans="1:8" x14ac:dyDescent="0.25">
      <c r="A72">
        <v>71</v>
      </c>
      <c r="B72">
        <v>9.0464037775996611E-2</v>
      </c>
      <c r="C72">
        <v>55.28</v>
      </c>
      <c r="D72">
        <v>0.66</v>
      </c>
      <c r="H72" s="51" t="e">
        <f t="shared" si="1"/>
        <v>#DIV/0!</v>
      </c>
    </row>
    <row r="73" spans="1:8" x14ac:dyDescent="0.25">
      <c r="A73">
        <v>72</v>
      </c>
      <c r="B73">
        <v>2.2815598245859205</v>
      </c>
      <c r="C73">
        <v>57.74</v>
      </c>
      <c r="D73">
        <v>0.8</v>
      </c>
      <c r="H73" s="51" t="e">
        <f t="shared" si="1"/>
        <v>#DIV/0!</v>
      </c>
    </row>
    <row r="74" spans="1:8" x14ac:dyDescent="0.25">
      <c r="A74">
        <v>73</v>
      </c>
      <c r="B74">
        <v>0.89249649512768603</v>
      </c>
      <c r="C74">
        <v>53.58</v>
      </c>
      <c r="D74">
        <v>0.72</v>
      </c>
      <c r="H74" s="51" t="e">
        <f t="shared" si="1"/>
        <v>#DIV/0!</v>
      </c>
    </row>
    <row r="75" spans="1:8" x14ac:dyDescent="0.25">
      <c r="A75">
        <v>74</v>
      </c>
      <c r="B75">
        <v>0.55763345885277393</v>
      </c>
      <c r="C75">
        <v>56.4</v>
      </c>
      <c r="D75">
        <v>0.7</v>
      </c>
      <c r="H75" s="51" t="e">
        <f t="shared" si="1"/>
        <v>#DIV/0!</v>
      </c>
    </row>
    <row r="76" spans="1:8" x14ac:dyDescent="0.25">
      <c r="A76">
        <v>75</v>
      </c>
      <c r="B76">
        <v>-0.56552616083621654</v>
      </c>
      <c r="C76">
        <v>56.22</v>
      </c>
      <c r="D76">
        <v>0.6</v>
      </c>
      <c r="H76" s="51" t="e">
        <f t="shared" si="1"/>
        <v>#DIV/0!</v>
      </c>
    </row>
    <row r="77" spans="1:8" x14ac:dyDescent="0.25">
      <c r="A77">
        <v>76</v>
      </c>
      <c r="B77">
        <v>-1.3624474960565609</v>
      </c>
      <c r="C77">
        <v>57.24</v>
      </c>
      <c r="D77">
        <v>0.6</v>
      </c>
      <c r="H77" s="51" t="e">
        <f t="shared" si="1"/>
        <v>#DIV/0!</v>
      </c>
    </row>
    <row r="78" spans="1:8" x14ac:dyDescent="0.25">
      <c r="A78">
        <v>77</v>
      </c>
      <c r="B78">
        <v>1.4365997714996142</v>
      </c>
      <c r="C78">
        <v>55.32</v>
      </c>
      <c r="D78">
        <v>0.72</v>
      </c>
      <c r="H78" s="51" t="e">
        <f t="shared" si="1"/>
        <v>#DIV/0!</v>
      </c>
    </row>
    <row r="79" spans="1:8" x14ac:dyDescent="0.25">
      <c r="A79">
        <v>78</v>
      </c>
      <c r="B79">
        <v>0.80215666973590938</v>
      </c>
      <c r="C79">
        <v>56.24</v>
      </c>
      <c r="D79">
        <v>0.7</v>
      </c>
      <c r="H79" s="51" t="e">
        <f t="shared" si="1"/>
        <v>#DIV/0!</v>
      </c>
    </row>
    <row r="80" spans="1:8" x14ac:dyDescent="0.25">
      <c r="A80">
        <v>79</v>
      </c>
      <c r="B80">
        <v>0.1371258206367543</v>
      </c>
      <c r="C80">
        <v>57.16</v>
      </c>
      <c r="D80">
        <v>0.7</v>
      </c>
      <c r="H80" s="51" t="e">
        <f t="shared" si="1"/>
        <v>#DIV/0!</v>
      </c>
    </row>
    <row r="81" spans="1:8" x14ac:dyDescent="0.25">
      <c r="A81">
        <v>80</v>
      </c>
      <c r="B81">
        <v>2.5460901095867206</v>
      </c>
      <c r="C81">
        <v>56.16</v>
      </c>
      <c r="D81">
        <v>0.78</v>
      </c>
      <c r="H81" s="51" t="e">
        <f t="shared" si="1"/>
        <v>#DIV/0!</v>
      </c>
    </row>
    <row r="82" spans="1:8" x14ac:dyDescent="0.25">
      <c r="A82">
        <v>81</v>
      </c>
      <c r="B82">
        <v>2.2219892159700403</v>
      </c>
      <c r="C82">
        <v>58.18</v>
      </c>
      <c r="D82">
        <v>0.76</v>
      </c>
      <c r="H82" s="51" t="e">
        <f t="shared" si="1"/>
        <v>#DIV/0!</v>
      </c>
    </row>
    <row r="83" spans="1:8" x14ac:dyDescent="0.25">
      <c r="A83">
        <v>82</v>
      </c>
      <c r="B83">
        <v>2.3673331120014134</v>
      </c>
      <c r="C83">
        <v>58.38</v>
      </c>
      <c r="D83">
        <v>0.78</v>
      </c>
      <c r="H83" s="51" t="e">
        <f t="shared" si="1"/>
        <v>#DIV/0!</v>
      </c>
    </row>
    <row r="84" spans="1:8" x14ac:dyDescent="0.25">
      <c r="A84">
        <v>83</v>
      </c>
      <c r="B84">
        <v>2.9861768342256578</v>
      </c>
      <c r="C84">
        <v>56.44</v>
      </c>
      <c r="D84">
        <v>0.82</v>
      </c>
      <c r="H84" s="51" t="e">
        <f t="shared" si="1"/>
        <v>#DIV/0!</v>
      </c>
    </row>
    <row r="85" spans="1:8" x14ac:dyDescent="0.25">
      <c r="A85">
        <v>84</v>
      </c>
      <c r="B85">
        <v>0.97795546948910128</v>
      </c>
      <c r="C85">
        <v>57.42</v>
      </c>
      <c r="D85">
        <v>0.72</v>
      </c>
      <c r="H85" s="51" t="e">
        <f t="shared" si="1"/>
        <v>#DIV/0!</v>
      </c>
    </row>
    <row r="86" spans="1:8" x14ac:dyDescent="0.25">
      <c r="A86">
        <v>85</v>
      </c>
      <c r="B86">
        <v>1.4930485129356363</v>
      </c>
      <c r="C86">
        <v>57.84</v>
      </c>
      <c r="D86">
        <v>0.76</v>
      </c>
      <c r="H86" s="51" t="e">
        <f t="shared" si="1"/>
        <v>#DIV/0!</v>
      </c>
    </row>
    <row r="87" spans="1:8" x14ac:dyDescent="0.25">
      <c r="A87">
        <v>86</v>
      </c>
      <c r="B87">
        <v>3.3656622703075425</v>
      </c>
      <c r="C87">
        <v>58.44</v>
      </c>
      <c r="D87">
        <v>0.86</v>
      </c>
      <c r="H87" s="51" t="e">
        <f t="shared" si="1"/>
        <v>#DIV/0!</v>
      </c>
    </row>
    <row r="88" spans="1:8" x14ac:dyDescent="0.25">
      <c r="A88">
        <v>87</v>
      </c>
      <c r="B88">
        <v>3.1573844723701465</v>
      </c>
      <c r="C88">
        <v>56.98</v>
      </c>
      <c r="D88">
        <v>0.86</v>
      </c>
      <c r="H88" s="51" t="e">
        <f t="shared" si="1"/>
        <v>#DIV/0!</v>
      </c>
    </row>
    <row r="89" spans="1:8" x14ac:dyDescent="0.25">
      <c r="A89">
        <v>88</v>
      </c>
      <c r="B89">
        <v>3.2040901094675052</v>
      </c>
      <c r="C89">
        <v>57.84</v>
      </c>
      <c r="D89">
        <v>0.84</v>
      </c>
      <c r="H89" s="51" t="e">
        <f t="shared" si="1"/>
        <v>#DIV/0!</v>
      </c>
    </row>
    <row r="90" spans="1:8" x14ac:dyDescent="0.25">
      <c r="A90">
        <v>89</v>
      </c>
      <c r="B90">
        <v>3.1047858864069093</v>
      </c>
      <c r="C90">
        <v>58.28</v>
      </c>
      <c r="D90">
        <v>0.88</v>
      </c>
      <c r="H90" s="51" t="e">
        <f t="shared" si="1"/>
        <v>#DIV/0!</v>
      </c>
    </row>
    <row r="91" spans="1:8" x14ac:dyDescent="0.25">
      <c r="A91">
        <v>90</v>
      </c>
      <c r="B91">
        <v>4.5098116874694805</v>
      </c>
      <c r="C91">
        <v>57.96</v>
      </c>
      <c r="D91">
        <v>0.94</v>
      </c>
      <c r="H91" s="51" t="e">
        <f t="shared" si="1"/>
        <v>#DIV/0!</v>
      </c>
    </row>
    <row r="92" spans="1:8" x14ac:dyDescent="0.25">
      <c r="A92">
        <v>91</v>
      </c>
      <c r="B92">
        <v>2.9098587023019769</v>
      </c>
      <c r="C92">
        <v>56.26</v>
      </c>
      <c r="D92">
        <v>0.82</v>
      </c>
      <c r="H92" s="51" t="e">
        <f t="shared" si="1"/>
        <v>#DIV/0!</v>
      </c>
    </row>
    <row r="93" spans="1:8" x14ac:dyDescent="0.25">
      <c r="A93">
        <v>92</v>
      </c>
      <c r="B93">
        <v>4.3415258949994913</v>
      </c>
      <c r="C93">
        <v>57.56</v>
      </c>
      <c r="D93">
        <v>0.9</v>
      </c>
      <c r="H93" s="51" t="e">
        <f t="shared" si="1"/>
        <v>#DIV/0!</v>
      </c>
    </row>
    <row r="94" spans="1:8" x14ac:dyDescent="0.25">
      <c r="A94">
        <v>93</v>
      </c>
      <c r="B94">
        <v>3.221728698611257</v>
      </c>
      <c r="C94">
        <v>56.66</v>
      </c>
      <c r="D94">
        <v>0.86</v>
      </c>
      <c r="H94" s="51" t="e">
        <f t="shared" si="1"/>
        <v>#DIV/0!</v>
      </c>
    </row>
    <row r="95" spans="1:8" x14ac:dyDescent="0.25">
      <c r="A95">
        <v>94</v>
      </c>
      <c r="B95">
        <v>4.0653055576086237</v>
      </c>
      <c r="C95">
        <v>57.56</v>
      </c>
      <c r="D95">
        <v>0.88</v>
      </c>
      <c r="H95" s="51" t="e">
        <f t="shared" si="1"/>
        <v>#DIV/0!</v>
      </c>
    </row>
    <row r="96" spans="1:8" x14ac:dyDescent="0.25">
      <c r="A96">
        <v>95</v>
      </c>
      <c r="B96">
        <v>3.1328183947801636</v>
      </c>
      <c r="C96">
        <v>57.44</v>
      </c>
      <c r="D96">
        <v>0.86</v>
      </c>
      <c r="H96" s="51" t="e">
        <f t="shared" si="1"/>
        <v>#DIV/0!</v>
      </c>
    </row>
    <row r="97" spans="1:8" x14ac:dyDescent="0.25">
      <c r="A97">
        <v>96</v>
      </c>
      <c r="B97">
        <v>4.4250968495607275</v>
      </c>
      <c r="C97">
        <v>58.8</v>
      </c>
      <c r="D97">
        <v>0.9</v>
      </c>
      <c r="H97" s="51" t="e">
        <f t="shared" si="1"/>
        <v>#DIV/0!</v>
      </c>
    </row>
    <row r="98" spans="1:8" x14ac:dyDescent="0.25">
      <c r="A98">
        <v>97</v>
      </c>
      <c r="B98">
        <v>4.4557783430814819</v>
      </c>
      <c r="C98">
        <v>57.5</v>
      </c>
      <c r="D98">
        <v>0.94</v>
      </c>
      <c r="H98" s="51" t="e">
        <f t="shared" si="1"/>
        <v>#DIV/0!</v>
      </c>
    </row>
    <row r="99" spans="1:8" x14ac:dyDescent="0.25">
      <c r="A99">
        <v>98</v>
      </c>
      <c r="B99">
        <v>3.6248031394481672</v>
      </c>
      <c r="C99">
        <v>57.94</v>
      </c>
      <c r="D99">
        <v>0.88</v>
      </c>
      <c r="H99" s="51" t="e">
        <f t="shared" si="1"/>
        <v>#DIV/0!</v>
      </c>
    </row>
    <row r="100" spans="1:8" x14ac:dyDescent="0.25">
      <c r="A100">
        <v>99</v>
      </c>
      <c r="B100">
        <v>4.4805485982894782</v>
      </c>
      <c r="C100">
        <v>56.86</v>
      </c>
      <c r="D100">
        <v>0.92</v>
      </c>
      <c r="H100" s="51" t="e">
        <f t="shared" si="1"/>
        <v>#DIV/0!</v>
      </c>
    </row>
    <row r="101" spans="1:8" x14ac:dyDescent="0.25">
      <c r="A101">
        <v>100</v>
      </c>
      <c r="B101">
        <v>3.716137512803066</v>
      </c>
      <c r="C101">
        <v>56.88</v>
      </c>
      <c r="D101">
        <v>0.92</v>
      </c>
      <c r="H101" s="51" t="e">
        <f t="shared" si="1"/>
        <v>#DIV/0!</v>
      </c>
    </row>
    <row r="102" spans="1:8" x14ac:dyDescent="0.25">
      <c r="A102">
        <v>101</v>
      </c>
      <c r="B102">
        <v>3.6387366638183614</v>
      </c>
      <c r="C102">
        <v>57.56</v>
      </c>
      <c r="D102">
        <v>0.9</v>
      </c>
      <c r="H102" s="51" t="e">
        <f t="shared" si="1"/>
        <v>#DIV/0!</v>
      </c>
    </row>
    <row r="103" spans="1:8" x14ac:dyDescent="0.25">
      <c r="A103">
        <v>102</v>
      </c>
      <c r="B103">
        <v>2.0954478194713544</v>
      </c>
      <c r="C103">
        <v>59.08</v>
      </c>
      <c r="D103">
        <v>0.82</v>
      </c>
      <c r="H103" s="51" t="e">
        <f t="shared" si="1"/>
        <v>#DIV/0!</v>
      </c>
    </row>
    <row r="104" spans="1:8" x14ac:dyDescent="0.25">
      <c r="A104">
        <v>103</v>
      </c>
      <c r="B104">
        <v>4.4053174310922705</v>
      </c>
      <c r="C104">
        <v>56.48</v>
      </c>
      <c r="D104">
        <v>0.9</v>
      </c>
      <c r="H104" s="51" t="e">
        <f t="shared" si="1"/>
        <v>#DIV/0!</v>
      </c>
    </row>
    <row r="105" spans="1:8" x14ac:dyDescent="0.25">
      <c r="A105">
        <v>104</v>
      </c>
      <c r="B105">
        <v>3.8286909850835786</v>
      </c>
      <c r="C105">
        <v>58.08</v>
      </c>
      <c r="D105">
        <v>0.88</v>
      </c>
      <c r="H105" s="51" t="e">
        <f t="shared" si="1"/>
        <v>#DIV/0!</v>
      </c>
    </row>
    <row r="106" spans="1:8" x14ac:dyDescent="0.25">
      <c r="A106">
        <v>105</v>
      </c>
      <c r="B106">
        <v>4.823693702220921</v>
      </c>
      <c r="C106">
        <v>56.4</v>
      </c>
      <c r="D106">
        <v>0.92</v>
      </c>
      <c r="H106" s="51" t="e">
        <f t="shared" si="1"/>
        <v>#DIV/0!</v>
      </c>
    </row>
    <row r="107" spans="1:8" x14ac:dyDescent="0.25">
      <c r="A107">
        <v>106</v>
      </c>
      <c r="B107">
        <v>3.7154294291734864</v>
      </c>
      <c r="C107">
        <v>58.46</v>
      </c>
      <c r="D107">
        <v>0.9</v>
      </c>
      <c r="H107" s="51" t="e">
        <f t="shared" si="1"/>
        <v>#DIV/0!</v>
      </c>
    </row>
    <row r="108" spans="1:8" x14ac:dyDescent="0.25">
      <c r="A108">
        <v>107</v>
      </c>
      <c r="B108">
        <v>3.732146315693853</v>
      </c>
      <c r="C108">
        <v>58.48</v>
      </c>
      <c r="D108">
        <v>0.9</v>
      </c>
      <c r="H108" s="51" t="e">
        <f t="shared" si="1"/>
        <v>#DIV/0!</v>
      </c>
    </row>
    <row r="109" spans="1:8" x14ac:dyDescent="0.25">
      <c r="A109">
        <v>108</v>
      </c>
      <c r="B109">
        <v>4.150951037049281</v>
      </c>
      <c r="C109">
        <v>56.32</v>
      </c>
      <c r="D109">
        <v>0.9</v>
      </c>
      <c r="H109" s="51" t="e">
        <f t="shared" si="1"/>
        <v>#DIV/0!</v>
      </c>
    </row>
    <row r="110" spans="1:8" x14ac:dyDescent="0.25">
      <c r="A110">
        <v>109</v>
      </c>
      <c r="B110">
        <v>4.1887515786886427</v>
      </c>
      <c r="C110">
        <v>59.56</v>
      </c>
      <c r="D110">
        <v>0.94</v>
      </c>
      <c r="H110" s="51" t="e">
        <f t="shared" si="1"/>
        <v>#DIV/0!</v>
      </c>
    </row>
    <row r="111" spans="1:8" x14ac:dyDescent="0.25">
      <c r="A111">
        <v>110</v>
      </c>
      <c r="B111">
        <v>4.0288197968006187</v>
      </c>
      <c r="C111">
        <v>56.18</v>
      </c>
      <c r="D111">
        <v>0.9</v>
      </c>
      <c r="H111" s="51" t="e">
        <f t="shared" si="1"/>
        <v>#DIV/0!</v>
      </c>
    </row>
    <row r="112" spans="1:8" x14ac:dyDescent="0.25">
      <c r="A112">
        <v>111</v>
      </c>
      <c r="B112">
        <v>4.5737262437343356</v>
      </c>
      <c r="C112">
        <v>58.58</v>
      </c>
      <c r="D112">
        <v>0.96</v>
      </c>
      <c r="H112" s="51" t="e">
        <f t="shared" si="1"/>
        <v>#DIV/0!</v>
      </c>
    </row>
    <row r="113" spans="1:8" x14ac:dyDescent="0.25">
      <c r="A113">
        <v>112</v>
      </c>
      <c r="B113">
        <v>3.9658625226020776</v>
      </c>
      <c r="C113">
        <v>57.26</v>
      </c>
      <c r="D113">
        <v>0.88</v>
      </c>
      <c r="H113" s="51" t="e">
        <f t="shared" si="1"/>
        <v>#DIV/0!</v>
      </c>
    </row>
    <row r="114" spans="1:8" x14ac:dyDescent="0.25">
      <c r="A114">
        <v>113</v>
      </c>
      <c r="B114">
        <v>4.5752890038490301</v>
      </c>
      <c r="C114">
        <v>59.66</v>
      </c>
      <c r="D114">
        <v>0.94</v>
      </c>
      <c r="H114" s="51" t="e">
        <f t="shared" si="1"/>
        <v>#DIV/0!</v>
      </c>
    </row>
    <row r="115" spans="1:8" x14ac:dyDescent="0.25">
      <c r="A115">
        <v>114</v>
      </c>
      <c r="B115">
        <v>4.0331039822101671</v>
      </c>
      <c r="C115">
        <v>58.32</v>
      </c>
      <c r="D115">
        <v>0.88</v>
      </c>
      <c r="H115" s="51" t="e">
        <f t="shared" si="1"/>
        <v>#DIV/0!</v>
      </c>
    </row>
    <row r="116" spans="1:8" x14ac:dyDescent="0.25">
      <c r="A116">
        <v>115</v>
      </c>
      <c r="B116">
        <v>5.176521173834808</v>
      </c>
      <c r="C116">
        <v>58.44</v>
      </c>
      <c r="D116">
        <v>0.94</v>
      </c>
      <c r="H116" s="51" t="e">
        <f t="shared" si="1"/>
        <v>#DIV/0!</v>
      </c>
    </row>
    <row r="117" spans="1:8" x14ac:dyDescent="0.25">
      <c r="A117">
        <v>116</v>
      </c>
      <c r="B117">
        <v>5.5710882264375581</v>
      </c>
      <c r="C117">
        <v>56.96</v>
      </c>
      <c r="D117">
        <v>0.98</v>
      </c>
      <c r="H117" s="51" t="e">
        <f t="shared" si="1"/>
        <v>#DIV/0!</v>
      </c>
    </row>
    <row r="118" spans="1:8" x14ac:dyDescent="0.25">
      <c r="A118">
        <v>117</v>
      </c>
      <c r="B118">
        <v>3.7221824636459373</v>
      </c>
      <c r="C118">
        <v>57.4</v>
      </c>
      <c r="D118">
        <v>0.9</v>
      </c>
      <c r="H118" s="51" t="e">
        <f t="shared" si="1"/>
        <v>#DIV/0!</v>
      </c>
    </row>
    <row r="119" spans="1:8" x14ac:dyDescent="0.25">
      <c r="A119">
        <v>118</v>
      </c>
      <c r="B119">
        <v>4.1250687946081301</v>
      </c>
      <c r="C119">
        <v>58.18</v>
      </c>
      <c r="D119">
        <v>0.9</v>
      </c>
      <c r="H119" s="51" t="e">
        <f t="shared" si="1"/>
        <v>#DIV/0!</v>
      </c>
    </row>
    <row r="120" spans="1:8" x14ac:dyDescent="0.25">
      <c r="A120">
        <v>119</v>
      </c>
      <c r="B120">
        <v>5.7573014144897448</v>
      </c>
      <c r="C120">
        <v>57.06</v>
      </c>
      <c r="D120">
        <v>0.98</v>
      </c>
      <c r="H120" s="51" t="e">
        <f t="shared" si="1"/>
        <v>#DIV/0!</v>
      </c>
    </row>
    <row r="121" spans="1:8" x14ac:dyDescent="0.25">
      <c r="A121">
        <v>120</v>
      </c>
      <c r="B121">
        <v>5.1167025004625302</v>
      </c>
      <c r="C121">
        <v>58.82</v>
      </c>
      <c r="D121">
        <v>0.98</v>
      </c>
      <c r="H121" s="51" t="e">
        <f t="shared" si="1"/>
        <v>#DIV/0!</v>
      </c>
    </row>
    <row r="122" spans="1:8" x14ac:dyDescent="0.25">
      <c r="A122">
        <v>121</v>
      </c>
      <c r="B122">
        <v>4.6337473948001922</v>
      </c>
      <c r="C122">
        <v>56.22</v>
      </c>
      <c r="D122">
        <v>0.94</v>
      </c>
      <c r="H122" s="51" t="e">
        <f t="shared" si="1"/>
        <v>#DIV/0!</v>
      </c>
    </row>
    <row r="123" spans="1:8" x14ac:dyDescent="0.25">
      <c r="A123">
        <v>122</v>
      </c>
      <c r="B123">
        <v>4.1642280344963183</v>
      </c>
      <c r="C123">
        <v>59.12</v>
      </c>
      <c r="D123">
        <v>0.94</v>
      </c>
      <c r="H123" s="51" t="e">
        <f t="shared" si="1"/>
        <v>#DIV/0!</v>
      </c>
    </row>
    <row r="124" spans="1:8" x14ac:dyDescent="0.25">
      <c r="A124">
        <v>123</v>
      </c>
      <c r="B124">
        <v>4.5954856474399568</v>
      </c>
      <c r="C124">
        <v>58.08</v>
      </c>
      <c r="D124">
        <v>0.94</v>
      </c>
      <c r="H124" s="51" t="e">
        <f t="shared" si="1"/>
        <v>#DIV/0!</v>
      </c>
    </row>
    <row r="125" spans="1:8" x14ac:dyDescent="0.25">
      <c r="A125">
        <v>124</v>
      </c>
      <c r="B125">
        <v>4.9706315021514964</v>
      </c>
      <c r="C125">
        <v>60</v>
      </c>
      <c r="D125">
        <v>1</v>
      </c>
      <c r="H125" s="51" t="e">
        <f t="shared" si="1"/>
        <v>#DIV/0!</v>
      </c>
    </row>
    <row r="126" spans="1:8" x14ac:dyDescent="0.25">
      <c r="A126">
        <v>125</v>
      </c>
      <c r="B126">
        <v>4.6325855040550259</v>
      </c>
      <c r="C126">
        <v>55.56</v>
      </c>
      <c r="D126">
        <v>0.96</v>
      </c>
      <c r="H126" s="51" t="e">
        <f t="shared" si="1"/>
        <v>#DIV/0!</v>
      </c>
    </row>
    <row r="127" spans="1:8" x14ac:dyDescent="0.25">
      <c r="A127">
        <v>126</v>
      </c>
      <c r="B127">
        <v>4.3154147725105476</v>
      </c>
      <c r="C127">
        <v>59.26</v>
      </c>
      <c r="D127">
        <v>0.94</v>
      </c>
      <c r="H127" s="51" t="e">
        <f t="shared" si="1"/>
        <v>#DIV/0!</v>
      </c>
    </row>
    <row r="128" spans="1:8" x14ac:dyDescent="0.25">
      <c r="A128">
        <v>127</v>
      </c>
      <c r="B128">
        <v>4.4855844970941696</v>
      </c>
      <c r="C128">
        <v>57.96</v>
      </c>
      <c r="D128">
        <v>0.94</v>
      </c>
      <c r="H128" s="51" t="e">
        <f t="shared" si="1"/>
        <v>#DIV/0!</v>
      </c>
    </row>
    <row r="129" spans="1:8" x14ac:dyDescent="0.25">
      <c r="A129">
        <v>128</v>
      </c>
      <c r="B129">
        <v>3.8714463881254169</v>
      </c>
      <c r="C129">
        <v>58.04</v>
      </c>
      <c r="D129">
        <v>0.92</v>
      </c>
      <c r="H129" s="51" t="e">
        <f t="shared" si="1"/>
        <v>#DIV/0!</v>
      </c>
    </row>
    <row r="130" spans="1:8" x14ac:dyDescent="0.25">
      <c r="A130">
        <v>129</v>
      </c>
      <c r="B130">
        <v>5.4908922693729405</v>
      </c>
      <c r="C130">
        <v>58.18</v>
      </c>
      <c r="D130">
        <v>1</v>
      </c>
      <c r="H130" s="51" t="e">
        <f t="shared" si="1"/>
        <v>#DIV/0!</v>
      </c>
    </row>
    <row r="131" spans="1:8" x14ac:dyDescent="0.25">
      <c r="A131">
        <v>130</v>
      </c>
      <c r="B131">
        <v>5.5490994056463148</v>
      </c>
      <c r="C131">
        <v>58.7</v>
      </c>
      <c r="D131">
        <v>0.98</v>
      </c>
      <c r="H131" s="51" t="e">
        <f t="shared" ref="H131:H194" si="2">(G131-G130)/G130</f>
        <v>#DIV/0!</v>
      </c>
    </row>
    <row r="132" spans="1:8" x14ac:dyDescent="0.25">
      <c r="A132">
        <v>131</v>
      </c>
      <c r="B132">
        <v>4.0108017524480859</v>
      </c>
      <c r="C132">
        <v>58.22</v>
      </c>
      <c r="D132">
        <v>0.94</v>
      </c>
      <c r="H132" s="51" t="e">
        <f t="shared" si="2"/>
        <v>#DIV/0!</v>
      </c>
    </row>
    <row r="133" spans="1:8" x14ac:dyDescent="0.25">
      <c r="A133">
        <v>132</v>
      </c>
      <c r="B133">
        <v>4.9501352875232678</v>
      </c>
      <c r="C133">
        <v>59.08</v>
      </c>
      <c r="D133">
        <v>0.98</v>
      </c>
      <c r="H133" s="51" t="e">
        <f t="shared" si="2"/>
        <v>#DIV/0!</v>
      </c>
    </row>
    <row r="134" spans="1:8" x14ac:dyDescent="0.25">
      <c r="A134">
        <v>133</v>
      </c>
      <c r="B134">
        <v>4.8593337421417271</v>
      </c>
      <c r="C134">
        <v>58.26</v>
      </c>
      <c r="D134">
        <v>0.96</v>
      </c>
      <c r="H134" s="51" t="e">
        <f t="shared" si="2"/>
        <v>#DIV/0!</v>
      </c>
    </row>
    <row r="135" spans="1:8" x14ac:dyDescent="0.25">
      <c r="A135">
        <v>134</v>
      </c>
      <c r="B135">
        <v>4.6752051405906858</v>
      </c>
      <c r="C135">
        <v>59.7</v>
      </c>
      <c r="D135">
        <v>0.96</v>
      </c>
      <c r="H135" s="51" t="e">
        <f t="shared" si="2"/>
        <v>#DIV/0!</v>
      </c>
    </row>
    <row r="136" spans="1:8" x14ac:dyDescent="0.25">
      <c r="A136">
        <v>135</v>
      </c>
      <c r="B136">
        <v>5.3459240270853137</v>
      </c>
      <c r="C136">
        <v>58.76</v>
      </c>
      <c r="D136">
        <v>1</v>
      </c>
      <c r="H136" s="51" t="e">
        <f t="shared" si="2"/>
        <v>#DIV/0!</v>
      </c>
    </row>
    <row r="137" spans="1:8" x14ac:dyDescent="0.25">
      <c r="A137">
        <v>136</v>
      </c>
      <c r="B137">
        <v>5.4830455811023766</v>
      </c>
      <c r="C137">
        <v>57.6</v>
      </c>
      <c r="D137">
        <v>1</v>
      </c>
      <c r="H137" s="51" t="e">
        <f t="shared" si="2"/>
        <v>#DIV/0!</v>
      </c>
    </row>
    <row r="138" spans="1:8" x14ac:dyDescent="0.25">
      <c r="H138" s="51" t="e">
        <f t="shared" si="2"/>
        <v>#DIV/0!</v>
      </c>
    </row>
    <row r="139" spans="1:8" x14ac:dyDescent="0.25">
      <c r="H139" s="51" t="e">
        <f t="shared" si="2"/>
        <v>#DIV/0!</v>
      </c>
    </row>
    <row r="140" spans="1:8" x14ac:dyDescent="0.25">
      <c r="H140" s="51" t="e">
        <f t="shared" si="2"/>
        <v>#DIV/0!</v>
      </c>
    </row>
    <row r="141" spans="1:8" x14ac:dyDescent="0.25">
      <c r="H141" s="51" t="e">
        <f t="shared" si="2"/>
        <v>#DIV/0!</v>
      </c>
    </row>
    <row r="142" spans="1:8" x14ac:dyDescent="0.25">
      <c r="H142" s="51" t="e">
        <f t="shared" si="2"/>
        <v>#DIV/0!</v>
      </c>
    </row>
    <row r="143" spans="1:8" x14ac:dyDescent="0.25">
      <c r="H143" s="51" t="e">
        <f t="shared" si="2"/>
        <v>#DIV/0!</v>
      </c>
    </row>
    <row r="144" spans="1:8" x14ac:dyDescent="0.25">
      <c r="H144" s="51" t="e">
        <f t="shared" si="2"/>
        <v>#DIV/0!</v>
      </c>
    </row>
    <row r="145" spans="8:8" x14ac:dyDescent="0.25">
      <c r="H145" s="51" t="e">
        <f t="shared" si="2"/>
        <v>#DIV/0!</v>
      </c>
    </row>
    <row r="146" spans="8:8" x14ac:dyDescent="0.25">
      <c r="H146" s="51" t="e">
        <f t="shared" si="2"/>
        <v>#DIV/0!</v>
      </c>
    </row>
    <row r="147" spans="8:8" x14ac:dyDescent="0.25">
      <c r="H147" s="51" t="e">
        <f t="shared" si="2"/>
        <v>#DIV/0!</v>
      </c>
    </row>
    <row r="148" spans="8:8" x14ac:dyDescent="0.25">
      <c r="H148" s="51" t="e">
        <f t="shared" si="2"/>
        <v>#DIV/0!</v>
      </c>
    </row>
    <row r="149" spans="8:8" x14ac:dyDescent="0.25">
      <c r="H149" s="51" t="e">
        <f t="shared" si="2"/>
        <v>#DIV/0!</v>
      </c>
    </row>
    <row r="150" spans="8:8" x14ac:dyDescent="0.25">
      <c r="H150" s="51" t="e">
        <f t="shared" si="2"/>
        <v>#DIV/0!</v>
      </c>
    </row>
    <row r="151" spans="8:8" x14ac:dyDescent="0.25">
      <c r="H151" s="51" t="e">
        <f t="shared" si="2"/>
        <v>#DIV/0!</v>
      </c>
    </row>
    <row r="152" spans="8:8" x14ac:dyDescent="0.25">
      <c r="H152" s="51" t="e">
        <f t="shared" si="2"/>
        <v>#DIV/0!</v>
      </c>
    </row>
    <row r="153" spans="8:8" x14ac:dyDescent="0.25">
      <c r="H153" s="51" t="e">
        <f t="shared" si="2"/>
        <v>#DIV/0!</v>
      </c>
    </row>
    <row r="154" spans="8:8" x14ac:dyDescent="0.25">
      <c r="H154" s="51" t="e">
        <f t="shared" si="2"/>
        <v>#DIV/0!</v>
      </c>
    </row>
    <row r="155" spans="8:8" x14ac:dyDescent="0.25">
      <c r="H155" s="51" t="e">
        <f t="shared" si="2"/>
        <v>#DIV/0!</v>
      </c>
    </row>
    <row r="156" spans="8:8" x14ac:dyDescent="0.25">
      <c r="H156" s="51" t="e">
        <f t="shared" si="2"/>
        <v>#DIV/0!</v>
      </c>
    </row>
    <row r="157" spans="8:8" x14ac:dyDescent="0.25">
      <c r="H157" s="51" t="e">
        <f t="shared" si="2"/>
        <v>#DIV/0!</v>
      </c>
    </row>
    <row r="158" spans="8:8" x14ac:dyDescent="0.25">
      <c r="H158" s="51" t="e">
        <f t="shared" si="2"/>
        <v>#DIV/0!</v>
      </c>
    </row>
    <row r="159" spans="8:8" x14ac:dyDescent="0.25">
      <c r="H159" s="51" t="e">
        <f t="shared" si="2"/>
        <v>#DIV/0!</v>
      </c>
    </row>
    <row r="160" spans="8:8" x14ac:dyDescent="0.25">
      <c r="H160" s="51" t="e">
        <f t="shared" si="2"/>
        <v>#DIV/0!</v>
      </c>
    </row>
    <row r="161" spans="8:8" x14ac:dyDescent="0.25">
      <c r="H161" s="51" t="e">
        <f t="shared" si="2"/>
        <v>#DIV/0!</v>
      </c>
    </row>
    <row r="162" spans="8:8" x14ac:dyDescent="0.25">
      <c r="H162" s="51" t="e">
        <f t="shared" si="2"/>
        <v>#DIV/0!</v>
      </c>
    </row>
    <row r="163" spans="8:8" x14ac:dyDescent="0.25">
      <c r="H163" s="51" t="e">
        <f t="shared" si="2"/>
        <v>#DIV/0!</v>
      </c>
    </row>
    <row r="164" spans="8:8" x14ac:dyDescent="0.25">
      <c r="H164" s="51" t="e">
        <f t="shared" si="2"/>
        <v>#DIV/0!</v>
      </c>
    </row>
    <row r="165" spans="8:8" x14ac:dyDescent="0.25">
      <c r="H165" s="51" t="e">
        <f t="shared" si="2"/>
        <v>#DIV/0!</v>
      </c>
    </row>
    <row r="166" spans="8:8" x14ac:dyDescent="0.25">
      <c r="H166" s="51" t="e">
        <f t="shared" si="2"/>
        <v>#DIV/0!</v>
      </c>
    </row>
    <row r="167" spans="8:8" x14ac:dyDescent="0.25">
      <c r="H167" s="51" t="e">
        <f t="shared" si="2"/>
        <v>#DIV/0!</v>
      </c>
    </row>
    <row r="168" spans="8:8" x14ac:dyDescent="0.25">
      <c r="H168" s="51" t="e">
        <f t="shared" si="2"/>
        <v>#DIV/0!</v>
      </c>
    </row>
    <row r="169" spans="8:8" x14ac:dyDescent="0.25">
      <c r="H169" s="51" t="e">
        <f t="shared" si="2"/>
        <v>#DIV/0!</v>
      </c>
    </row>
    <row r="170" spans="8:8" x14ac:dyDescent="0.25">
      <c r="H170" s="51" t="e">
        <f t="shared" si="2"/>
        <v>#DIV/0!</v>
      </c>
    </row>
    <row r="171" spans="8:8" x14ac:dyDescent="0.25">
      <c r="H171" s="51" t="e">
        <f t="shared" si="2"/>
        <v>#DIV/0!</v>
      </c>
    </row>
    <row r="172" spans="8:8" x14ac:dyDescent="0.25">
      <c r="H172" s="51" t="e">
        <f t="shared" si="2"/>
        <v>#DIV/0!</v>
      </c>
    </row>
    <row r="173" spans="8:8" x14ac:dyDescent="0.25">
      <c r="H173" s="51" t="e">
        <f t="shared" si="2"/>
        <v>#DIV/0!</v>
      </c>
    </row>
    <row r="174" spans="8:8" x14ac:dyDescent="0.25">
      <c r="H174" s="51" t="e">
        <f t="shared" si="2"/>
        <v>#DIV/0!</v>
      </c>
    </row>
    <row r="175" spans="8:8" x14ac:dyDescent="0.25">
      <c r="H175" s="51" t="e">
        <f t="shared" si="2"/>
        <v>#DIV/0!</v>
      </c>
    </row>
    <row r="176" spans="8:8" x14ac:dyDescent="0.25">
      <c r="H176" s="51" t="e">
        <f t="shared" si="2"/>
        <v>#DIV/0!</v>
      </c>
    </row>
    <row r="177" spans="8:8" x14ac:dyDescent="0.25">
      <c r="H177" s="51" t="e">
        <f t="shared" si="2"/>
        <v>#DIV/0!</v>
      </c>
    </row>
    <row r="178" spans="8:8" x14ac:dyDescent="0.25">
      <c r="H178" s="51" t="e">
        <f t="shared" si="2"/>
        <v>#DIV/0!</v>
      </c>
    </row>
    <row r="179" spans="8:8" x14ac:dyDescent="0.25">
      <c r="H179" s="51" t="e">
        <f t="shared" si="2"/>
        <v>#DIV/0!</v>
      </c>
    </row>
    <row r="180" spans="8:8" x14ac:dyDescent="0.25">
      <c r="H180" s="51" t="e">
        <f t="shared" si="2"/>
        <v>#DIV/0!</v>
      </c>
    </row>
    <row r="181" spans="8:8" x14ac:dyDescent="0.25">
      <c r="H181" s="51" t="e">
        <f t="shared" si="2"/>
        <v>#DIV/0!</v>
      </c>
    </row>
    <row r="182" spans="8:8" x14ac:dyDescent="0.25">
      <c r="H182" s="51" t="e">
        <f t="shared" si="2"/>
        <v>#DIV/0!</v>
      </c>
    </row>
    <row r="183" spans="8:8" x14ac:dyDescent="0.25">
      <c r="H183" s="51" t="e">
        <f t="shared" si="2"/>
        <v>#DIV/0!</v>
      </c>
    </row>
    <row r="184" spans="8:8" x14ac:dyDescent="0.25">
      <c r="H184" s="51" t="e">
        <f t="shared" si="2"/>
        <v>#DIV/0!</v>
      </c>
    </row>
    <row r="185" spans="8:8" x14ac:dyDescent="0.25">
      <c r="H185" s="51" t="e">
        <f t="shared" si="2"/>
        <v>#DIV/0!</v>
      </c>
    </row>
    <row r="186" spans="8:8" x14ac:dyDescent="0.25">
      <c r="H186" s="51" t="e">
        <f t="shared" si="2"/>
        <v>#DIV/0!</v>
      </c>
    </row>
    <row r="187" spans="8:8" x14ac:dyDescent="0.25">
      <c r="H187" s="51" t="e">
        <f t="shared" si="2"/>
        <v>#DIV/0!</v>
      </c>
    </row>
    <row r="188" spans="8:8" x14ac:dyDescent="0.25">
      <c r="H188" s="51" t="e">
        <f t="shared" si="2"/>
        <v>#DIV/0!</v>
      </c>
    </row>
    <row r="189" spans="8:8" x14ac:dyDescent="0.25">
      <c r="H189" s="51" t="e">
        <f t="shared" si="2"/>
        <v>#DIV/0!</v>
      </c>
    </row>
    <row r="190" spans="8:8" x14ac:dyDescent="0.25">
      <c r="H190" s="51" t="e">
        <f t="shared" si="2"/>
        <v>#DIV/0!</v>
      </c>
    </row>
    <row r="191" spans="8:8" x14ac:dyDescent="0.25">
      <c r="H191" s="51" t="e">
        <f t="shared" si="2"/>
        <v>#DIV/0!</v>
      </c>
    </row>
    <row r="192" spans="8:8" x14ac:dyDescent="0.25">
      <c r="H192" s="51" t="e">
        <f t="shared" si="2"/>
        <v>#DIV/0!</v>
      </c>
    </row>
    <row r="193" spans="8:8" x14ac:dyDescent="0.25">
      <c r="H193" s="51" t="e">
        <f t="shared" si="2"/>
        <v>#DIV/0!</v>
      </c>
    </row>
    <row r="194" spans="8:8" x14ac:dyDescent="0.25">
      <c r="H194" s="51" t="e">
        <f t="shared" si="2"/>
        <v>#DIV/0!</v>
      </c>
    </row>
    <row r="195" spans="8:8" x14ac:dyDescent="0.25">
      <c r="H195" s="51" t="e">
        <f t="shared" ref="H195:H258" si="3">(G195-G194)/G194</f>
        <v>#DIV/0!</v>
      </c>
    </row>
    <row r="196" spans="8:8" x14ac:dyDescent="0.25">
      <c r="H196" s="51" t="e">
        <f t="shared" si="3"/>
        <v>#DIV/0!</v>
      </c>
    </row>
    <row r="197" spans="8:8" x14ac:dyDescent="0.25">
      <c r="H197" s="51" t="e">
        <f t="shared" si="3"/>
        <v>#DIV/0!</v>
      </c>
    </row>
    <row r="198" spans="8:8" x14ac:dyDescent="0.25">
      <c r="H198" s="51" t="e">
        <f t="shared" si="3"/>
        <v>#DIV/0!</v>
      </c>
    </row>
    <row r="199" spans="8:8" x14ac:dyDescent="0.25">
      <c r="H199" s="51" t="e">
        <f t="shared" si="3"/>
        <v>#DIV/0!</v>
      </c>
    </row>
    <row r="200" spans="8:8" x14ac:dyDescent="0.25">
      <c r="H200" s="51" t="e">
        <f t="shared" si="3"/>
        <v>#DIV/0!</v>
      </c>
    </row>
    <row r="201" spans="8:8" x14ac:dyDescent="0.25">
      <c r="H201" s="51" t="e">
        <f t="shared" si="3"/>
        <v>#DIV/0!</v>
      </c>
    </row>
    <row r="202" spans="8:8" x14ac:dyDescent="0.25">
      <c r="H202" s="51" t="e">
        <f t="shared" si="3"/>
        <v>#DIV/0!</v>
      </c>
    </row>
    <row r="203" spans="8:8" x14ac:dyDescent="0.25">
      <c r="H203" s="51" t="e">
        <f t="shared" si="3"/>
        <v>#DIV/0!</v>
      </c>
    </row>
    <row r="204" spans="8:8" x14ac:dyDescent="0.25">
      <c r="H204" s="51" t="e">
        <f t="shared" si="3"/>
        <v>#DIV/0!</v>
      </c>
    </row>
    <row r="205" spans="8:8" x14ac:dyDescent="0.25">
      <c r="H205" s="51" t="e">
        <f t="shared" si="3"/>
        <v>#DIV/0!</v>
      </c>
    </row>
    <row r="206" spans="8:8" x14ac:dyDescent="0.25">
      <c r="H206" s="51" t="e">
        <f t="shared" si="3"/>
        <v>#DIV/0!</v>
      </c>
    </row>
    <row r="207" spans="8:8" x14ac:dyDescent="0.25">
      <c r="H207" s="51" t="e">
        <f t="shared" si="3"/>
        <v>#DIV/0!</v>
      </c>
    </row>
    <row r="208" spans="8:8" x14ac:dyDescent="0.25">
      <c r="H208" s="51" t="e">
        <f t="shared" si="3"/>
        <v>#DIV/0!</v>
      </c>
    </row>
    <row r="209" spans="8:8" x14ac:dyDescent="0.25">
      <c r="H209" s="51" t="e">
        <f t="shared" si="3"/>
        <v>#DIV/0!</v>
      </c>
    </row>
    <row r="210" spans="8:8" x14ac:dyDescent="0.25">
      <c r="H210" s="51" t="e">
        <f t="shared" si="3"/>
        <v>#DIV/0!</v>
      </c>
    </row>
    <row r="211" spans="8:8" x14ac:dyDescent="0.25">
      <c r="H211" s="51" t="e">
        <f t="shared" si="3"/>
        <v>#DIV/0!</v>
      </c>
    </row>
    <row r="212" spans="8:8" x14ac:dyDescent="0.25">
      <c r="H212" s="51" t="e">
        <f t="shared" si="3"/>
        <v>#DIV/0!</v>
      </c>
    </row>
    <row r="213" spans="8:8" x14ac:dyDescent="0.25">
      <c r="H213" s="51" t="e">
        <f t="shared" si="3"/>
        <v>#DIV/0!</v>
      </c>
    </row>
    <row r="214" spans="8:8" x14ac:dyDescent="0.25">
      <c r="H214" s="51" t="e">
        <f t="shared" si="3"/>
        <v>#DIV/0!</v>
      </c>
    </row>
    <row r="215" spans="8:8" x14ac:dyDescent="0.25">
      <c r="H215" s="51" t="e">
        <f t="shared" si="3"/>
        <v>#DIV/0!</v>
      </c>
    </row>
    <row r="216" spans="8:8" x14ac:dyDescent="0.25">
      <c r="H216" s="51" t="e">
        <f t="shared" si="3"/>
        <v>#DIV/0!</v>
      </c>
    </row>
    <row r="217" spans="8:8" x14ac:dyDescent="0.25">
      <c r="H217" s="51" t="e">
        <f t="shared" si="3"/>
        <v>#DIV/0!</v>
      </c>
    </row>
    <row r="218" spans="8:8" x14ac:dyDescent="0.25">
      <c r="H218" s="51" t="e">
        <f t="shared" si="3"/>
        <v>#DIV/0!</v>
      </c>
    </row>
    <row r="219" spans="8:8" x14ac:dyDescent="0.25">
      <c r="H219" s="51" t="e">
        <f t="shared" si="3"/>
        <v>#DIV/0!</v>
      </c>
    </row>
    <row r="220" spans="8:8" x14ac:dyDescent="0.25">
      <c r="H220" s="51" t="e">
        <f t="shared" si="3"/>
        <v>#DIV/0!</v>
      </c>
    </row>
    <row r="221" spans="8:8" x14ac:dyDescent="0.25">
      <c r="H221" s="51" t="e">
        <f t="shared" si="3"/>
        <v>#DIV/0!</v>
      </c>
    </row>
    <row r="222" spans="8:8" x14ac:dyDescent="0.25">
      <c r="H222" s="51" t="e">
        <f t="shared" si="3"/>
        <v>#DIV/0!</v>
      </c>
    </row>
    <row r="223" spans="8:8" x14ac:dyDescent="0.25">
      <c r="H223" s="51" t="e">
        <f t="shared" si="3"/>
        <v>#DIV/0!</v>
      </c>
    </row>
    <row r="224" spans="8:8" x14ac:dyDescent="0.25">
      <c r="H224" s="51" t="e">
        <f t="shared" si="3"/>
        <v>#DIV/0!</v>
      </c>
    </row>
    <row r="225" spans="8:8" x14ac:dyDescent="0.25">
      <c r="H225" s="51" t="e">
        <f t="shared" si="3"/>
        <v>#DIV/0!</v>
      </c>
    </row>
    <row r="226" spans="8:8" x14ac:dyDescent="0.25">
      <c r="H226" s="51" t="e">
        <f t="shared" si="3"/>
        <v>#DIV/0!</v>
      </c>
    </row>
    <row r="227" spans="8:8" x14ac:dyDescent="0.25">
      <c r="H227" s="51" t="e">
        <f t="shared" si="3"/>
        <v>#DIV/0!</v>
      </c>
    </row>
    <row r="228" spans="8:8" x14ac:dyDescent="0.25">
      <c r="H228" s="51" t="e">
        <f t="shared" si="3"/>
        <v>#DIV/0!</v>
      </c>
    </row>
    <row r="229" spans="8:8" x14ac:dyDescent="0.25">
      <c r="H229" s="51" t="e">
        <f t="shared" si="3"/>
        <v>#DIV/0!</v>
      </c>
    </row>
    <row r="230" spans="8:8" x14ac:dyDescent="0.25">
      <c r="H230" s="51" t="e">
        <f t="shared" si="3"/>
        <v>#DIV/0!</v>
      </c>
    </row>
    <row r="231" spans="8:8" x14ac:dyDescent="0.25">
      <c r="H231" s="51" t="e">
        <f t="shared" si="3"/>
        <v>#DIV/0!</v>
      </c>
    </row>
    <row r="232" spans="8:8" x14ac:dyDescent="0.25">
      <c r="H232" s="51" t="e">
        <f t="shared" si="3"/>
        <v>#DIV/0!</v>
      </c>
    </row>
    <row r="233" spans="8:8" x14ac:dyDescent="0.25">
      <c r="H233" s="51" t="e">
        <f t="shared" si="3"/>
        <v>#DIV/0!</v>
      </c>
    </row>
    <row r="234" spans="8:8" x14ac:dyDescent="0.25">
      <c r="H234" s="51" t="e">
        <f t="shared" si="3"/>
        <v>#DIV/0!</v>
      </c>
    </row>
    <row r="235" spans="8:8" x14ac:dyDescent="0.25">
      <c r="H235" s="51" t="e">
        <f t="shared" si="3"/>
        <v>#DIV/0!</v>
      </c>
    </row>
    <row r="236" spans="8:8" x14ac:dyDescent="0.25">
      <c r="H236" s="51" t="e">
        <f t="shared" si="3"/>
        <v>#DIV/0!</v>
      </c>
    </row>
    <row r="237" spans="8:8" x14ac:dyDescent="0.25">
      <c r="H237" s="51" t="e">
        <f t="shared" si="3"/>
        <v>#DIV/0!</v>
      </c>
    </row>
    <row r="238" spans="8:8" x14ac:dyDescent="0.25">
      <c r="H238" s="51" t="e">
        <f t="shared" si="3"/>
        <v>#DIV/0!</v>
      </c>
    </row>
    <row r="239" spans="8:8" x14ac:dyDescent="0.25">
      <c r="H239" s="51" t="e">
        <f t="shared" si="3"/>
        <v>#DIV/0!</v>
      </c>
    </row>
    <row r="240" spans="8:8" x14ac:dyDescent="0.25">
      <c r="H240" s="51" t="e">
        <f t="shared" si="3"/>
        <v>#DIV/0!</v>
      </c>
    </row>
    <row r="241" spans="8:8" x14ac:dyDescent="0.25">
      <c r="H241" s="51" t="e">
        <f t="shared" si="3"/>
        <v>#DIV/0!</v>
      </c>
    </row>
    <row r="242" spans="8:8" x14ac:dyDescent="0.25">
      <c r="H242" s="51" t="e">
        <f t="shared" si="3"/>
        <v>#DIV/0!</v>
      </c>
    </row>
    <row r="243" spans="8:8" x14ac:dyDescent="0.25">
      <c r="H243" s="51" t="e">
        <f t="shared" si="3"/>
        <v>#DIV/0!</v>
      </c>
    </row>
    <row r="244" spans="8:8" x14ac:dyDescent="0.25">
      <c r="H244" s="51" t="e">
        <f t="shared" si="3"/>
        <v>#DIV/0!</v>
      </c>
    </row>
    <row r="245" spans="8:8" x14ac:dyDescent="0.25">
      <c r="H245" s="51" t="e">
        <f t="shared" si="3"/>
        <v>#DIV/0!</v>
      </c>
    </row>
    <row r="246" spans="8:8" x14ac:dyDescent="0.25">
      <c r="H246" s="51" t="e">
        <f t="shared" si="3"/>
        <v>#DIV/0!</v>
      </c>
    </row>
    <row r="247" spans="8:8" x14ac:dyDescent="0.25">
      <c r="H247" s="51" t="e">
        <f t="shared" si="3"/>
        <v>#DIV/0!</v>
      </c>
    </row>
    <row r="248" spans="8:8" x14ac:dyDescent="0.25">
      <c r="H248" s="51" t="e">
        <f t="shared" si="3"/>
        <v>#DIV/0!</v>
      </c>
    </row>
    <row r="249" spans="8:8" x14ac:dyDescent="0.25">
      <c r="H249" s="51" t="e">
        <f t="shared" si="3"/>
        <v>#DIV/0!</v>
      </c>
    </row>
    <row r="250" spans="8:8" x14ac:dyDescent="0.25">
      <c r="H250" s="51" t="e">
        <f t="shared" si="3"/>
        <v>#DIV/0!</v>
      </c>
    </row>
    <row r="251" spans="8:8" x14ac:dyDescent="0.25">
      <c r="H251" s="51" t="e">
        <f t="shared" si="3"/>
        <v>#DIV/0!</v>
      </c>
    </row>
    <row r="252" spans="8:8" x14ac:dyDescent="0.25">
      <c r="H252" s="51" t="e">
        <f t="shared" si="3"/>
        <v>#DIV/0!</v>
      </c>
    </row>
    <row r="253" spans="8:8" x14ac:dyDescent="0.25">
      <c r="H253" s="51" t="e">
        <f t="shared" si="3"/>
        <v>#DIV/0!</v>
      </c>
    </row>
    <row r="254" spans="8:8" x14ac:dyDescent="0.25">
      <c r="H254" s="51" t="e">
        <f t="shared" si="3"/>
        <v>#DIV/0!</v>
      </c>
    </row>
    <row r="255" spans="8:8" x14ac:dyDescent="0.25">
      <c r="H255" s="51" t="e">
        <f t="shared" si="3"/>
        <v>#DIV/0!</v>
      </c>
    </row>
    <row r="256" spans="8:8" x14ac:dyDescent="0.25">
      <c r="H256" s="51" t="e">
        <f t="shared" si="3"/>
        <v>#DIV/0!</v>
      </c>
    </row>
    <row r="257" spans="8:8" x14ac:dyDescent="0.25">
      <c r="H257" s="51" t="e">
        <f t="shared" si="3"/>
        <v>#DIV/0!</v>
      </c>
    </row>
    <row r="258" spans="8:8" x14ac:dyDescent="0.25">
      <c r="H258" s="51" t="e">
        <f t="shared" si="3"/>
        <v>#DIV/0!</v>
      </c>
    </row>
    <row r="259" spans="8:8" x14ac:dyDescent="0.25">
      <c r="H259" s="51" t="e">
        <f t="shared" ref="H259:H322" si="4">(G259-G258)/G258</f>
        <v>#DIV/0!</v>
      </c>
    </row>
    <row r="260" spans="8:8" x14ac:dyDescent="0.25">
      <c r="H260" s="51" t="e">
        <f t="shared" si="4"/>
        <v>#DIV/0!</v>
      </c>
    </row>
    <row r="261" spans="8:8" x14ac:dyDescent="0.25">
      <c r="H261" s="51" t="e">
        <f t="shared" si="4"/>
        <v>#DIV/0!</v>
      </c>
    </row>
    <row r="262" spans="8:8" x14ac:dyDescent="0.25">
      <c r="H262" s="51" t="e">
        <f t="shared" si="4"/>
        <v>#DIV/0!</v>
      </c>
    </row>
    <row r="263" spans="8:8" x14ac:dyDescent="0.25">
      <c r="H263" s="51" t="e">
        <f t="shared" si="4"/>
        <v>#DIV/0!</v>
      </c>
    </row>
    <row r="264" spans="8:8" x14ac:dyDescent="0.25">
      <c r="H264" s="51" t="e">
        <f t="shared" si="4"/>
        <v>#DIV/0!</v>
      </c>
    </row>
    <row r="265" spans="8:8" x14ac:dyDescent="0.25">
      <c r="H265" s="51" t="e">
        <f t="shared" si="4"/>
        <v>#DIV/0!</v>
      </c>
    </row>
    <row r="266" spans="8:8" x14ac:dyDescent="0.25">
      <c r="H266" s="51" t="e">
        <f t="shared" si="4"/>
        <v>#DIV/0!</v>
      </c>
    </row>
    <row r="267" spans="8:8" x14ac:dyDescent="0.25">
      <c r="H267" s="51" t="e">
        <f t="shared" si="4"/>
        <v>#DIV/0!</v>
      </c>
    </row>
    <row r="268" spans="8:8" x14ac:dyDescent="0.25">
      <c r="H268" s="51" t="e">
        <f t="shared" si="4"/>
        <v>#DIV/0!</v>
      </c>
    </row>
    <row r="269" spans="8:8" x14ac:dyDescent="0.25">
      <c r="H269" s="51" t="e">
        <f t="shared" si="4"/>
        <v>#DIV/0!</v>
      </c>
    </row>
    <row r="270" spans="8:8" x14ac:dyDescent="0.25">
      <c r="H270" s="51" t="e">
        <f t="shared" si="4"/>
        <v>#DIV/0!</v>
      </c>
    </row>
    <row r="271" spans="8:8" x14ac:dyDescent="0.25">
      <c r="H271" s="51" t="e">
        <f t="shared" si="4"/>
        <v>#DIV/0!</v>
      </c>
    </row>
    <row r="272" spans="8:8" x14ac:dyDescent="0.25">
      <c r="H272" s="51" t="e">
        <f t="shared" si="4"/>
        <v>#DIV/0!</v>
      </c>
    </row>
    <row r="273" spans="8:8" x14ac:dyDescent="0.25">
      <c r="H273" s="51" t="e">
        <f t="shared" si="4"/>
        <v>#DIV/0!</v>
      </c>
    </row>
    <row r="274" spans="8:8" x14ac:dyDescent="0.25">
      <c r="H274" s="51" t="e">
        <f t="shared" si="4"/>
        <v>#DIV/0!</v>
      </c>
    </row>
    <row r="275" spans="8:8" x14ac:dyDescent="0.25">
      <c r="H275" s="51" t="e">
        <f t="shared" si="4"/>
        <v>#DIV/0!</v>
      </c>
    </row>
    <row r="276" spans="8:8" x14ac:dyDescent="0.25">
      <c r="H276" s="51" t="e">
        <f t="shared" si="4"/>
        <v>#DIV/0!</v>
      </c>
    </row>
    <row r="277" spans="8:8" x14ac:dyDescent="0.25">
      <c r="H277" s="51" t="e">
        <f t="shared" si="4"/>
        <v>#DIV/0!</v>
      </c>
    </row>
    <row r="278" spans="8:8" x14ac:dyDescent="0.25">
      <c r="H278" s="51" t="e">
        <f t="shared" si="4"/>
        <v>#DIV/0!</v>
      </c>
    </row>
    <row r="279" spans="8:8" x14ac:dyDescent="0.25">
      <c r="H279" s="51" t="e">
        <f t="shared" si="4"/>
        <v>#DIV/0!</v>
      </c>
    </row>
    <row r="280" spans="8:8" x14ac:dyDescent="0.25">
      <c r="H280" s="51" t="e">
        <f t="shared" si="4"/>
        <v>#DIV/0!</v>
      </c>
    </row>
    <row r="281" spans="8:8" x14ac:dyDescent="0.25">
      <c r="H281" s="51" t="e">
        <f t="shared" si="4"/>
        <v>#DIV/0!</v>
      </c>
    </row>
    <row r="282" spans="8:8" x14ac:dyDescent="0.25">
      <c r="H282" s="51" t="e">
        <f t="shared" si="4"/>
        <v>#DIV/0!</v>
      </c>
    </row>
    <row r="283" spans="8:8" x14ac:dyDescent="0.25">
      <c r="H283" s="51" t="e">
        <f t="shared" si="4"/>
        <v>#DIV/0!</v>
      </c>
    </row>
    <row r="284" spans="8:8" x14ac:dyDescent="0.25">
      <c r="H284" s="51" t="e">
        <f t="shared" si="4"/>
        <v>#DIV/0!</v>
      </c>
    </row>
    <row r="285" spans="8:8" x14ac:dyDescent="0.25">
      <c r="H285" s="51" t="e">
        <f t="shared" si="4"/>
        <v>#DIV/0!</v>
      </c>
    </row>
    <row r="286" spans="8:8" x14ac:dyDescent="0.25">
      <c r="H286" s="51" t="e">
        <f t="shared" si="4"/>
        <v>#DIV/0!</v>
      </c>
    </row>
    <row r="287" spans="8:8" x14ac:dyDescent="0.25">
      <c r="H287" s="51" t="e">
        <f t="shared" si="4"/>
        <v>#DIV/0!</v>
      </c>
    </row>
    <row r="288" spans="8:8" x14ac:dyDescent="0.25">
      <c r="H288" s="51" t="e">
        <f t="shared" si="4"/>
        <v>#DIV/0!</v>
      </c>
    </row>
    <row r="289" spans="8:8" x14ac:dyDescent="0.25">
      <c r="H289" s="51" t="e">
        <f t="shared" si="4"/>
        <v>#DIV/0!</v>
      </c>
    </row>
    <row r="290" spans="8:8" x14ac:dyDescent="0.25">
      <c r="H290" s="51" t="e">
        <f t="shared" si="4"/>
        <v>#DIV/0!</v>
      </c>
    </row>
    <row r="291" spans="8:8" x14ac:dyDescent="0.25">
      <c r="H291" s="51" t="e">
        <f t="shared" si="4"/>
        <v>#DIV/0!</v>
      </c>
    </row>
    <row r="292" spans="8:8" x14ac:dyDescent="0.25">
      <c r="H292" s="51" t="e">
        <f t="shared" si="4"/>
        <v>#DIV/0!</v>
      </c>
    </row>
    <row r="293" spans="8:8" x14ac:dyDescent="0.25">
      <c r="H293" s="51" t="e">
        <f t="shared" si="4"/>
        <v>#DIV/0!</v>
      </c>
    </row>
    <row r="294" spans="8:8" x14ac:dyDescent="0.25">
      <c r="H294" s="51" t="e">
        <f t="shared" si="4"/>
        <v>#DIV/0!</v>
      </c>
    </row>
    <row r="295" spans="8:8" x14ac:dyDescent="0.25">
      <c r="H295" s="51" t="e">
        <f t="shared" si="4"/>
        <v>#DIV/0!</v>
      </c>
    </row>
    <row r="296" spans="8:8" x14ac:dyDescent="0.25">
      <c r="H296" s="51" t="e">
        <f t="shared" si="4"/>
        <v>#DIV/0!</v>
      </c>
    </row>
    <row r="297" spans="8:8" x14ac:dyDescent="0.25">
      <c r="H297" s="51" t="e">
        <f t="shared" si="4"/>
        <v>#DIV/0!</v>
      </c>
    </row>
    <row r="298" spans="8:8" x14ac:dyDescent="0.25">
      <c r="H298" s="51" t="e">
        <f t="shared" si="4"/>
        <v>#DIV/0!</v>
      </c>
    </row>
    <row r="299" spans="8:8" x14ac:dyDescent="0.25">
      <c r="H299" s="51" t="e">
        <f t="shared" si="4"/>
        <v>#DIV/0!</v>
      </c>
    </row>
    <row r="300" spans="8:8" x14ac:dyDescent="0.25">
      <c r="H300" s="51" t="e">
        <f t="shared" si="4"/>
        <v>#DIV/0!</v>
      </c>
    </row>
    <row r="301" spans="8:8" x14ac:dyDescent="0.25">
      <c r="H301" s="51" t="e">
        <f t="shared" si="4"/>
        <v>#DIV/0!</v>
      </c>
    </row>
    <row r="302" spans="8:8" x14ac:dyDescent="0.25">
      <c r="H302" s="51" t="e">
        <f t="shared" si="4"/>
        <v>#DIV/0!</v>
      </c>
    </row>
    <row r="303" spans="8:8" x14ac:dyDescent="0.25">
      <c r="H303" s="51" t="e">
        <f t="shared" si="4"/>
        <v>#DIV/0!</v>
      </c>
    </row>
    <row r="304" spans="8:8" x14ac:dyDescent="0.25">
      <c r="H304" s="51" t="e">
        <f t="shared" si="4"/>
        <v>#DIV/0!</v>
      </c>
    </row>
    <row r="305" spans="8:8" x14ac:dyDescent="0.25">
      <c r="H305" s="51" t="e">
        <f t="shared" si="4"/>
        <v>#DIV/0!</v>
      </c>
    </row>
    <row r="306" spans="8:8" x14ac:dyDescent="0.25">
      <c r="H306" s="51" t="e">
        <f t="shared" si="4"/>
        <v>#DIV/0!</v>
      </c>
    </row>
    <row r="307" spans="8:8" x14ac:dyDescent="0.25">
      <c r="H307" s="51" t="e">
        <f t="shared" si="4"/>
        <v>#DIV/0!</v>
      </c>
    </row>
    <row r="308" spans="8:8" x14ac:dyDescent="0.25">
      <c r="H308" s="51" t="e">
        <f t="shared" si="4"/>
        <v>#DIV/0!</v>
      </c>
    </row>
    <row r="309" spans="8:8" x14ac:dyDescent="0.25">
      <c r="H309" s="51" t="e">
        <f t="shared" si="4"/>
        <v>#DIV/0!</v>
      </c>
    </row>
    <row r="310" spans="8:8" x14ac:dyDescent="0.25">
      <c r="H310" s="51" t="e">
        <f t="shared" si="4"/>
        <v>#DIV/0!</v>
      </c>
    </row>
    <row r="311" spans="8:8" x14ac:dyDescent="0.25">
      <c r="H311" s="51" t="e">
        <f t="shared" si="4"/>
        <v>#DIV/0!</v>
      </c>
    </row>
    <row r="312" spans="8:8" x14ac:dyDescent="0.25">
      <c r="H312" s="51" t="e">
        <f t="shared" si="4"/>
        <v>#DIV/0!</v>
      </c>
    </row>
    <row r="313" spans="8:8" x14ac:dyDescent="0.25">
      <c r="H313" s="51" t="e">
        <f t="shared" si="4"/>
        <v>#DIV/0!</v>
      </c>
    </row>
    <row r="314" spans="8:8" x14ac:dyDescent="0.25">
      <c r="H314" s="51" t="e">
        <f t="shared" si="4"/>
        <v>#DIV/0!</v>
      </c>
    </row>
    <row r="315" spans="8:8" x14ac:dyDescent="0.25">
      <c r="H315" s="51" t="e">
        <f t="shared" si="4"/>
        <v>#DIV/0!</v>
      </c>
    </row>
    <row r="316" spans="8:8" x14ac:dyDescent="0.25">
      <c r="H316" s="51" t="e">
        <f t="shared" si="4"/>
        <v>#DIV/0!</v>
      </c>
    </row>
    <row r="317" spans="8:8" x14ac:dyDescent="0.25">
      <c r="H317" s="51" t="e">
        <f t="shared" si="4"/>
        <v>#DIV/0!</v>
      </c>
    </row>
    <row r="318" spans="8:8" x14ac:dyDescent="0.25">
      <c r="H318" s="51" t="e">
        <f t="shared" si="4"/>
        <v>#DIV/0!</v>
      </c>
    </row>
    <row r="319" spans="8:8" x14ac:dyDescent="0.25">
      <c r="H319" s="51" t="e">
        <f t="shared" si="4"/>
        <v>#DIV/0!</v>
      </c>
    </row>
    <row r="320" spans="8:8" x14ac:dyDescent="0.25">
      <c r="H320" s="51" t="e">
        <f t="shared" si="4"/>
        <v>#DIV/0!</v>
      </c>
    </row>
    <row r="321" spans="8:8" x14ac:dyDescent="0.25">
      <c r="H321" s="51" t="e">
        <f t="shared" si="4"/>
        <v>#DIV/0!</v>
      </c>
    </row>
    <row r="322" spans="8:8" x14ac:dyDescent="0.25">
      <c r="H322" s="51" t="e">
        <f t="shared" si="4"/>
        <v>#DIV/0!</v>
      </c>
    </row>
    <row r="323" spans="8:8" x14ac:dyDescent="0.25">
      <c r="H323" s="51" t="e">
        <f t="shared" ref="H323:H386" si="5">(G323-G322)/G322</f>
        <v>#DIV/0!</v>
      </c>
    </row>
    <row r="324" spans="8:8" x14ac:dyDescent="0.25">
      <c r="H324" s="51" t="e">
        <f t="shared" si="5"/>
        <v>#DIV/0!</v>
      </c>
    </row>
    <row r="325" spans="8:8" x14ac:dyDescent="0.25">
      <c r="H325" s="51" t="e">
        <f t="shared" si="5"/>
        <v>#DIV/0!</v>
      </c>
    </row>
    <row r="326" spans="8:8" x14ac:dyDescent="0.25">
      <c r="H326" s="51" t="e">
        <f t="shared" si="5"/>
        <v>#DIV/0!</v>
      </c>
    </row>
    <row r="327" spans="8:8" x14ac:dyDescent="0.25">
      <c r="H327" s="51" t="e">
        <f t="shared" si="5"/>
        <v>#DIV/0!</v>
      </c>
    </row>
    <row r="328" spans="8:8" x14ac:dyDescent="0.25">
      <c r="H328" s="51" t="e">
        <f t="shared" si="5"/>
        <v>#DIV/0!</v>
      </c>
    </row>
    <row r="329" spans="8:8" x14ac:dyDescent="0.25">
      <c r="H329" s="51" t="e">
        <f t="shared" si="5"/>
        <v>#DIV/0!</v>
      </c>
    </row>
    <row r="330" spans="8:8" x14ac:dyDescent="0.25">
      <c r="H330" s="51" t="e">
        <f t="shared" si="5"/>
        <v>#DIV/0!</v>
      </c>
    </row>
    <row r="331" spans="8:8" x14ac:dyDescent="0.25">
      <c r="H331" s="51" t="e">
        <f t="shared" si="5"/>
        <v>#DIV/0!</v>
      </c>
    </row>
    <row r="332" spans="8:8" x14ac:dyDescent="0.25">
      <c r="H332" s="51" t="e">
        <f t="shared" si="5"/>
        <v>#DIV/0!</v>
      </c>
    </row>
    <row r="333" spans="8:8" x14ac:dyDescent="0.25">
      <c r="H333" s="51" t="e">
        <f t="shared" si="5"/>
        <v>#DIV/0!</v>
      </c>
    </row>
    <row r="334" spans="8:8" x14ac:dyDescent="0.25">
      <c r="H334" s="51" t="e">
        <f t="shared" si="5"/>
        <v>#DIV/0!</v>
      </c>
    </row>
    <row r="335" spans="8:8" x14ac:dyDescent="0.25">
      <c r="H335" s="51" t="e">
        <f t="shared" si="5"/>
        <v>#DIV/0!</v>
      </c>
    </row>
    <row r="336" spans="8:8" x14ac:dyDescent="0.25">
      <c r="H336" s="51" t="e">
        <f t="shared" si="5"/>
        <v>#DIV/0!</v>
      </c>
    </row>
    <row r="337" spans="8:8" x14ac:dyDescent="0.25">
      <c r="H337" s="51" t="e">
        <f t="shared" si="5"/>
        <v>#DIV/0!</v>
      </c>
    </row>
    <row r="338" spans="8:8" x14ac:dyDescent="0.25">
      <c r="H338" s="51" t="e">
        <f t="shared" si="5"/>
        <v>#DIV/0!</v>
      </c>
    </row>
    <row r="339" spans="8:8" x14ac:dyDescent="0.25">
      <c r="H339" s="51" t="e">
        <f t="shared" si="5"/>
        <v>#DIV/0!</v>
      </c>
    </row>
    <row r="340" spans="8:8" x14ac:dyDescent="0.25">
      <c r="H340" s="51" t="e">
        <f t="shared" si="5"/>
        <v>#DIV/0!</v>
      </c>
    </row>
    <row r="341" spans="8:8" x14ac:dyDescent="0.25">
      <c r="H341" s="51" t="e">
        <f t="shared" si="5"/>
        <v>#DIV/0!</v>
      </c>
    </row>
    <row r="342" spans="8:8" x14ac:dyDescent="0.25">
      <c r="H342" s="51" t="e">
        <f t="shared" si="5"/>
        <v>#DIV/0!</v>
      </c>
    </row>
    <row r="343" spans="8:8" x14ac:dyDescent="0.25">
      <c r="H343" s="51" t="e">
        <f t="shared" si="5"/>
        <v>#DIV/0!</v>
      </c>
    </row>
    <row r="344" spans="8:8" x14ac:dyDescent="0.25">
      <c r="H344" s="51" t="e">
        <f t="shared" si="5"/>
        <v>#DIV/0!</v>
      </c>
    </row>
    <row r="345" spans="8:8" x14ac:dyDescent="0.25">
      <c r="H345" s="51" t="e">
        <f t="shared" si="5"/>
        <v>#DIV/0!</v>
      </c>
    </row>
    <row r="346" spans="8:8" x14ac:dyDescent="0.25">
      <c r="H346" s="51" t="e">
        <f t="shared" si="5"/>
        <v>#DIV/0!</v>
      </c>
    </row>
    <row r="347" spans="8:8" x14ac:dyDescent="0.25">
      <c r="H347" s="51" t="e">
        <f t="shared" si="5"/>
        <v>#DIV/0!</v>
      </c>
    </row>
    <row r="348" spans="8:8" x14ac:dyDescent="0.25">
      <c r="H348" s="51" t="e">
        <f t="shared" si="5"/>
        <v>#DIV/0!</v>
      </c>
    </row>
    <row r="349" spans="8:8" x14ac:dyDescent="0.25">
      <c r="H349" s="51" t="e">
        <f t="shared" si="5"/>
        <v>#DIV/0!</v>
      </c>
    </row>
    <row r="350" spans="8:8" x14ac:dyDescent="0.25">
      <c r="H350" s="51" t="e">
        <f t="shared" si="5"/>
        <v>#DIV/0!</v>
      </c>
    </row>
    <row r="351" spans="8:8" x14ac:dyDescent="0.25">
      <c r="H351" s="51" t="e">
        <f t="shared" si="5"/>
        <v>#DIV/0!</v>
      </c>
    </row>
    <row r="352" spans="8:8" x14ac:dyDescent="0.25">
      <c r="H352" s="51" t="e">
        <f t="shared" si="5"/>
        <v>#DIV/0!</v>
      </c>
    </row>
    <row r="353" spans="8:8" x14ac:dyDescent="0.25">
      <c r="H353" s="51" t="e">
        <f t="shared" si="5"/>
        <v>#DIV/0!</v>
      </c>
    </row>
    <row r="354" spans="8:8" x14ac:dyDescent="0.25">
      <c r="H354" s="51" t="e">
        <f t="shared" si="5"/>
        <v>#DIV/0!</v>
      </c>
    </row>
    <row r="355" spans="8:8" x14ac:dyDescent="0.25">
      <c r="H355" s="51" t="e">
        <f t="shared" si="5"/>
        <v>#DIV/0!</v>
      </c>
    </row>
    <row r="356" spans="8:8" x14ac:dyDescent="0.25">
      <c r="H356" s="51" t="e">
        <f t="shared" si="5"/>
        <v>#DIV/0!</v>
      </c>
    </row>
    <row r="357" spans="8:8" x14ac:dyDescent="0.25">
      <c r="H357" s="51" t="e">
        <f t="shared" si="5"/>
        <v>#DIV/0!</v>
      </c>
    </row>
    <row r="358" spans="8:8" x14ac:dyDescent="0.25">
      <c r="H358" s="51" t="e">
        <f t="shared" si="5"/>
        <v>#DIV/0!</v>
      </c>
    </row>
    <row r="359" spans="8:8" x14ac:dyDescent="0.25">
      <c r="H359" s="51" t="e">
        <f t="shared" si="5"/>
        <v>#DIV/0!</v>
      </c>
    </row>
    <row r="360" spans="8:8" x14ac:dyDescent="0.25">
      <c r="H360" s="51" t="e">
        <f t="shared" si="5"/>
        <v>#DIV/0!</v>
      </c>
    </row>
    <row r="361" spans="8:8" x14ac:dyDescent="0.25">
      <c r="H361" s="51" t="e">
        <f t="shared" si="5"/>
        <v>#DIV/0!</v>
      </c>
    </row>
    <row r="362" spans="8:8" x14ac:dyDescent="0.25">
      <c r="H362" s="51" t="e">
        <f t="shared" si="5"/>
        <v>#DIV/0!</v>
      </c>
    </row>
    <row r="363" spans="8:8" x14ac:dyDescent="0.25">
      <c r="H363" s="51" t="e">
        <f t="shared" si="5"/>
        <v>#DIV/0!</v>
      </c>
    </row>
    <row r="364" spans="8:8" x14ac:dyDescent="0.25">
      <c r="H364" s="51" t="e">
        <f t="shared" si="5"/>
        <v>#DIV/0!</v>
      </c>
    </row>
    <row r="365" spans="8:8" x14ac:dyDescent="0.25">
      <c r="H365" s="51" t="e">
        <f t="shared" si="5"/>
        <v>#DIV/0!</v>
      </c>
    </row>
    <row r="366" spans="8:8" x14ac:dyDescent="0.25">
      <c r="H366" s="51" t="e">
        <f t="shared" si="5"/>
        <v>#DIV/0!</v>
      </c>
    </row>
    <row r="367" spans="8:8" x14ac:dyDescent="0.25">
      <c r="H367" s="51" t="e">
        <f t="shared" si="5"/>
        <v>#DIV/0!</v>
      </c>
    </row>
    <row r="368" spans="8:8" x14ac:dyDescent="0.25">
      <c r="H368" s="51" t="e">
        <f t="shared" si="5"/>
        <v>#DIV/0!</v>
      </c>
    </row>
    <row r="369" spans="8:8" x14ac:dyDescent="0.25">
      <c r="H369" s="51" t="e">
        <f t="shared" si="5"/>
        <v>#DIV/0!</v>
      </c>
    </row>
    <row r="370" spans="8:8" x14ac:dyDescent="0.25">
      <c r="H370" s="51" t="e">
        <f t="shared" si="5"/>
        <v>#DIV/0!</v>
      </c>
    </row>
    <row r="371" spans="8:8" x14ac:dyDescent="0.25">
      <c r="H371" s="51" t="e">
        <f t="shared" si="5"/>
        <v>#DIV/0!</v>
      </c>
    </row>
    <row r="372" spans="8:8" x14ac:dyDescent="0.25">
      <c r="H372" s="51" t="e">
        <f t="shared" si="5"/>
        <v>#DIV/0!</v>
      </c>
    </row>
    <row r="373" spans="8:8" x14ac:dyDescent="0.25">
      <c r="H373" s="51" t="e">
        <f t="shared" si="5"/>
        <v>#DIV/0!</v>
      </c>
    </row>
    <row r="374" spans="8:8" x14ac:dyDescent="0.25">
      <c r="H374" s="51" t="e">
        <f t="shared" si="5"/>
        <v>#DIV/0!</v>
      </c>
    </row>
    <row r="375" spans="8:8" x14ac:dyDescent="0.25">
      <c r="H375" s="51" t="e">
        <f t="shared" si="5"/>
        <v>#DIV/0!</v>
      </c>
    </row>
    <row r="376" spans="8:8" x14ac:dyDescent="0.25">
      <c r="H376" s="51" t="e">
        <f t="shared" si="5"/>
        <v>#DIV/0!</v>
      </c>
    </row>
    <row r="377" spans="8:8" x14ac:dyDescent="0.25">
      <c r="H377" s="51" t="e">
        <f t="shared" si="5"/>
        <v>#DIV/0!</v>
      </c>
    </row>
    <row r="378" spans="8:8" x14ac:dyDescent="0.25">
      <c r="H378" s="51" t="e">
        <f t="shared" si="5"/>
        <v>#DIV/0!</v>
      </c>
    </row>
    <row r="379" spans="8:8" x14ac:dyDescent="0.25">
      <c r="H379" s="51" t="e">
        <f t="shared" si="5"/>
        <v>#DIV/0!</v>
      </c>
    </row>
    <row r="380" spans="8:8" x14ac:dyDescent="0.25">
      <c r="H380" s="51" t="e">
        <f t="shared" si="5"/>
        <v>#DIV/0!</v>
      </c>
    </row>
    <row r="381" spans="8:8" x14ac:dyDescent="0.25">
      <c r="H381" s="51" t="e">
        <f t="shared" si="5"/>
        <v>#DIV/0!</v>
      </c>
    </row>
    <row r="382" spans="8:8" x14ac:dyDescent="0.25">
      <c r="H382" s="51" t="e">
        <f t="shared" si="5"/>
        <v>#DIV/0!</v>
      </c>
    </row>
    <row r="383" spans="8:8" x14ac:dyDescent="0.25">
      <c r="H383" s="51" t="e">
        <f t="shared" si="5"/>
        <v>#DIV/0!</v>
      </c>
    </row>
    <row r="384" spans="8:8" x14ac:dyDescent="0.25">
      <c r="H384" s="51" t="e">
        <f t="shared" si="5"/>
        <v>#DIV/0!</v>
      </c>
    </row>
    <row r="385" spans="8:8" x14ac:dyDescent="0.25">
      <c r="H385" s="51" t="e">
        <f t="shared" si="5"/>
        <v>#DIV/0!</v>
      </c>
    </row>
    <row r="386" spans="8:8" x14ac:dyDescent="0.25">
      <c r="H386" s="51" t="e">
        <f t="shared" si="5"/>
        <v>#DIV/0!</v>
      </c>
    </row>
    <row r="387" spans="8:8" x14ac:dyDescent="0.25">
      <c r="H387" s="51" t="e">
        <f t="shared" ref="H387:H450" si="6">(G387-G386)/G386</f>
        <v>#DIV/0!</v>
      </c>
    </row>
    <row r="388" spans="8:8" x14ac:dyDescent="0.25">
      <c r="H388" s="51" t="e">
        <f t="shared" si="6"/>
        <v>#DIV/0!</v>
      </c>
    </row>
    <row r="389" spans="8:8" x14ac:dyDescent="0.25">
      <c r="H389" s="51" t="e">
        <f t="shared" si="6"/>
        <v>#DIV/0!</v>
      </c>
    </row>
    <row r="390" spans="8:8" x14ac:dyDescent="0.25">
      <c r="H390" s="51" t="e">
        <f t="shared" si="6"/>
        <v>#DIV/0!</v>
      </c>
    </row>
    <row r="391" spans="8:8" x14ac:dyDescent="0.25">
      <c r="H391" s="51" t="e">
        <f t="shared" si="6"/>
        <v>#DIV/0!</v>
      </c>
    </row>
    <row r="392" spans="8:8" x14ac:dyDescent="0.25">
      <c r="H392" s="51" t="e">
        <f t="shared" si="6"/>
        <v>#DIV/0!</v>
      </c>
    </row>
    <row r="393" spans="8:8" x14ac:dyDescent="0.25">
      <c r="H393" s="51" t="e">
        <f t="shared" si="6"/>
        <v>#DIV/0!</v>
      </c>
    </row>
    <row r="394" spans="8:8" x14ac:dyDescent="0.25">
      <c r="H394" s="51" t="e">
        <f t="shared" si="6"/>
        <v>#DIV/0!</v>
      </c>
    </row>
    <row r="395" spans="8:8" x14ac:dyDescent="0.25">
      <c r="H395" s="51" t="e">
        <f t="shared" si="6"/>
        <v>#DIV/0!</v>
      </c>
    </row>
    <row r="396" spans="8:8" x14ac:dyDescent="0.25">
      <c r="H396" s="51" t="e">
        <f t="shared" si="6"/>
        <v>#DIV/0!</v>
      </c>
    </row>
    <row r="397" spans="8:8" x14ac:dyDescent="0.25">
      <c r="H397" s="51" t="e">
        <f t="shared" si="6"/>
        <v>#DIV/0!</v>
      </c>
    </row>
    <row r="398" spans="8:8" x14ac:dyDescent="0.25">
      <c r="H398" s="51" t="e">
        <f t="shared" si="6"/>
        <v>#DIV/0!</v>
      </c>
    </row>
    <row r="399" spans="8:8" x14ac:dyDescent="0.25">
      <c r="H399" s="51" t="e">
        <f t="shared" si="6"/>
        <v>#DIV/0!</v>
      </c>
    </row>
    <row r="400" spans="8:8" x14ac:dyDescent="0.25">
      <c r="H400" s="51" t="e">
        <f t="shared" si="6"/>
        <v>#DIV/0!</v>
      </c>
    </row>
    <row r="401" spans="8:8" x14ac:dyDescent="0.25">
      <c r="H401" s="51" t="e">
        <f t="shared" si="6"/>
        <v>#DIV/0!</v>
      </c>
    </row>
    <row r="402" spans="8:8" x14ac:dyDescent="0.25">
      <c r="H402" s="51" t="e">
        <f t="shared" si="6"/>
        <v>#DIV/0!</v>
      </c>
    </row>
    <row r="403" spans="8:8" x14ac:dyDescent="0.25">
      <c r="H403" s="51" t="e">
        <f t="shared" si="6"/>
        <v>#DIV/0!</v>
      </c>
    </row>
    <row r="404" spans="8:8" x14ac:dyDescent="0.25">
      <c r="H404" s="51" t="e">
        <f t="shared" si="6"/>
        <v>#DIV/0!</v>
      </c>
    </row>
    <row r="405" spans="8:8" x14ac:dyDescent="0.25">
      <c r="H405" s="51" t="e">
        <f t="shared" si="6"/>
        <v>#DIV/0!</v>
      </c>
    </row>
    <row r="406" spans="8:8" x14ac:dyDescent="0.25">
      <c r="H406" s="51" t="e">
        <f t="shared" si="6"/>
        <v>#DIV/0!</v>
      </c>
    </row>
    <row r="407" spans="8:8" x14ac:dyDescent="0.25">
      <c r="H407" s="51" t="e">
        <f t="shared" si="6"/>
        <v>#DIV/0!</v>
      </c>
    </row>
    <row r="408" spans="8:8" x14ac:dyDescent="0.25">
      <c r="H408" s="51" t="e">
        <f t="shared" si="6"/>
        <v>#DIV/0!</v>
      </c>
    </row>
    <row r="409" spans="8:8" x14ac:dyDescent="0.25">
      <c r="H409" s="51" t="e">
        <f t="shared" si="6"/>
        <v>#DIV/0!</v>
      </c>
    </row>
    <row r="410" spans="8:8" x14ac:dyDescent="0.25">
      <c r="H410" s="51" t="e">
        <f t="shared" si="6"/>
        <v>#DIV/0!</v>
      </c>
    </row>
    <row r="411" spans="8:8" x14ac:dyDescent="0.25">
      <c r="H411" s="51" t="e">
        <f t="shared" si="6"/>
        <v>#DIV/0!</v>
      </c>
    </row>
    <row r="412" spans="8:8" x14ac:dyDescent="0.25">
      <c r="H412" s="51" t="e">
        <f t="shared" si="6"/>
        <v>#DIV/0!</v>
      </c>
    </row>
    <row r="413" spans="8:8" x14ac:dyDescent="0.25">
      <c r="H413" s="51" t="e">
        <f t="shared" si="6"/>
        <v>#DIV/0!</v>
      </c>
    </row>
    <row r="414" spans="8:8" x14ac:dyDescent="0.25">
      <c r="H414" s="51" t="e">
        <f t="shared" si="6"/>
        <v>#DIV/0!</v>
      </c>
    </row>
    <row r="415" spans="8:8" x14ac:dyDescent="0.25">
      <c r="H415" s="51" t="e">
        <f t="shared" si="6"/>
        <v>#DIV/0!</v>
      </c>
    </row>
    <row r="416" spans="8:8" x14ac:dyDescent="0.25">
      <c r="H416" s="51" t="e">
        <f t="shared" si="6"/>
        <v>#DIV/0!</v>
      </c>
    </row>
    <row r="417" spans="8:8" x14ac:dyDescent="0.25">
      <c r="H417" s="51" t="e">
        <f t="shared" si="6"/>
        <v>#DIV/0!</v>
      </c>
    </row>
    <row r="418" spans="8:8" x14ac:dyDescent="0.25">
      <c r="H418" s="51" t="e">
        <f t="shared" si="6"/>
        <v>#DIV/0!</v>
      </c>
    </row>
    <row r="419" spans="8:8" x14ac:dyDescent="0.25">
      <c r="H419" s="51" t="e">
        <f t="shared" si="6"/>
        <v>#DIV/0!</v>
      </c>
    </row>
    <row r="420" spans="8:8" x14ac:dyDescent="0.25">
      <c r="H420" s="51" t="e">
        <f t="shared" si="6"/>
        <v>#DIV/0!</v>
      </c>
    </row>
    <row r="421" spans="8:8" x14ac:dyDescent="0.25">
      <c r="H421" s="51" t="e">
        <f t="shared" si="6"/>
        <v>#DIV/0!</v>
      </c>
    </row>
    <row r="422" spans="8:8" x14ac:dyDescent="0.25">
      <c r="H422" s="51" t="e">
        <f t="shared" si="6"/>
        <v>#DIV/0!</v>
      </c>
    </row>
    <row r="423" spans="8:8" x14ac:dyDescent="0.25">
      <c r="H423" s="51" t="e">
        <f t="shared" si="6"/>
        <v>#DIV/0!</v>
      </c>
    </row>
    <row r="424" spans="8:8" x14ac:dyDescent="0.25">
      <c r="H424" s="51" t="e">
        <f t="shared" si="6"/>
        <v>#DIV/0!</v>
      </c>
    </row>
    <row r="425" spans="8:8" x14ac:dyDescent="0.25">
      <c r="H425" s="51" t="e">
        <f t="shared" si="6"/>
        <v>#DIV/0!</v>
      </c>
    </row>
    <row r="426" spans="8:8" x14ac:dyDescent="0.25">
      <c r="H426" s="51" t="e">
        <f t="shared" si="6"/>
        <v>#DIV/0!</v>
      </c>
    </row>
    <row r="427" spans="8:8" x14ac:dyDescent="0.25">
      <c r="H427" s="51" t="e">
        <f t="shared" si="6"/>
        <v>#DIV/0!</v>
      </c>
    </row>
    <row r="428" spans="8:8" x14ac:dyDescent="0.25">
      <c r="H428" s="51" t="e">
        <f t="shared" si="6"/>
        <v>#DIV/0!</v>
      </c>
    </row>
    <row r="429" spans="8:8" x14ac:dyDescent="0.25">
      <c r="H429" s="51" t="e">
        <f t="shared" si="6"/>
        <v>#DIV/0!</v>
      </c>
    </row>
    <row r="430" spans="8:8" x14ac:dyDescent="0.25">
      <c r="H430" s="51" t="e">
        <f t="shared" si="6"/>
        <v>#DIV/0!</v>
      </c>
    </row>
    <row r="431" spans="8:8" x14ac:dyDescent="0.25">
      <c r="H431" s="51" t="e">
        <f t="shared" si="6"/>
        <v>#DIV/0!</v>
      </c>
    </row>
    <row r="432" spans="8:8" x14ac:dyDescent="0.25">
      <c r="H432" s="51" t="e">
        <f t="shared" si="6"/>
        <v>#DIV/0!</v>
      </c>
    </row>
    <row r="433" spans="8:8" x14ac:dyDescent="0.25">
      <c r="H433" s="51" t="e">
        <f t="shared" si="6"/>
        <v>#DIV/0!</v>
      </c>
    </row>
    <row r="434" spans="8:8" x14ac:dyDescent="0.25">
      <c r="H434" s="51" t="e">
        <f t="shared" si="6"/>
        <v>#DIV/0!</v>
      </c>
    </row>
    <row r="435" spans="8:8" x14ac:dyDescent="0.25">
      <c r="H435" s="51" t="e">
        <f t="shared" si="6"/>
        <v>#DIV/0!</v>
      </c>
    </row>
    <row r="436" spans="8:8" x14ac:dyDescent="0.25">
      <c r="H436" s="51" t="e">
        <f t="shared" si="6"/>
        <v>#DIV/0!</v>
      </c>
    </row>
    <row r="437" spans="8:8" x14ac:dyDescent="0.25">
      <c r="H437" s="51" t="e">
        <f t="shared" si="6"/>
        <v>#DIV/0!</v>
      </c>
    </row>
    <row r="438" spans="8:8" x14ac:dyDescent="0.25">
      <c r="H438" s="51" t="e">
        <f t="shared" si="6"/>
        <v>#DIV/0!</v>
      </c>
    </row>
    <row r="439" spans="8:8" x14ac:dyDescent="0.25">
      <c r="H439" s="51" t="e">
        <f t="shared" si="6"/>
        <v>#DIV/0!</v>
      </c>
    </row>
    <row r="440" spans="8:8" x14ac:dyDescent="0.25">
      <c r="H440" s="51" t="e">
        <f t="shared" si="6"/>
        <v>#DIV/0!</v>
      </c>
    </row>
    <row r="441" spans="8:8" x14ac:dyDescent="0.25">
      <c r="H441" s="51" t="e">
        <f t="shared" si="6"/>
        <v>#DIV/0!</v>
      </c>
    </row>
    <row r="442" spans="8:8" x14ac:dyDescent="0.25">
      <c r="H442" s="51" t="e">
        <f t="shared" si="6"/>
        <v>#DIV/0!</v>
      </c>
    </row>
    <row r="443" spans="8:8" x14ac:dyDescent="0.25">
      <c r="H443" s="51" t="e">
        <f t="shared" si="6"/>
        <v>#DIV/0!</v>
      </c>
    </row>
    <row r="444" spans="8:8" x14ac:dyDescent="0.25">
      <c r="H444" s="51" t="e">
        <f t="shared" si="6"/>
        <v>#DIV/0!</v>
      </c>
    </row>
    <row r="445" spans="8:8" x14ac:dyDescent="0.25">
      <c r="H445" s="51" t="e">
        <f t="shared" si="6"/>
        <v>#DIV/0!</v>
      </c>
    </row>
    <row r="446" spans="8:8" x14ac:dyDescent="0.25">
      <c r="H446" s="51" t="e">
        <f t="shared" si="6"/>
        <v>#DIV/0!</v>
      </c>
    </row>
    <row r="447" spans="8:8" x14ac:dyDescent="0.25">
      <c r="H447" s="51" t="e">
        <f t="shared" si="6"/>
        <v>#DIV/0!</v>
      </c>
    </row>
    <row r="448" spans="8:8" x14ac:dyDescent="0.25">
      <c r="H448" s="51" t="e">
        <f t="shared" si="6"/>
        <v>#DIV/0!</v>
      </c>
    </row>
    <row r="449" spans="8:8" x14ac:dyDescent="0.25">
      <c r="H449" s="51" t="e">
        <f t="shared" si="6"/>
        <v>#DIV/0!</v>
      </c>
    </row>
    <row r="450" spans="8:8" x14ac:dyDescent="0.25">
      <c r="H450" s="51" t="e">
        <f t="shared" si="6"/>
        <v>#DIV/0!</v>
      </c>
    </row>
    <row r="451" spans="8:8" x14ac:dyDescent="0.25">
      <c r="H451" s="51" t="e">
        <f t="shared" ref="H451:H477" si="7">(G451-G450)/G450</f>
        <v>#DIV/0!</v>
      </c>
    </row>
    <row r="452" spans="8:8" x14ac:dyDescent="0.25">
      <c r="H452" s="51" t="e">
        <f t="shared" si="7"/>
        <v>#DIV/0!</v>
      </c>
    </row>
    <row r="453" spans="8:8" x14ac:dyDescent="0.25">
      <c r="H453" s="51" t="e">
        <f t="shared" si="7"/>
        <v>#DIV/0!</v>
      </c>
    </row>
    <row r="454" spans="8:8" x14ac:dyDescent="0.25">
      <c r="H454" s="51" t="e">
        <f t="shared" si="7"/>
        <v>#DIV/0!</v>
      </c>
    </row>
    <row r="455" spans="8:8" x14ac:dyDescent="0.25">
      <c r="H455" s="51" t="e">
        <f t="shared" si="7"/>
        <v>#DIV/0!</v>
      </c>
    </row>
    <row r="456" spans="8:8" x14ac:dyDescent="0.25">
      <c r="H456" s="51" t="e">
        <f t="shared" si="7"/>
        <v>#DIV/0!</v>
      </c>
    </row>
    <row r="457" spans="8:8" x14ac:dyDescent="0.25">
      <c r="H457" s="51" t="e">
        <f t="shared" si="7"/>
        <v>#DIV/0!</v>
      </c>
    </row>
    <row r="458" spans="8:8" x14ac:dyDescent="0.25">
      <c r="H458" s="51" t="e">
        <f t="shared" si="7"/>
        <v>#DIV/0!</v>
      </c>
    </row>
    <row r="459" spans="8:8" x14ac:dyDescent="0.25">
      <c r="H459" s="51" t="e">
        <f t="shared" si="7"/>
        <v>#DIV/0!</v>
      </c>
    </row>
    <row r="460" spans="8:8" x14ac:dyDescent="0.25">
      <c r="H460" s="51" t="e">
        <f t="shared" si="7"/>
        <v>#DIV/0!</v>
      </c>
    </row>
    <row r="461" spans="8:8" x14ac:dyDescent="0.25">
      <c r="H461" s="51" t="e">
        <f t="shared" si="7"/>
        <v>#DIV/0!</v>
      </c>
    </row>
    <row r="462" spans="8:8" x14ac:dyDescent="0.25">
      <c r="H462" s="51" t="e">
        <f t="shared" si="7"/>
        <v>#DIV/0!</v>
      </c>
    </row>
    <row r="463" spans="8:8" x14ac:dyDescent="0.25">
      <c r="H463" s="51" t="e">
        <f t="shared" si="7"/>
        <v>#DIV/0!</v>
      </c>
    </row>
    <row r="464" spans="8:8" x14ac:dyDescent="0.25">
      <c r="H464" s="51" t="e">
        <f t="shared" si="7"/>
        <v>#DIV/0!</v>
      </c>
    </row>
    <row r="465" spans="8:8" x14ac:dyDescent="0.25">
      <c r="H465" s="51" t="e">
        <f t="shared" si="7"/>
        <v>#DIV/0!</v>
      </c>
    </row>
    <row r="466" spans="8:8" x14ac:dyDescent="0.25">
      <c r="H466" s="51" t="e">
        <f t="shared" si="7"/>
        <v>#DIV/0!</v>
      </c>
    </row>
    <row r="467" spans="8:8" x14ac:dyDescent="0.25">
      <c r="H467" s="51" t="e">
        <f t="shared" si="7"/>
        <v>#DIV/0!</v>
      </c>
    </row>
    <row r="468" spans="8:8" x14ac:dyDescent="0.25">
      <c r="H468" s="51" t="e">
        <f t="shared" si="7"/>
        <v>#DIV/0!</v>
      </c>
    </row>
    <row r="469" spans="8:8" x14ac:dyDescent="0.25">
      <c r="H469" s="51" t="e">
        <f t="shared" si="7"/>
        <v>#DIV/0!</v>
      </c>
    </row>
    <row r="470" spans="8:8" x14ac:dyDescent="0.25">
      <c r="H470" s="51" t="e">
        <f t="shared" si="7"/>
        <v>#DIV/0!</v>
      </c>
    </row>
    <row r="471" spans="8:8" x14ac:dyDescent="0.25">
      <c r="H471" s="51" t="e">
        <f t="shared" si="7"/>
        <v>#DIV/0!</v>
      </c>
    </row>
    <row r="472" spans="8:8" x14ac:dyDescent="0.25">
      <c r="H472" s="51" t="e">
        <f t="shared" si="7"/>
        <v>#DIV/0!</v>
      </c>
    </row>
    <row r="473" spans="8:8" x14ac:dyDescent="0.25">
      <c r="H473" s="51" t="e">
        <f t="shared" si="7"/>
        <v>#DIV/0!</v>
      </c>
    </row>
    <row r="474" spans="8:8" x14ac:dyDescent="0.25">
      <c r="H474" s="51" t="e">
        <f t="shared" si="7"/>
        <v>#DIV/0!</v>
      </c>
    </row>
    <row r="475" spans="8:8" x14ac:dyDescent="0.25">
      <c r="H475" s="51" t="e">
        <f t="shared" si="7"/>
        <v>#DIV/0!</v>
      </c>
    </row>
    <row r="476" spans="8:8" x14ac:dyDescent="0.25">
      <c r="H476" s="51" t="e">
        <f t="shared" si="7"/>
        <v>#DIV/0!</v>
      </c>
    </row>
    <row r="477" spans="8:8" x14ac:dyDescent="0.25">
      <c r="H477" s="51" t="e">
        <f t="shared" si="7"/>
        <v>#DIV/0!</v>
      </c>
    </row>
    <row r="478" spans="8:8" x14ac:dyDescent="0.25">
      <c r="H478" s="51" t="e">
        <f t="shared" ref="H478:H500" si="8">(G478-G477)/G477</f>
        <v>#DIV/0!</v>
      </c>
    </row>
    <row r="479" spans="8:8" x14ac:dyDescent="0.25">
      <c r="H479" s="51" t="e">
        <f t="shared" si="8"/>
        <v>#DIV/0!</v>
      </c>
    </row>
    <row r="480" spans="8:8" x14ac:dyDescent="0.25">
      <c r="H480" s="51" t="e">
        <f t="shared" si="8"/>
        <v>#DIV/0!</v>
      </c>
    </row>
    <row r="481" spans="8:8" x14ac:dyDescent="0.25">
      <c r="H481" s="51" t="e">
        <f t="shared" si="8"/>
        <v>#DIV/0!</v>
      </c>
    </row>
    <row r="482" spans="8:8" x14ac:dyDescent="0.25">
      <c r="H482" s="51" t="e">
        <f t="shared" si="8"/>
        <v>#DIV/0!</v>
      </c>
    </row>
    <row r="483" spans="8:8" x14ac:dyDescent="0.25">
      <c r="H483" s="51" t="e">
        <f t="shared" si="8"/>
        <v>#DIV/0!</v>
      </c>
    </row>
    <row r="484" spans="8:8" x14ac:dyDescent="0.25">
      <c r="H484" s="51" t="e">
        <f t="shared" si="8"/>
        <v>#DIV/0!</v>
      </c>
    </row>
    <row r="485" spans="8:8" x14ac:dyDescent="0.25">
      <c r="H485" s="51" t="e">
        <f t="shared" si="8"/>
        <v>#DIV/0!</v>
      </c>
    </row>
    <row r="486" spans="8:8" x14ac:dyDescent="0.25">
      <c r="H486" s="51" t="e">
        <f t="shared" si="8"/>
        <v>#DIV/0!</v>
      </c>
    </row>
    <row r="487" spans="8:8" x14ac:dyDescent="0.25">
      <c r="H487" s="51" t="e">
        <f t="shared" si="8"/>
        <v>#DIV/0!</v>
      </c>
    </row>
    <row r="488" spans="8:8" x14ac:dyDescent="0.25">
      <c r="H488" s="51" t="e">
        <f t="shared" si="8"/>
        <v>#DIV/0!</v>
      </c>
    </row>
    <row r="489" spans="8:8" x14ac:dyDescent="0.25">
      <c r="H489" s="51" t="e">
        <f t="shared" si="8"/>
        <v>#DIV/0!</v>
      </c>
    </row>
    <row r="490" spans="8:8" x14ac:dyDescent="0.25">
      <c r="H490" s="51" t="e">
        <f t="shared" si="8"/>
        <v>#DIV/0!</v>
      </c>
    </row>
    <row r="491" spans="8:8" x14ac:dyDescent="0.25">
      <c r="H491" s="51" t="e">
        <f t="shared" si="8"/>
        <v>#DIV/0!</v>
      </c>
    </row>
    <row r="492" spans="8:8" x14ac:dyDescent="0.25">
      <c r="H492" s="51" t="e">
        <f t="shared" si="8"/>
        <v>#DIV/0!</v>
      </c>
    </row>
    <row r="493" spans="8:8" x14ac:dyDescent="0.25">
      <c r="H493" s="51" t="e">
        <f t="shared" si="8"/>
        <v>#DIV/0!</v>
      </c>
    </row>
    <row r="494" spans="8:8" x14ac:dyDescent="0.25">
      <c r="H494" s="51" t="e">
        <f t="shared" si="8"/>
        <v>#DIV/0!</v>
      </c>
    </row>
    <row r="495" spans="8:8" x14ac:dyDescent="0.25">
      <c r="H495" s="51" t="e">
        <f t="shared" si="8"/>
        <v>#DIV/0!</v>
      </c>
    </row>
    <row r="496" spans="8:8" x14ac:dyDescent="0.25">
      <c r="H496" s="51" t="e">
        <f t="shared" si="8"/>
        <v>#DIV/0!</v>
      </c>
    </row>
    <row r="497" spans="8:8" x14ac:dyDescent="0.25">
      <c r="H497" s="51" t="e">
        <f t="shared" si="8"/>
        <v>#DIV/0!</v>
      </c>
    </row>
    <row r="498" spans="8:8" x14ac:dyDescent="0.25">
      <c r="H498" s="51" t="e">
        <f t="shared" si="8"/>
        <v>#DIV/0!</v>
      </c>
    </row>
    <row r="499" spans="8:8" x14ac:dyDescent="0.25">
      <c r="H499" s="51" t="e">
        <f t="shared" si="8"/>
        <v>#DIV/0!</v>
      </c>
    </row>
    <row r="500" spans="8:8" x14ac:dyDescent="0.25">
      <c r="H500" s="51" t="e">
        <f t="shared" si="8"/>
        <v>#DIV/0!</v>
      </c>
    </row>
    <row r="501" spans="8:8" x14ac:dyDescent="0.25">
      <c r="H501" s="51" t="e">
        <f>(G501-G500)/G500</f>
        <v>#DIV/0!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463F6-6C48-4EBB-84FE-F4B8936A937D}">
  <sheetPr codeName="Sheet3"/>
  <dimension ref="A1:P51"/>
  <sheetViews>
    <sheetView topLeftCell="A13" workbookViewId="0">
      <selection activeCell="A4" sqref="A4:A6"/>
    </sheetView>
  </sheetViews>
  <sheetFormatPr defaultRowHeight="15" x14ac:dyDescent="0.25"/>
  <sheetData>
    <row r="1" spans="1:5" x14ac:dyDescent="0.25">
      <c r="A1" t="s">
        <v>5</v>
      </c>
    </row>
    <row r="2" spans="1:5" x14ac:dyDescent="0.25">
      <c r="A2">
        <v>5</v>
      </c>
    </row>
    <row r="3" spans="1:5" x14ac:dyDescent="0.25">
      <c r="A3">
        <v>1</v>
      </c>
    </row>
    <row r="4" spans="1:5" x14ac:dyDescent="0.25">
      <c r="A4">
        <v>1</v>
      </c>
    </row>
    <row r="5" spans="1:5" x14ac:dyDescent="0.25">
      <c r="A5" t="s">
        <v>6</v>
      </c>
    </row>
    <row r="6" spans="1:5" x14ac:dyDescent="0.25">
      <c r="A6">
        <v>16</v>
      </c>
    </row>
    <row r="7" spans="1:5" x14ac:dyDescent="0.25">
      <c r="A7">
        <v>1.2527056984333182</v>
      </c>
      <c r="B7">
        <v>0.32039394818112593</v>
      </c>
      <c r="C7">
        <v>-0.53300658645357557</v>
      </c>
      <c r="D7">
        <v>-1.2560898957761633</v>
      </c>
      <c r="E7">
        <v>-0.63525382779889605</v>
      </c>
    </row>
    <row r="8" spans="1:5" x14ac:dyDescent="0.25">
      <c r="A8">
        <v>-2.1519891241261947E-2</v>
      </c>
      <c r="B8">
        <v>7.6519023673723929E-2</v>
      </c>
      <c r="C8">
        <v>-0.39040350417851333</v>
      </c>
      <c r="D8">
        <v>-4.6566068922074003E-2</v>
      </c>
      <c r="E8">
        <v>-1.0422158680956604E-2</v>
      </c>
    </row>
    <row r="9" spans="1:5" x14ac:dyDescent="0.25">
      <c r="A9">
        <v>0.11527600098263188</v>
      </c>
      <c r="B9">
        <v>0.35523902043925815</v>
      </c>
      <c r="C9">
        <v>-0.13235063890389365</v>
      </c>
      <c r="D9">
        <v>-8.2788034998140761E-2</v>
      </c>
      <c r="E9">
        <v>-0.1848714815160219</v>
      </c>
    </row>
    <row r="10" spans="1:5" x14ac:dyDescent="0.25">
      <c r="A10">
        <v>1.7780772384972094</v>
      </c>
      <c r="B10">
        <v>0.515320212771611</v>
      </c>
      <c r="C10">
        <v>0.84025719901842089</v>
      </c>
      <c r="D10">
        <v>4.8355694038017719E-2</v>
      </c>
      <c r="E10">
        <v>0.79791991003709994</v>
      </c>
    </row>
    <row r="11" spans="1:5" x14ac:dyDescent="0.25">
      <c r="A11">
        <v>1.6816234792431661</v>
      </c>
      <c r="B11">
        <v>0.35711575844243332</v>
      </c>
      <c r="C11">
        <v>-6.7040444344453817E-2</v>
      </c>
      <c r="D11">
        <v>-0.87542857206296698</v>
      </c>
      <c r="E11">
        <v>-0.38937197185564676</v>
      </c>
    </row>
    <row r="12" spans="1:5" x14ac:dyDescent="0.25">
      <c r="A12">
        <v>-3.3822270067294734E-2</v>
      </c>
      <c r="B12">
        <v>8.1729226807969249E-2</v>
      </c>
      <c r="C12">
        <v>0.13340900345851406</v>
      </c>
      <c r="D12">
        <v>8.7494649931163845E-3</v>
      </c>
      <c r="E12">
        <v>-0.2222814138467625</v>
      </c>
    </row>
    <row r="13" spans="1:5" x14ac:dyDescent="0.25">
      <c r="A13">
        <v>1.1779953152241438</v>
      </c>
      <c r="B13">
        <v>0.23668095391976904</v>
      </c>
      <c r="C13">
        <v>-0.48654012630570209</v>
      </c>
      <c r="D13">
        <v>-2.352352930530591</v>
      </c>
      <c r="E13">
        <v>-0.15717543879298318</v>
      </c>
    </row>
    <row r="14" spans="1:5" x14ac:dyDescent="0.25">
      <c r="A14">
        <v>7.3544278692516257E-2</v>
      </c>
      <c r="B14">
        <v>0.23628735088692432</v>
      </c>
      <c r="C14">
        <v>-2.0985966760906652E-2</v>
      </c>
      <c r="D14">
        <v>1.8437818624301848E-2</v>
      </c>
      <c r="E14">
        <v>-0.31388175073485958</v>
      </c>
    </row>
    <row r="15" spans="1:5" x14ac:dyDescent="0.25">
      <c r="A15">
        <v>-0.18317277137289514</v>
      </c>
      <c r="B15">
        <v>4.3122637411073667E-2</v>
      </c>
      <c r="C15">
        <v>-0.25363507341087804</v>
      </c>
      <c r="D15">
        <v>2.3525420788316063E-2</v>
      </c>
      <c r="E15">
        <v>5.8806505803737474E-2</v>
      </c>
    </row>
    <row r="16" spans="1:5" x14ac:dyDescent="0.25">
      <c r="A16">
        <v>1.5085948184895315</v>
      </c>
      <c r="B16">
        <v>0.28835946484415309</v>
      </c>
      <c r="C16">
        <v>-0.15304475480307353</v>
      </c>
      <c r="D16">
        <v>-2.2036772724951814</v>
      </c>
      <c r="E16">
        <v>-0.51188323078131204</v>
      </c>
    </row>
    <row r="17" spans="1:16" x14ac:dyDescent="0.25">
      <c r="A17">
        <v>1.5018682265496728</v>
      </c>
      <c r="B17">
        <v>0.40924048589977419</v>
      </c>
      <c r="C17">
        <v>-0.57953691494756088</v>
      </c>
      <c r="D17">
        <v>-0.98367102321939803</v>
      </c>
      <c r="E17">
        <v>-0.2014957202632067</v>
      </c>
    </row>
    <row r="18" spans="1:16" x14ac:dyDescent="0.25">
      <c r="A18">
        <v>1.3608164915029881</v>
      </c>
      <c r="B18">
        <v>0.31851051193254842</v>
      </c>
      <c r="C18">
        <v>0.74152399252983259</v>
      </c>
      <c r="D18">
        <v>0.28198678723397197</v>
      </c>
      <c r="E18">
        <v>0.3752534838730972</v>
      </c>
    </row>
    <row r="19" spans="1:16" x14ac:dyDescent="0.25">
      <c r="A19">
        <v>1.598851151391671</v>
      </c>
      <c r="B19">
        <v>0.34844512444449677</v>
      </c>
      <c r="C19">
        <v>-0.11027745285926518</v>
      </c>
      <c r="D19">
        <v>-1.0161523965154005</v>
      </c>
      <c r="E19">
        <v>-0.70165731268707754</v>
      </c>
    </row>
    <row r="20" spans="1:16" x14ac:dyDescent="0.25">
      <c r="A20">
        <v>1.5242542733854023</v>
      </c>
      <c r="B20">
        <v>0.38705007347951442</v>
      </c>
      <c r="C20">
        <v>-0.30232711307799703</v>
      </c>
      <c r="D20">
        <v>-1.1695583791633484</v>
      </c>
      <c r="E20">
        <v>-0.67445280351699066</v>
      </c>
    </row>
    <row r="21" spans="1:16" x14ac:dyDescent="0.25">
      <c r="A21">
        <v>1.5775718589999415</v>
      </c>
      <c r="B21">
        <v>0.42907735241206479</v>
      </c>
      <c r="C21">
        <v>1.3224277041129445E-2</v>
      </c>
      <c r="D21">
        <v>-2.1480810455046284</v>
      </c>
      <c r="E21">
        <v>-0.50231262980302394</v>
      </c>
    </row>
    <row r="22" spans="1:16" x14ac:dyDescent="0.25">
      <c r="A22">
        <v>6.3516634136348907E-2</v>
      </c>
      <c r="B22">
        <v>5.9774758109340166E-2</v>
      </c>
      <c r="C22">
        <v>0.1350854044898207</v>
      </c>
      <c r="D22">
        <v>0.24869028661736334</v>
      </c>
      <c r="E22">
        <v>0.19906421799408322</v>
      </c>
    </row>
    <row r="23" spans="1:16" x14ac:dyDescent="0.25">
      <c r="A23">
        <v>-6.9919258514654956E-2</v>
      </c>
      <c r="B23">
        <v>-0.20423350799289605</v>
      </c>
      <c r="C23">
        <v>-0.2298981528013106</v>
      </c>
      <c r="D23">
        <v>-2.3331034705396547E-2</v>
      </c>
      <c r="E23">
        <v>-0.18507978417531096</v>
      </c>
      <c r="F23">
        <v>1.2833664496275462E-4</v>
      </c>
      <c r="G23">
        <v>-0.13084763391020457</v>
      </c>
      <c r="H23">
        <v>3.5082799500261948E-2</v>
      </c>
      <c r="I23">
        <v>-0.10295975428155441</v>
      </c>
      <c r="J23">
        <v>-0.18187589332498635</v>
      </c>
      <c r="K23">
        <v>-5.0951607209847989E-2</v>
      </c>
      <c r="L23">
        <v>-0.10465515673964226</v>
      </c>
      <c r="M23">
        <v>-0.166054115892974</v>
      </c>
      <c r="N23">
        <v>-9.8712735025334106E-2</v>
      </c>
      <c r="O23">
        <v>-5.4300976766242064E-2</v>
      </c>
      <c r="P23">
        <v>0.24548364840714773</v>
      </c>
    </row>
    <row r="24" spans="1:16" x14ac:dyDescent="0.25">
      <c r="A24">
        <v>-1.7603511212519187</v>
      </c>
      <c r="B24">
        <v>4.8755651602833718E-2</v>
      </c>
      <c r="C24">
        <v>0.16486118840436012</v>
      </c>
      <c r="D24">
        <v>-3.0610101282513611</v>
      </c>
      <c r="E24">
        <v>-1.8177285854445879</v>
      </c>
      <c r="F24">
        <v>-4.480770549793231E-2</v>
      </c>
      <c r="G24">
        <v>-1.9665271153602293</v>
      </c>
      <c r="H24">
        <v>-8.2869807891696026E-2</v>
      </c>
      <c r="I24">
        <v>9.7741588341558244E-2</v>
      </c>
      <c r="J24">
        <v>-1.7468618822243103</v>
      </c>
      <c r="K24">
        <v>-2.5171671546696364</v>
      </c>
      <c r="L24">
        <v>-2.0676649891428016</v>
      </c>
      <c r="M24">
        <v>-1.9203489273670951</v>
      </c>
      <c r="N24">
        <v>-1.9285873858172209</v>
      </c>
      <c r="O24">
        <v>-2.2141555447767631</v>
      </c>
      <c r="P24">
        <v>0.3287255129226086</v>
      </c>
    </row>
    <row r="25" spans="1:16" x14ac:dyDescent="0.25">
      <c r="A25">
        <v>0.59414191830329688</v>
      </c>
      <c r="B25">
        <v>-0.47838325164896189</v>
      </c>
      <c r="C25">
        <v>0.24070461891814471</v>
      </c>
      <c r="D25">
        <v>0.43903585904130249</v>
      </c>
      <c r="E25">
        <v>-0.72720457651270165</v>
      </c>
      <c r="F25">
        <v>0.42948524725726905</v>
      </c>
      <c r="G25">
        <v>-0.56288005044531275</v>
      </c>
      <c r="H25">
        <v>0.33767982933342738</v>
      </c>
      <c r="I25">
        <v>-0.15846597313836502</v>
      </c>
      <c r="J25">
        <v>0.43320147101429118</v>
      </c>
      <c r="K25">
        <v>0.43952425859052735</v>
      </c>
      <c r="L25">
        <v>-1.6704455654761379</v>
      </c>
      <c r="M25">
        <v>0.4873163517631755</v>
      </c>
      <c r="N25">
        <v>0.80256122385405648</v>
      </c>
      <c r="O25">
        <v>0.31487583993067786</v>
      </c>
      <c r="P25">
        <v>0.41121505383162432</v>
      </c>
    </row>
    <row r="26" spans="1:16" x14ac:dyDescent="0.25">
      <c r="A26" t="s">
        <v>7</v>
      </c>
      <c r="B26">
        <v>-7.5517513919661092E-2</v>
      </c>
    </row>
    <row r="27" spans="1:16" x14ac:dyDescent="0.25">
      <c r="A27">
        <v>5</v>
      </c>
    </row>
    <row r="28" spans="1:16" x14ac:dyDescent="0.25">
      <c r="A28">
        <v>1</v>
      </c>
    </row>
    <row r="29" spans="1:16" x14ac:dyDescent="0.25">
      <c r="A29">
        <v>1</v>
      </c>
    </row>
    <row r="30" spans="1:16" x14ac:dyDescent="0.25">
      <c r="A30" t="s">
        <v>6</v>
      </c>
    </row>
    <row r="31" spans="1:16" x14ac:dyDescent="0.25">
      <c r="A31">
        <v>16</v>
      </c>
    </row>
    <row r="32" spans="1:16" x14ac:dyDescent="0.25">
      <c r="A32">
        <v>-1.6569981706637402</v>
      </c>
      <c r="B32">
        <v>-0.49117414649576502</v>
      </c>
      <c r="C32">
        <v>-0.15386807406058986</v>
      </c>
      <c r="D32">
        <v>-4.7608181879751743E-2</v>
      </c>
      <c r="E32">
        <v>0.32109447853430584</v>
      </c>
    </row>
    <row r="33" spans="1:16" x14ac:dyDescent="0.25">
      <c r="A33">
        <v>6.5377646161992695E-2</v>
      </c>
      <c r="B33">
        <v>0.43241968226460287</v>
      </c>
      <c r="C33">
        <v>0.10301002896822291</v>
      </c>
      <c r="D33">
        <v>0.31298978812970407</v>
      </c>
      <c r="E33">
        <v>6.2456814549165969E-2</v>
      </c>
    </row>
    <row r="34" spans="1:16" x14ac:dyDescent="0.25">
      <c r="A34">
        <v>-0.27433982591280248</v>
      </c>
      <c r="B34">
        <v>-0.46948621020240805</v>
      </c>
      <c r="C34">
        <v>-0.33154739097159014</v>
      </c>
      <c r="D34">
        <v>-5.7547318753294724E-4</v>
      </c>
      <c r="E34">
        <v>-0.54367719269893522</v>
      </c>
    </row>
    <row r="35" spans="1:16" x14ac:dyDescent="0.25">
      <c r="A35">
        <v>-0.29987586698641427</v>
      </c>
      <c r="B35">
        <v>0.27699460987880953</v>
      </c>
      <c r="C35">
        <v>9.9975147386293317E-2</v>
      </c>
      <c r="D35">
        <v>0.32232263812052669</v>
      </c>
      <c r="E35">
        <v>2.8070294459113229E-2</v>
      </c>
    </row>
    <row r="36" spans="1:16" x14ac:dyDescent="0.25">
      <c r="A36">
        <v>-0.39741407551982455</v>
      </c>
      <c r="B36">
        <v>-0.79756352912764195</v>
      </c>
      <c r="C36">
        <v>-0.27202608781490706</v>
      </c>
      <c r="D36">
        <v>-0.51977495487819803</v>
      </c>
      <c r="E36">
        <v>9.0251084139612636E-2</v>
      </c>
    </row>
    <row r="37" spans="1:16" x14ac:dyDescent="0.25">
      <c r="A37">
        <v>-0.44298391128344894</v>
      </c>
      <c r="B37">
        <v>-0.4542216982447016</v>
      </c>
      <c r="C37">
        <v>-0.49672086376066987</v>
      </c>
      <c r="D37">
        <v>0.14506029692657804</v>
      </c>
      <c r="E37">
        <v>-0.4044258546347636</v>
      </c>
    </row>
    <row r="38" spans="1:16" x14ac:dyDescent="0.25">
      <c r="A38">
        <v>-0.23360056805663326</v>
      </c>
      <c r="B38">
        <v>-0.2734530825064091</v>
      </c>
      <c r="C38">
        <v>-0.40336624883820682</v>
      </c>
      <c r="D38">
        <v>-4.4727877810391411E-3</v>
      </c>
      <c r="E38">
        <v>-0.37356377409244207</v>
      </c>
    </row>
    <row r="39" spans="1:16" x14ac:dyDescent="0.25">
      <c r="A39">
        <v>-0.92685438211921567</v>
      </c>
      <c r="B39">
        <v>-0.18720180392928401</v>
      </c>
      <c r="C39">
        <v>3.5322546622438514E-2</v>
      </c>
      <c r="D39">
        <v>0.51573284905814931</v>
      </c>
      <c r="E39">
        <v>0.48887395281401796</v>
      </c>
    </row>
    <row r="40" spans="1:16" x14ac:dyDescent="0.25">
      <c r="A40">
        <v>0.40904982442108107</v>
      </c>
      <c r="B40">
        <v>0.62036321815953988</v>
      </c>
      <c r="C40">
        <v>0.49572206651294226</v>
      </c>
      <c r="D40">
        <v>-0.16354156681137025</v>
      </c>
      <c r="E40">
        <v>0.18118428474634296</v>
      </c>
    </row>
    <row r="41" spans="1:16" x14ac:dyDescent="0.25">
      <c r="A41">
        <v>0.2292139394380886</v>
      </c>
      <c r="B41">
        <v>-6.5749181540798368E-2</v>
      </c>
      <c r="C41">
        <v>-2.1070865878404597E-2</v>
      </c>
      <c r="D41">
        <v>0.11646405141877948</v>
      </c>
      <c r="E41">
        <v>8.5104713496947523E-2</v>
      </c>
    </row>
    <row r="42" spans="1:16" x14ac:dyDescent="0.25">
      <c r="A42">
        <v>0.44746425849572019</v>
      </c>
      <c r="B42">
        <v>0.54644470579655624</v>
      </c>
      <c r="C42">
        <v>0.57934093607506398</v>
      </c>
      <c r="D42">
        <v>-6.8648079185969796E-2</v>
      </c>
      <c r="E42">
        <v>0.33642360516090608</v>
      </c>
    </row>
    <row r="43" spans="1:16" x14ac:dyDescent="0.25">
      <c r="A43">
        <v>-2.8813890544675557E-3</v>
      </c>
      <c r="B43">
        <v>-0.5317538889200516</v>
      </c>
      <c r="C43">
        <v>5.2776764314857783E-2</v>
      </c>
      <c r="D43">
        <v>-0.51239994568015423</v>
      </c>
      <c r="E43">
        <v>0.13937828082088255</v>
      </c>
    </row>
    <row r="44" spans="1:16" x14ac:dyDescent="0.25">
      <c r="A44">
        <v>-3.9403850993179765E-2</v>
      </c>
      <c r="B44">
        <v>-0.45721183492242629</v>
      </c>
      <c r="C44">
        <v>-0.12555894991238345</v>
      </c>
      <c r="D44">
        <v>-0.32889957823111843</v>
      </c>
      <c r="E44">
        <v>-0.30028282043898846</v>
      </c>
    </row>
    <row r="45" spans="1:16" x14ac:dyDescent="0.25">
      <c r="A45">
        <v>-0.13898102701355755</v>
      </c>
      <c r="B45">
        <v>-0.54350590036555602</v>
      </c>
      <c r="C45">
        <v>-2.5057409841185482E-2</v>
      </c>
      <c r="D45">
        <v>-0.45333333474422494</v>
      </c>
      <c r="E45">
        <v>-0.37495721255155717</v>
      </c>
    </row>
    <row r="46" spans="1:16" x14ac:dyDescent="0.25">
      <c r="A46">
        <v>-1.1452106042626253</v>
      </c>
      <c r="B46">
        <v>-0.42967600677347423</v>
      </c>
      <c r="C46">
        <v>0.12220253419722102</v>
      </c>
      <c r="D46">
        <v>9.7492663471028751E-2</v>
      </c>
      <c r="E46">
        <v>0.26785552052822736</v>
      </c>
    </row>
    <row r="47" spans="1:16" x14ac:dyDescent="0.25">
      <c r="A47">
        <v>-4.3379933728962705E-2</v>
      </c>
      <c r="B47">
        <v>-0.32800266201999756</v>
      </c>
      <c r="C47">
        <v>0.35112384087345699</v>
      </c>
      <c r="D47">
        <v>0.23914659922428966</v>
      </c>
      <c r="E47">
        <v>-0.13359739298282869</v>
      </c>
    </row>
    <row r="48" spans="1:16" x14ac:dyDescent="0.25">
      <c r="A48">
        <v>-0.11175482311640948</v>
      </c>
      <c r="B48">
        <v>-4.4174002957795486E-2</v>
      </c>
      <c r="C48">
        <v>-3.2641861724482461E-2</v>
      </c>
      <c r="D48">
        <v>-0.18638558795907628</v>
      </c>
      <c r="E48">
        <v>8.1942966623828259E-2</v>
      </c>
      <c r="F48">
        <v>0.21256194852498395</v>
      </c>
      <c r="G48">
        <v>8.2630522794747155E-2</v>
      </c>
      <c r="H48">
        <v>4.5156807884629342E-2</v>
      </c>
      <c r="I48">
        <v>1.6164994032112107E-2</v>
      </c>
      <c r="J48">
        <v>0.4407368848961366</v>
      </c>
      <c r="K48">
        <v>-9.7594712896981364E-2</v>
      </c>
      <c r="L48">
        <v>0.17855130124783791</v>
      </c>
      <c r="M48">
        <v>5.6188123405073946E-2</v>
      </c>
      <c r="N48">
        <v>-8.1797086407962613E-2</v>
      </c>
      <c r="O48">
        <v>-8.0419147334526112E-2</v>
      </c>
      <c r="P48">
        <v>0.43642792268635067</v>
      </c>
    </row>
    <row r="49" spans="1:16" x14ac:dyDescent="0.25">
      <c r="A49">
        <v>0.91307095045333531</v>
      </c>
      <c r="B49">
        <v>-0.37592881510024861</v>
      </c>
      <c r="C49">
        <v>-0.58206167613132986</v>
      </c>
      <c r="D49">
        <v>-0.16177375261262258</v>
      </c>
      <c r="E49">
        <v>0.42722460759683917</v>
      </c>
      <c r="F49">
        <v>-0.32892175396234019</v>
      </c>
      <c r="G49">
        <v>-0.22413832025309219</v>
      </c>
      <c r="H49">
        <v>0.46760086897586517</v>
      </c>
      <c r="I49">
        <v>-0.68578735801542379</v>
      </c>
      <c r="J49">
        <v>-0.35010624462104828</v>
      </c>
      <c r="K49">
        <v>-0.84965257337805256</v>
      </c>
      <c r="L49">
        <v>0.24035004624854303</v>
      </c>
      <c r="M49">
        <v>0.31624872439277368</v>
      </c>
      <c r="N49">
        <v>0.49510345155759133</v>
      </c>
      <c r="O49">
        <v>0.76561971740493373</v>
      </c>
      <c r="P49">
        <v>-0.271690541846135</v>
      </c>
    </row>
    <row r="50" spans="1:16" x14ac:dyDescent="0.25">
      <c r="A50">
        <v>-7.5911000784928725E-2</v>
      </c>
      <c r="B50">
        <v>-0.79613916549860841</v>
      </c>
      <c r="C50">
        <v>0.53965311805288219</v>
      </c>
      <c r="D50">
        <v>-0.17302702715185644</v>
      </c>
      <c r="E50">
        <v>-2.9582372526545768E-2</v>
      </c>
      <c r="F50">
        <v>-0.48787742598198724</v>
      </c>
      <c r="G50">
        <v>-3.0751850839554065</v>
      </c>
      <c r="H50">
        <v>2.4521641258989075</v>
      </c>
      <c r="I50">
        <v>-0.91047129077249778</v>
      </c>
      <c r="J50">
        <v>2.5455016199895151</v>
      </c>
      <c r="K50">
        <v>-0.69029755528642522</v>
      </c>
      <c r="L50">
        <v>-0.62955258729990315</v>
      </c>
      <c r="M50">
        <v>2.1875159026839133</v>
      </c>
      <c r="N50">
        <v>-1.0468002716796299</v>
      </c>
      <c r="O50">
        <v>0.39296896590647412</v>
      </c>
      <c r="P50">
        <v>-1.5782717525749734</v>
      </c>
    </row>
    <row r="51" spans="1:16" x14ac:dyDescent="0.25">
      <c r="A51">
        <v>-0.22607934045578412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B28E7-DDA9-49E9-A7FA-BF4906B9DDA0}">
  <sheetPr codeName="Sheet6"/>
  <dimension ref="B2:L33"/>
  <sheetViews>
    <sheetView workbookViewId="0">
      <selection activeCell="G29" sqref="G29"/>
    </sheetView>
  </sheetViews>
  <sheetFormatPr defaultRowHeight="15" x14ac:dyDescent="0.25"/>
  <cols>
    <col min="3" max="12" width="9.140625" customWidth="1"/>
    <col min="13" max="16" width="4" customWidth="1"/>
  </cols>
  <sheetData>
    <row r="2" spans="2:12" x14ac:dyDescent="0.25">
      <c r="B2" s="14">
        <v>0</v>
      </c>
      <c r="C2" s="15">
        <v>-1.5</v>
      </c>
      <c r="D2" s="15">
        <v>-1.4222222222222223</v>
      </c>
      <c r="E2" s="15">
        <v>-1.3444444444444446</v>
      </c>
      <c r="F2" s="15">
        <v>-1.2666666666666666</v>
      </c>
      <c r="G2" s="15">
        <v>-1.1888888888888889</v>
      </c>
      <c r="H2" s="15">
        <v>-1.1111111111111112</v>
      </c>
      <c r="I2" s="15">
        <v>-1.0333333333333334</v>
      </c>
      <c r="J2" s="15">
        <v>-0.9555555555555556</v>
      </c>
      <c r="K2" s="15">
        <v>-0.87777777777777777</v>
      </c>
      <c r="L2" s="15">
        <v>-0.8</v>
      </c>
    </row>
    <row r="3" spans="2:12" ht="18" customHeight="1" x14ac:dyDescent="0.25">
      <c r="B3" s="14">
        <v>20</v>
      </c>
      <c r="C3" s="47">
        <v>3.1093172244191163E-8</v>
      </c>
      <c r="D3" s="48">
        <v>1.6958296312767201E-8</v>
      </c>
      <c r="E3" s="47">
        <v>9.249098474904474E-9</v>
      </c>
      <c r="F3" s="47">
        <v>5.0444821060399638E-9</v>
      </c>
      <c r="G3" s="47">
        <v>2.7512735147715218E-9</v>
      </c>
      <c r="H3" s="47">
        <v>1.5005516495199439E-9</v>
      </c>
      <c r="I3" s="47">
        <v>8.1840472766801062E-10</v>
      </c>
      <c r="J3" s="15">
        <v>4.463600425056504E-10</v>
      </c>
      <c r="K3" s="15">
        <v>2.4344591468778804E-10</v>
      </c>
      <c r="L3" s="15">
        <v>1.3277602771076132E-10</v>
      </c>
    </row>
    <row r="4" spans="2:12" ht="18" customHeight="1" x14ac:dyDescent="0.25">
      <c r="B4" s="14">
        <v>19</v>
      </c>
      <c r="C4" s="47">
        <v>1.5196165304292475E-7</v>
      </c>
      <c r="D4" s="47">
        <v>8.2880281942251837E-8</v>
      </c>
      <c r="E4" s="47">
        <v>4.520312053440739E-8</v>
      </c>
      <c r="F4" s="48">
        <v>2.4653898649548355E-8</v>
      </c>
      <c r="G4" s="48">
        <v>1.3446299851833766E-8</v>
      </c>
      <c r="H4" s="47">
        <v>7.3336465503623799E-9</v>
      </c>
      <c r="I4" s="48">
        <v>3.9997896944754727E-9</v>
      </c>
      <c r="J4" s="15">
        <v>2.1814955855753778E-9</v>
      </c>
      <c r="K4" s="15">
        <v>1.1897933015138858E-9</v>
      </c>
      <c r="L4" s="15">
        <v>6.4891632559309484E-10</v>
      </c>
    </row>
    <row r="5" spans="2:12" ht="18" customHeight="1" x14ac:dyDescent="0.25">
      <c r="B5" s="14">
        <v>18</v>
      </c>
      <c r="C5" s="48">
        <v>7.4268180049954821E-7</v>
      </c>
      <c r="D5" s="48">
        <v>4.0506069995840311E-7</v>
      </c>
      <c r="E5" s="48">
        <v>2.2092118772541073E-7</v>
      </c>
      <c r="F5" s="47">
        <v>1.204909958075047E-7</v>
      </c>
      <c r="G5" s="47">
        <v>6.5716102458681381E-8</v>
      </c>
      <c r="H5" s="47">
        <v>3.5841732287811014E-8</v>
      </c>
      <c r="I5" s="48">
        <v>1.9548173246465842E-8</v>
      </c>
      <c r="J5" s="15">
        <v>1.0661624035770928E-8</v>
      </c>
      <c r="K5" s="15">
        <v>5.8148771850829483E-9</v>
      </c>
      <c r="L5" s="15">
        <v>3.1714489734070788E-9</v>
      </c>
    </row>
    <row r="6" spans="2:12" ht="18" customHeight="1" x14ac:dyDescent="0.25">
      <c r="B6" s="14">
        <v>17</v>
      </c>
      <c r="C6" s="47">
        <v>3.6296985401500506E-6</v>
      </c>
      <c r="D6" s="47">
        <v>1.9796501811729954E-6</v>
      </c>
      <c r="E6" s="47">
        <v>1.0797072695657592E-6</v>
      </c>
      <c r="F6" s="47">
        <v>5.8887540945890025E-7</v>
      </c>
      <c r="G6" s="48">
        <v>3.2117424811706934E-7</v>
      </c>
      <c r="H6" s="48">
        <v>1.7516928613987302E-7</v>
      </c>
      <c r="I6" s="47">
        <v>9.553778657542226E-8</v>
      </c>
      <c r="J6" s="15">
        <v>5.2106556659857071E-8</v>
      </c>
      <c r="K6" s="15">
        <v>2.8419050625559448E-8</v>
      </c>
      <c r="L6" s="15">
        <v>1.549982346815504E-8</v>
      </c>
    </row>
    <row r="7" spans="2:12" ht="18" customHeight="1" x14ac:dyDescent="0.25">
      <c r="B7" s="14">
        <v>16</v>
      </c>
      <c r="C7" s="47">
        <v>1.7739176629536254E-5</v>
      </c>
      <c r="D7" s="48">
        <v>9.6750705573229251E-6</v>
      </c>
      <c r="E7" s="48">
        <v>5.276831562514287E-6</v>
      </c>
      <c r="F7" s="48">
        <v>2.8780044031780758E-6</v>
      </c>
      <c r="G7" s="47">
        <v>1.5696730536223394E-6</v>
      </c>
      <c r="H7" s="47">
        <v>8.5610432948707325E-7</v>
      </c>
      <c r="I7" s="47">
        <v>4.6692168380380199E-7</v>
      </c>
      <c r="J7" s="15">
        <v>2.5466034071468283E-7</v>
      </c>
      <c r="K7" s="15">
        <v>1.3889242055930021E-7</v>
      </c>
      <c r="L7" s="15">
        <v>7.5752288006189854E-8</v>
      </c>
    </row>
    <row r="8" spans="2:12" ht="18" customHeight="1" x14ac:dyDescent="0.25">
      <c r="B8" s="14">
        <v>15</v>
      </c>
      <c r="C8" s="47">
        <v>8.6690706071777433E-5</v>
      </c>
      <c r="D8" s="48">
        <v>4.7283197348085547E-5</v>
      </c>
      <c r="E8" s="47">
        <v>2.5788931712798697E-5</v>
      </c>
      <c r="F8" s="47">
        <v>1.4065514549868302E-5</v>
      </c>
      <c r="G8" s="47">
        <v>7.6714168458200058E-6</v>
      </c>
      <c r="H8" s="47">
        <v>4.1840250599836259E-6</v>
      </c>
      <c r="I8" s="47">
        <v>2.2819823640077837E-6</v>
      </c>
      <c r="J8" s="15">
        <v>1.2446003387395414E-6</v>
      </c>
      <c r="K8" s="15">
        <v>6.7880860830174856E-7</v>
      </c>
      <c r="L8" s="15">
        <v>3.7022407422355783E-7</v>
      </c>
    </row>
    <row r="9" spans="2:12" ht="18" customHeight="1" x14ac:dyDescent="0.25">
      <c r="B9" s="14">
        <v>14</v>
      </c>
      <c r="C9" s="47">
        <v>4.2354078741997994E-4</v>
      </c>
      <c r="D9" s="47">
        <v>2.3104471973144891E-4</v>
      </c>
      <c r="E9" s="47">
        <v>1.2602562085249166E-4</v>
      </c>
      <c r="F9" s="48">
        <v>6.8738635686363186E-5</v>
      </c>
      <c r="G9" s="47">
        <v>3.7491400155986347E-5</v>
      </c>
      <c r="H9" s="47">
        <v>2.0448254533759475E-5</v>
      </c>
      <c r="I9" s="47">
        <v>1.115263426076022E-5</v>
      </c>
      <c r="J9" s="15">
        <v>6.0827062349171154E-6</v>
      </c>
      <c r="K9" s="15">
        <v>3.3175327908940917E-6</v>
      </c>
      <c r="L9" s="15">
        <v>1.8093936413429917E-6</v>
      </c>
    </row>
    <row r="10" spans="2:12" x14ac:dyDescent="0.25">
      <c r="B10" s="14">
        <v>13</v>
      </c>
      <c r="C10" s="15">
        <v>2.0665685751136268E-3</v>
      </c>
      <c r="D10" s="15">
        <v>1.1281716819007172E-3</v>
      </c>
      <c r="E10" s="15">
        <v>6.1562346657522522E-4</v>
      </c>
      <c r="F10" s="15">
        <v>3.3585661436668284E-4</v>
      </c>
      <c r="G10" s="15">
        <v>1.8320503252328317E-4</v>
      </c>
      <c r="H10" s="15">
        <v>9.9928818227915242E-5</v>
      </c>
      <c r="I10" s="15">
        <v>5.4503910318137517E-5</v>
      </c>
      <c r="J10" s="15">
        <v>2.9727309364053626E-5</v>
      </c>
      <c r="K10" s="15">
        <v>1.6213570056530428E-5</v>
      </c>
      <c r="L10" s="15">
        <v>8.8429879675303781E-6</v>
      </c>
    </row>
    <row r="11" spans="2:12" x14ac:dyDescent="0.25">
      <c r="B11" s="14">
        <v>12</v>
      </c>
      <c r="C11" s="15">
        <v>1.0019451321351572E-2</v>
      </c>
      <c r="D11" s="15">
        <v>5.4896388067631405E-3</v>
      </c>
      <c r="E11" s="15">
        <v>3.0015537218977617E-3</v>
      </c>
      <c r="F11" s="15">
        <v>1.6392919275538555E-3</v>
      </c>
      <c r="G11" s="15">
        <v>8.947408082711915E-4</v>
      </c>
      <c r="H11" s="15">
        <v>4.8819250771250927E-4</v>
      </c>
      <c r="I11" s="15">
        <v>2.6632055350322102E-4</v>
      </c>
      <c r="J11" s="15">
        <v>1.452695020906437E-4</v>
      </c>
      <c r="K11" s="15">
        <v>7.9235592534473374E-5</v>
      </c>
      <c r="L11" s="15">
        <v>4.3216852542742776E-5</v>
      </c>
    </row>
    <row r="12" spans="2:12" x14ac:dyDescent="0.25">
      <c r="B12" s="14">
        <v>11</v>
      </c>
      <c r="C12" s="15">
        <v>4.7132328885410434E-2</v>
      </c>
      <c r="D12" s="15">
        <v>2.6268937785575406E-2</v>
      </c>
      <c r="E12" s="15">
        <v>1.4500305827852963E-2</v>
      </c>
      <c r="F12" s="15">
        <v>7.9609812847760506E-3</v>
      </c>
      <c r="G12" s="15">
        <v>4.3577103932874554E-3</v>
      </c>
      <c r="H12" s="15">
        <v>2.3814240613000766E-3</v>
      </c>
      <c r="I12" s="15">
        <v>1.3002424334385653E-3</v>
      </c>
      <c r="J12" s="15">
        <v>7.0957498618091669E-4</v>
      </c>
      <c r="K12" s="15">
        <v>3.8712889810647687E-4</v>
      </c>
      <c r="L12" s="15">
        <v>2.1117826101579894E-4</v>
      </c>
    </row>
    <row r="13" spans="2:12" x14ac:dyDescent="0.25">
      <c r="B13" s="14">
        <v>10</v>
      </c>
      <c r="C13" s="15">
        <v>0.19468089647159767</v>
      </c>
      <c r="D13" s="15">
        <v>0.11648889585379558</v>
      </c>
      <c r="E13" s="15">
        <v>6.7085914954065726E-2</v>
      </c>
      <c r="F13" s="15">
        <v>3.7739783849763106E-2</v>
      </c>
      <c r="G13" s="15">
        <v>2.094267624247724E-2</v>
      </c>
      <c r="H13" s="15">
        <v>1.1531979518475934E-2</v>
      </c>
      <c r="I13" s="15">
        <v>6.322717541147555E-3</v>
      </c>
      <c r="J13" s="15">
        <v>3.4583667536445223E-3</v>
      </c>
      <c r="K13" s="15">
        <v>1.8891722075816933E-3</v>
      </c>
      <c r="L13" s="15">
        <v>1.0312450249591429E-3</v>
      </c>
    </row>
    <row r="14" spans="2:12" x14ac:dyDescent="0.25">
      <c r="B14" s="14">
        <v>9</v>
      </c>
      <c r="C14" s="15">
        <v>0.54159446532727684</v>
      </c>
      <c r="D14" s="15">
        <v>0.39186778154784896</v>
      </c>
      <c r="E14" s="15">
        <v>0.2600518797947573</v>
      </c>
      <c r="F14" s="15">
        <v>0.16084827213281311</v>
      </c>
      <c r="G14" s="15">
        <v>9.4647824673699893E-2</v>
      </c>
      <c r="H14" s="15">
        <v>5.3942115846562874E-2</v>
      </c>
      <c r="I14" s="15">
        <v>3.0159744308835109E-2</v>
      </c>
      <c r="J14" s="15">
        <v>1.6677864645105539E-2</v>
      </c>
      <c r="K14" s="15">
        <v>9.1656415274526965E-3</v>
      </c>
      <c r="L14" s="15">
        <v>5.0198806728727167E-3</v>
      </c>
    </row>
    <row r="15" spans="2:12" x14ac:dyDescent="0.25">
      <c r="B15" s="14">
        <v>8</v>
      </c>
      <c r="C15" s="15">
        <v>0.65784741949362924</v>
      </c>
      <c r="D15" s="15">
        <v>0.65201121792810413</v>
      </c>
      <c r="E15" s="15">
        <v>0.6239759086820198</v>
      </c>
      <c r="F15" s="15">
        <v>0.48368330876086979</v>
      </c>
      <c r="G15" s="15">
        <v>0.33815633747053525</v>
      </c>
      <c r="H15" s="15">
        <v>0.2179331022748601</v>
      </c>
      <c r="I15" s="15">
        <v>0.1319320206889574</v>
      </c>
      <c r="J15" s="15">
        <v>7.6547045589905938E-2</v>
      </c>
      <c r="K15" s="15">
        <v>4.3254116074226995E-2</v>
      </c>
      <c r="L15" s="15">
        <v>2.4064083221266103E-2</v>
      </c>
    </row>
    <row r="16" spans="2:12" x14ac:dyDescent="0.25">
      <c r="B16" s="14">
        <v>7</v>
      </c>
      <c r="C16" s="15">
        <v>0.65761239808732275</v>
      </c>
      <c r="D16" s="15">
        <v>0.65795642317034519</v>
      </c>
      <c r="E16" s="15">
        <v>0.65830028219557823</v>
      </c>
      <c r="F16" s="15">
        <v>0.65864397488194326</v>
      </c>
      <c r="G16" s="15">
        <v>0.65766087300347553</v>
      </c>
      <c r="H16" s="15">
        <v>0.57661379567449722</v>
      </c>
      <c r="I16" s="15">
        <v>0.42620709804526247</v>
      </c>
      <c r="J16" s="15">
        <v>0.28831654112883304</v>
      </c>
      <c r="K16" s="15">
        <v>0.18096764209588542</v>
      </c>
      <c r="L16" s="15">
        <v>0.10754790653404978</v>
      </c>
    </row>
    <row r="17" spans="2:12" x14ac:dyDescent="0.25">
      <c r="B17" s="14">
        <v>6</v>
      </c>
      <c r="C17" s="15">
        <v>0.65737729932570954</v>
      </c>
      <c r="D17" s="15">
        <v>0.65772143768084479</v>
      </c>
      <c r="E17" s="15">
        <v>0.65806541017057441</v>
      </c>
      <c r="F17" s="15">
        <v>0.65840921651336937</v>
      </c>
      <c r="G17" s="15">
        <v>0.65875285642836012</v>
      </c>
      <c r="H17" s="15">
        <v>0.65909632963533771</v>
      </c>
      <c r="I17" s="15">
        <v>0.65943963585475385</v>
      </c>
      <c r="J17" s="15">
        <v>0.63803315674628414</v>
      </c>
      <c r="K17" s="15">
        <v>0.51919923668470203</v>
      </c>
      <c r="L17" s="15">
        <v>0.37065768596770704</v>
      </c>
    </row>
    <row r="18" spans="2:12" x14ac:dyDescent="0.25">
      <c r="B18" s="14">
        <v>5</v>
      </c>
      <c r="C18" s="15">
        <v>0.65714212329877109</v>
      </c>
      <c r="D18" s="15">
        <v>0.65748637479434269</v>
      </c>
      <c r="E18" s="15">
        <v>0.6578304606172003</v>
      </c>
      <c r="F18" s="15">
        <v>0.65817438048536436</v>
      </c>
      <c r="G18" s="15">
        <v>0.6585181341175147</v>
      </c>
      <c r="H18" s="15">
        <v>0.65886172123299103</v>
      </c>
      <c r="I18" s="15">
        <v>0.65920514155179366</v>
      </c>
      <c r="J18" s="15">
        <v>0.65954839479458416</v>
      </c>
      <c r="K18" s="15">
        <v>0.65989148068268588</v>
      </c>
      <c r="L18" s="15">
        <v>0.6540744688465957</v>
      </c>
    </row>
    <row r="19" spans="2:12" x14ac:dyDescent="0.25">
      <c r="B19" s="14">
        <v>4</v>
      </c>
      <c r="C19" s="15">
        <v>0.65690687009663185</v>
      </c>
      <c r="D19" s="15">
        <v>0.65725123460075374</v>
      </c>
      <c r="E19" s="15">
        <v>0.65759543362516049</v>
      </c>
      <c r="F19" s="15">
        <v>0.65793946688742255</v>
      </c>
      <c r="G19" s="15">
        <v>0.65828333410576934</v>
      </c>
      <c r="H19" s="15">
        <v>0.65862703499908948</v>
      </c>
      <c r="I19" s="15">
        <v>0.6589705692869321</v>
      </c>
      <c r="J19" s="15">
        <v>0.65931393668950711</v>
      </c>
      <c r="K19" s="15">
        <v>0.65965713692768557</v>
      </c>
      <c r="L19" s="15">
        <v>0.66000016972300068</v>
      </c>
    </row>
    <row r="20" spans="2:12" x14ac:dyDescent="0.25">
      <c r="B20" s="14">
        <v>3</v>
      </c>
      <c r="C20" s="15">
        <v>0.65667153980955995</v>
      </c>
      <c r="D20" s="15">
        <v>0.65701601719013603</v>
      </c>
      <c r="E20" s="15">
        <v>0.6573603292843031</v>
      </c>
      <c r="F20" s="15">
        <v>0.6577044758091819</v>
      </c>
      <c r="G20" s="15">
        <v>0.65804845648255139</v>
      </c>
      <c r="H20" s="15">
        <v>0.65839227102284992</v>
      </c>
      <c r="I20" s="15">
        <v>0.6587359191491754</v>
      </c>
      <c r="J20" s="15">
        <v>0.65907940058128633</v>
      </c>
      <c r="K20" s="15">
        <v>0.65942271503960193</v>
      </c>
      <c r="L20" s="15">
        <v>0.65976586224520306</v>
      </c>
    </row>
    <row r="21" spans="2:12" x14ac:dyDescent="0.25">
      <c r="B21" s="14">
        <v>2</v>
      </c>
      <c r="C21" s="15">
        <v>0.65643613252796662</v>
      </c>
      <c r="D21" s="15">
        <v>0.65678072265269116</v>
      </c>
      <c r="E21" s="15">
        <v>0.65712514768461994</v>
      </c>
      <c r="F21" s="15">
        <v>0.65746940734042403</v>
      </c>
      <c r="G21" s="15">
        <v>0.65781350133743244</v>
      </c>
      <c r="H21" s="15">
        <v>0.65815742939363331</v>
      </c>
      <c r="I21" s="15">
        <v>0.65850119122767381</v>
      </c>
      <c r="J21" s="15">
        <v>0.65884478655886125</v>
      </c>
      <c r="K21" s="15">
        <v>0.65918821510716319</v>
      </c>
      <c r="L21" s="15">
        <v>0.65953147659320865</v>
      </c>
    </row>
    <row r="22" spans="2:12" x14ac:dyDescent="0.25">
      <c r="B22" s="14">
        <v>1</v>
      </c>
      <c r="C22" s="15">
        <v>0.65620064834240599</v>
      </c>
      <c r="D22" s="15">
        <v>0.65654535107876399</v>
      </c>
      <c r="E22" s="15">
        <v>0.656889888916246</v>
      </c>
      <c r="F22" s="15">
        <v>0.6572342615710739</v>
      </c>
      <c r="G22" s="15">
        <v>0.65757846876012738</v>
      </c>
      <c r="H22" s="15">
        <v>0.65792251020094428</v>
      </c>
      <c r="I22" s="15">
        <v>0.65826638561172146</v>
      </c>
      <c r="J22" s="15">
        <v>0.65861009471131515</v>
      </c>
      <c r="K22" s="15">
        <v>0.65895363721924194</v>
      </c>
      <c r="L22" s="15">
        <v>0.65929701285567888</v>
      </c>
    </row>
    <row r="23" spans="2:12" x14ac:dyDescent="0.25">
      <c r="B23" s="14">
        <v>0</v>
      </c>
      <c r="C23" s="15">
        <v>0.65596508734357561</v>
      </c>
      <c r="D23" s="15">
        <v>0.65630990255884225</v>
      </c>
      <c r="E23" s="15">
        <v>0.65665455306945941</v>
      </c>
      <c r="F23" s="15">
        <v>0.65699903859120012</v>
      </c>
      <c r="G23" s="15">
        <v>0.65734335884049466</v>
      </c>
      <c r="H23" s="15">
        <v>0.65768751353443111</v>
      </c>
      <c r="I23" s="15">
        <v>0.65803150239075614</v>
      </c>
      <c r="J23" s="15">
        <v>0.65837532512787555</v>
      </c>
      <c r="K23" s="15">
        <v>0.65871898146485464</v>
      </c>
      <c r="L23" s="15">
        <v>0.65906247112141936</v>
      </c>
    </row>
    <row r="24" spans="2:12" x14ac:dyDescent="0.25">
      <c r="B24" s="14">
        <v>-1</v>
      </c>
      <c r="C24" s="15">
        <v>0.6557294496223155</v>
      </c>
      <c r="D24" s="15">
        <v>0.65607437718355699</v>
      </c>
      <c r="E24" s="15">
        <v>0.65641914023468195</v>
      </c>
      <c r="F24" s="15">
        <v>0.65676373849101455</v>
      </c>
      <c r="G24" s="15">
        <v>0.6571081716685363</v>
      </c>
      <c r="H24" s="15">
        <v>0.65745243948388576</v>
      </c>
      <c r="I24" s="15">
        <v>0.65779654165435963</v>
      </c>
      <c r="J24" s="15">
        <v>0.65814047789791352</v>
      </c>
      <c r="K24" s="15">
        <v>0.65848424793316196</v>
      </c>
      <c r="L24" s="15">
        <v>0.65882785147937983</v>
      </c>
    </row>
    <row r="25" spans="2:12" x14ac:dyDescent="0.25">
      <c r="B25" s="14">
        <v>-2</v>
      </c>
      <c r="C25" s="15">
        <v>0.65549373526960897</v>
      </c>
      <c r="D25" s="15">
        <v>0.65583877504368226</v>
      </c>
      <c r="E25" s="15">
        <v>0.65618365050247807</v>
      </c>
      <c r="F25" s="15">
        <v>0.65652836136087234</v>
      </c>
      <c r="G25" s="15">
        <v>0.65687290733439763</v>
      </c>
      <c r="H25" s="15">
        <v>0.65721728813924363</v>
      </c>
      <c r="I25" s="15">
        <v>0.65756150349225728</v>
      </c>
      <c r="J25" s="15">
        <v>0.65790555311094412</v>
      </c>
      <c r="K25" s="15">
        <v>0.65824943671346836</v>
      </c>
      <c r="L25" s="15">
        <v>0.65859315401865404</v>
      </c>
    </row>
    <row r="26" spans="2:12" x14ac:dyDescent="0.25">
      <c r="B26" s="14">
        <v>-3</v>
      </c>
      <c r="C26" s="15">
        <v>0.65525794437658169</v>
      </c>
      <c r="D26" s="15">
        <v>0.6556030962301348</v>
      </c>
      <c r="E26" s="15">
        <v>0.65594808396355542</v>
      </c>
      <c r="F26" s="15">
        <v>0.65629290729127165</v>
      </c>
      <c r="G26" s="15">
        <v>0.65663756592836753</v>
      </c>
      <c r="H26" s="15">
        <v>0.65698205959058364</v>
      </c>
      <c r="I26" s="15">
        <v>0.65732638799431797</v>
      </c>
      <c r="J26" s="15">
        <v>0.65767055085662607</v>
      </c>
      <c r="K26" s="15">
        <v>0.65801454789522229</v>
      </c>
      <c r="L26" s="15">
        <v>0.6583583788284797</v>
      </c>
    </row>
    <row r="27" spans="2:12" x14ac:dyDescent="0.25">
      <c r="B27" s="14">
        <v>-4</v>
      </c>
      <c r="C27" s="15">
        <v>0.6550220770345021</v>
      </c>
      <c r="D27" s="15">
        <v>0.6553673408339743</v>
      </c>
      <c r="E27" s="15">
        <v>0.65571244070876467</v>
      </c>
      <c r="F27" s="15">
        <v>0.65605737637285377</v>
      </c>
      <c r="G27" s="15">
        <v>0.65640214754087756</v>
      </c>
      <c r="H27" s="15">
        <v>0.65674675392812798</v>
      </c>
      <c r="I27" s="15">
        <v>0.65709119525055393</v>
      </c>
      <c r="J27" s="15">
        <v>0.65743547122476165</v>
      </c>
      <c r="K27" s="15">
        <v>0.65777958156801553</v>
      </c>
      <c r="L27" s="15">
        <v>0.65812352599823853</v>
      </c>
    </row>
    <row r="28" spans="2:12" x14ac:dyDescent="0.25">
      <c r="B28" s="14">
        <v>-5</v>
      </c>
      <c r="C28" s="15">
        <v>0.6547861333347812</v>
      </c>
      <c r="D28" s="15">
        <v>0.65513150894640293</v>
      </c>
      <c r="E28" s="15">
        <v>0.65547672082909914</v>
      </c>
      <c r="F28" s="15">
        <v>0.65582176869640318</v>
      </c>
      <c r="G28" s="15">
        <v>0.65616665226250281</v>
      </c>
      <c r="H28" s="15">
        <v>0.65651137124224201</v>
      </c>
      <c r="I28" s="15">
        <v>0.65685592535112092</v>
      </c>
      <c r="J28" s="15">
        <v>0.65720031430529668</v>
      </c>
      <c r="K28" s="15">
        <v>0.65754453782158406</v>
      </c>
      <c r="L28" s="15">
        <v>0.65788859561745583</v>
      </c>
    </row>
    <row r="29" spans="2:12" x14ac:dyDescent="0.25">
      <c r="B29" s="14">
        <v>-6</v>
      </c>
      <c r="C29" s="15">
        <v>0.6545501133689724</v>
      </c>
      <c r="D29" s="15">
        <v>0.65489560065876562</v>
      </c>
      <c r="E29" s="15">
        <v>0.65524092441569504</v>
      </c>
      <c r="F29" s="15">
        <v>0.65558608435284671</v>
      </c>
      <c r="G29" s="15">
        <v>0.65593108018396129</v>
      </c>
      <c r="H29" s="15">
        <v>0.65627591162343446</v>
      </c>
      <c r="I29" s="15">
        <v>0.65662057838631815</v>
      </c>
      <c r="J29" s="15">
        <v>0.65696508018832045</v>
      </c>
      <c r="K29" s="15">
        <v>0.6573094167458069</v>
      </c>
      <c r="L29" s="15">
        <v>0.65765358777580063</v>
      </c>
    </row>
    <row r="30" spans="2:12" x14ac:dyDescent="0.25">
      <c r="B30" s="14">
        <v>-7</v>
      </c>
      <c r="C30" s="15">
        <v>0.65431401722877169</v>
      </c>
      <c r="D30" s="15">
        <v>0.65465961606254974</v>
      </c>
      <c r="E30" s="15">
        <v>0.65500505155983091</v>
      </c>
      <c r="F30" s="15">
        <v>0.6553503234332545</v>
      </c>
      <c r="G30" s="15">
        <v>0.65569543139611375</v>
      </c>
      <c r="H30" s="15">
        <v>0.65604037516235691</v>
      </c>
      <c r="I30" s="15">
        <v>0.65638515444658752</v>
      </c>
      <c r="J30" s="15">
        <v>0.65672976896406532</v>
      </c>
      <c r="K30" s="15">
        <v>0.65707421843070679</v>
      </c>
      <c r="L30" s="15">
        <v>0.65741850256308565</v>
      </c>
    </row>
    <row r="31" spans="2:12" x14ac:dyDescent="0.25">
      <c r="B31" s="14">
        <v>-8</v>
      </c>
      <c r="C31" s="15">
        <v>0.65407784500601684</v>
      </c>
      <c r="D31" s="15">
        <v>0.654423555249385</v>
      </c>
      <c r="E31" s="15">
        <v>0.65476910235292818</v>
      </c>
      <c r="F31" s="15">
        <v>0.65511448602883893</v>
      </c>
      <c r="G31" s="15">
        <v>0.65545970598996395</v>
      </c>
      <c r="H31" s="15">
        <v>0.65580476194980386</v>
      </c>
      <c r="I31" s="15">
        <v>0.65614965362251443</v>
      </c>
      <c r="J31" s="15">
        <v>0.65649438072290711</v>
      </c>
      <c r="K31" s="15">
        <v>0.65683894296644985</v>
      </c>
      <c r="L31" s="15">
        <v>0.65718334006926704</v>
      </c>
    </row>
    <row r="32" spans="2:12" x14ac:dyDescent="0.25">
      <c r="B32" s="14">
        <v>-9</v>
      </c>
      <c r="C32" s="15">
        <v>0.65384159679268805</v>
      </c>
      <c r="D32" s="15">
        <v>0.65418741831104343</v>
      </c>
      <c r="E32" s="15">
        <v>0.65453307688655049</v>
      </c>
      <c r="F32" s="15">
        <v>0.65487857223095547</v>
      </c>
      <c r="G32" s="15">
        <v>0.65522390405665831</v>
      </c>
      <c r="H32" s="15">
        <v>0.65556907207671278</v>
      </c>
      <c r="I32" s="15">
        <v>0.65591407600482721</v>
      </c>
      <c r="J32" s="15">
        <v>0.65625891555536486</v>
      </c>
      <c r="K32" s="15">
        <v>0.65660359044334538</v>
      </c>
      <c r="L32" s="15">
        <v>0.65694810038444451</v>
      </c>
    </row>
    <row r="33" spans="2:12" x14ac:dyDescent="0.25">
      <c r="B33" s="14"/>
      <c r="C33" s="17"/>
      <c r="D33" s="17"/>
      <c r="E33" s="17"/>
      <c r="F33" s="17"/>
      <c r="G33" s="17"/>
      <c r="H33" s="17"/>
      <c r="I33" s="17"/>
      <c r="J33" s="17"/>
      <c r="K33" s="17"/>
      <c r="L33" s="17"/>
    </row>
  </sheetData>
  <conditionalFormatting sqref="C3:L32">
    <cfRule type="colorScale" priority="9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C121B-9668-4F4A-96DC-8F32832FABB9}">
  <sheetPr codeName="Sheet7"/>
  <dimension ref="B2:L32"/>
  <sheetViews>
    <sheetView workbookViewId="0">
      <selection activeCell="G17" sqref="G17"/>
    </sheetView>
  </sheetViews>
  <sheetFormatPr defaultRowHeight="15" x14ac:dyDescent="0.25"/>
  <sheetData>
    <row r="2" spans="2:12" x14ac:dyDescent="0.25">
      <c r="B2" s="14">
        <v>0</v>
      </c>
      <c r="C2" s="15">
        <v>-1.5</v>
      </c>
      <c r="D2" s="15">
        <v>-1.4222222222222223</v>
      </c>
      <c r="E2" s="15">
        <v>-1.3444444444444446</v>
      </c>
      <c r="F2" s="15">
        <v>-1.2666666666666666</v>
      </c>
      <c r="G2" s="15">
        <v>-1.1888888888888889</v>
      </c>
      <c r="H2" s="15">
        <v>-1.1111111111111112</v>
      </c>
      <c r="I2" s="15">
        <v>-1.0333333333333334</v>
      </c>
      <c r="J2" s="15">
        <v>-0.9555555555555556</v>
      </c>
      <c r="K2" s="15">
        <v>-0.87777777777777777</v>
      </c>
      <c r="L2" s="15">
        <v>-0.8</v>
      </c>
    </row>
    <row r="3" spans="2:12" x14ac:dyDescent="0.25">
      <c r="B3" s="14">
        <v>20</v>
      </c>
      <c r="C3" s="47">
        <v>0.10370072712506949</v>
      </c>
      <c r="D3" s="48">
        <v>8.1446087441136836E-2</v>
      </c>
      <c r="E3" s="47">
        <v>5.9191447757204155E-2</v>
      </c>
      <c r="F3" s="47">
        <v>3.6936808073271363E-2</v>
      </c>
      <c r="G3" s="47">
        <v>1.4682168389338654E-2</v>
      </c>
      <c r="H3" s="47">
        <v>-7.5724712945940548E-3</v>
      </c>
      <c r="I3" s="47">
        <v>-2.982711097852668E-2</v>
      </c>
      <c r="J3" s="15">
        <v>-5.2081750662459389E-2</v>
      </c>
      <c r="K3" s="15">
        <v>-7.433639034639207E-2</v>
      </c>
      <c r="L3" s="15">
        <v>-9.6591030030324834E-2</v>
      </c>
    </row>
    <row r="4" spans="2:12" x14ac:dyDescent="0.25">
      <c r="B4" s="14">
        <v>19</v>
      </c>
      <c r="C4" s="47">
        <v>0.10182391458448385</v>
      </c>
      <c r="D4" s="47">
        <v>7.9569274900551226E-2</v>
      </c>
      <c r="E4" s="47">
        <v>5.731463521661849E-2</v>
      </c>
      <c r="F4" s="48">
        <v>3.5059995532685642E-2</v>
      </c>
      <c r="G4" s="48">
        <v>1.2805355848752961E-2</v>
      </c>
      <c r="H4" s="47">
        <v>-9.4492838351797476E-3</v>
      </c>
      <c r="I4" s="48">
        <v>-3.1703923519112429E-2</v>
      </c>
      <c r="J4" s="15">
        <v>-5.395856320304511E-2</v>
      </c>
      <c r="K4" s="15">
        <v>-7.6213202886977791E-2</v>
      </c>
      <c r="L4" s="15">
        <v>-9.8467842570910472E-2</v>
      </c>
    </row>
    <row r="5" spans="2:12" x14ac:dyDescent="0.25">
      <c r="B5" s="14">
        <v>18</v>
      </c>
      <c r="C5" s="48">
        <v>9.9947102043898048E-2</v>
      </c>
      <c r="D5" s="48">
        <v>7.7692462359965478E-2</v>
      </c>
      <c r="E5" s="48">
        <v>5.5437822676032741E-2</v>
      </c>
      <c r="F5" s="47">
        <v>3.3183182992099977E-2</v>
      </c>
      <c r="G5" s="47">
        <v>1.0928543308167213E-2</v>
      </c>
      <c r="H5" s="47">
        <v>-1.1326096375765468E-2</v>
      </c>
      <c r="I5" s="48">
        <v>-3.3580736059698121E-2</v>
      </c>
      <c r="J5" s="15">
        <v>-5.583537574363083E-2</v>
      </c>
      <c r="K5" s="15">
        <v>-7.8090015427563539E-2</v>
      </c>
      <c r="L5" s="15">
        <v>-0.10034465511149622</v>
      </c>
    </row>
    <row r="6" spans="2:12" x14ac:dyDescent="0.25">
      <c r="B6" s="14">
        <v>17</v>
      </c>
      <c r="C6" s="47">
        <v>9.8070289503312438E-2</v>
      </c>
      <c r="D6" s="47">
        <v>7.5815649819379757E-2</v>
      </c>
      <c r="E6" s="47">
        <v>5.3561010135446993E-2</v>
      </c>
      <c r="F6" s="47">
        <v>3.1306370451514257E-2</v>
      </c>
      <c r="G6" s="48">
        <v>9.0517307675815756E-3</v>
      </c>
      <c r="H6" s="48">
        <v>-1.3202908916351133E-2</v>
      </c>
      <c r="I6" s="47">
        <v>-3.5457548600283842E-2</v>
      </c>
      <c r="J6" s="15">
        <v>-5.7712188284216551E-2</v>
      </c>
      <c r="K6" s="15">
        <v>-7.9966827968149232E-2</v>
      </c>
      <c r="L6" s="15">
        <v>-0.102221467652082</v>
      </c>
    </row>
    <row r="7" spans="2:12" x14ac:dyDescent="0.25">
      <c r="B7" s="14">
        <v>16</v>
      </c>
      <c r="C7" s="47">
        <v>9.6193476962726523E-2</v>
      </c>
      <c r="D7" s="48">
        <v>7.3938837278793926E-2</v>
      </c>
      <c r="E7" s="48">
        <v>5.1684197594861217E-2</v>
      </c>
      <c r="F7" s="48">
        <v>2.9429557910928425E-2</v>
      </c>
      <c r="G7" s="47">
        <v>7.1749182269957995E-3</v>
      </c>
      <c r="H7" s="47">
        <v>-1.507972145693677E-2</v>
      </c>
      <c r="I7" s="47">
        <v>-3.7334361140869562E-2</v>
      </c>
      <c r="J7" s="15">
        <v>-5.9589000824802243E-2</v>
      </c>
      <c r="K7" s="15">
        <v>-8.1843640508734897E-2</v>
      </c>
      <c r="L7" s="15">
        <v>-0.10409828019266761</v>
      </c>
    </row>
    <row r="8" spans="2:12" x14ac:dyDescent="0.25">
      <c r="B8" s="14">
        <v>15</v>
      </c>
      <c r="C8" s="47">
        <v>9.4316664422140942E-2</v>
      </c>
      <c r="D8" s="48">
        <v>7.2062024738208372E-2</v>
      </c>
      <c r="E8" s="47">
        <v>4.9807385054275607E-2</v>
      </c>
      <c r="F8" s="47">
        <v>2.7552745370342815E-2</v>
      </c>
      <c r="G8" s="47">
        <v>5.2981056864101622E-3</v>
      </c>
      <c r="H8" s="47">
        <v>-1.6956533997522658E-2</v>
      </c>
      <c r="I8" s="47">
        <v>-3.9211173681455255E-2</v>
      </c>
      <c r="J8" s="15">
        <v>-6.146581336538802E-2</v>
      </c>
      <c r="K8" s="15">
        <v>-8.3720453049320701E-2</v>
      </c>
      <c r="L8" s="15">
        <v>-0.10597509273325335</v>
      </c>
    </row>
    <row r="9" spans="2:12" x14ac:dyDescent="0.25">
      <c r="B9" s="14">
        <v>14</v>
      </c>
      <c r="C9" s="47">
        <v>9.2439851881555332E-2</v>
      </c>
      <c r="D9" s="47">
        <v>7.0185212197622651E-2</v>
      </c>
      <c r="E9" s="47">
        <v>4.793057251368997E-2</v>
      </c>
      <c r="F9" s="48">
        <v>2.5675932829757067E-2</v>
      </c>
      <c r="G9" s="47">
        <v>3.4212931458244694E-3</v>
      </c>
      <c r="H9" s="47">
        <v>-1.883334653810835E-2</v>
      </c>
      <c r="I9" s="47">
        <v>-4.1087986222040948E-2</v>
      </c>
      <c r="J9" s="15">
        <v>-6.3342625905973685E-2</v>
      </c>
      <c r="K9" s="15">
        <v>-8.5597265589906393E-2</v>
      </c>
      <c r="L9" s="15">
        <v>-0.10785190527383907</v>
      </c>
    </row>
    <row r="10" spans="2:12" x14ac:dyDescent="0.25">
      <c r="B10" s="14">
        <v>13</v>
      </c>
      <c r="C10" s="15">
        <v>9.0563039340969556E-2</v>
      </c>
      <c r="D10" s="15">
        <v>6.830839965703682E-2</v>
      </c>
      <c r="E10" s="15">
        <v>4.6053759973104139E-2</v>
      </c>
      <c r="F10" s="15">
        <v>2.3799120289171347E-2</v>
      </c>
      <c r="G10" s="15">
        <v>1.5444806052386378E-3</v>
      </c>
      <c r="H10" s="15">
        <v>-2.0710159078693988E-2</v>
      </c>
      <c r="I10" s="15">
        <v>-4.2964798762626641E-2</v>
      </c>
      <c r="J10" s="15">
        <v>-6.5219438446559322E-2</v>
      </c>
      <c r="K10" s="15">
        <v>-8.7474078130492086E-2</v>
      </c>
      <c r="L10" s="15">
        <v>-0.10972871781442477</v>
      </c>
    </row>
    <row r="11" spans="2:12" x14ac:dyDescent="0.25">
      <c r="B11" s="14">
        <v>12</v>
      </c>
      <c r="C11" s="15">
        <v>8.8686226800383863E-2</v>
      </c>
      <c r="D11" s="15">
        <v>6.6431587116451155E-2</v>
      </c>
      <c r="E11" s="15">
        <v>4.4176947432518557E-2</v>
      </c>
      <c r="F11" s="15">
        <v>2.1922307748585793E-2</v>
      </c>
      <c r="G11" s="15">
        <v>-3.3233193534691619E-4</v>
      </c>
      <c r="H11" s="15">
        <v>-2.2586971619279708E-2</v>
      </c>
      <c r="I11" s="15">
        <v>-4.4841611303212417E-2</v>
      </c>
      <c r="J11" s="15">
        <v>-6.7096250987145181E-2</v>
      </c>
      <c r="K11" s="15">
        <v>-8.9350890671077807E-2</v>
      </c>
      <c r="L11" s="15">
        <v>-0.11160553035501046</v>
      </c>
    </row>
    <row r="12" spans="2:12" x14ac:dyDescent="0.25">
      <c r="B12" s="14">
        <v>11</v>
      </c>
      <c r="C12" s="15">
        <v>8.6809414259798032E-2</v>
      </c>
      <c r="D12" s="15">
        <v>6.4554774575865517E-2</v>
      </c>
      <c r="E12" s="15">
        <v>4.2300134891932753E-2</v>
      </c>
      <c r="F12" s="15">
        <v>2.0045495207999961E-2</v>
      </c>
      <c r="G12" s="15">
        <v>-2.20914447593272E-3</v>
      </c>
      <c r="H12" s="15">
        <v>-2.4463784159865457E-2</v>
      </c>
      <c r="I12" s="15">
        <v>-4.671842384379811E-2</v>
      </c>
      <c r="J12" s="15">
        <v>-6.8973063527730819E-2</v>
      </c>
      <c r="K12" s="15">
        <v>-9.1227703211663499E-2</v>
      </c>
      <c r="L12" s="15">
        <v>-0.11348234289559624</v>
      </c>
    </row>
    <row r="13" spans="2:12" x14ac:dyDescent="0.25">
      <c r="B13" s="14">
        <v>10</v>
      </c>
      <c r="C13" s="15">
        <v>8.4932601719212339E-2</v>
      </c>
      <c r="D13" s="15">
        <v>6.267796203527988E-2</v>
      </c>
      <c r="E13" s="15">
        <v>4.0423322351347032E-2</v>
      </c>
      <c r="F13" s="15">
        <v>1.8168682667414157E-2</v>
      </c>
      <c r="G13" s="15">
        <v>-4.0859570165185516E-3</v>
      </c>
      <c r="H13" s="15">
        <v>-2.6340596700451122E-2</v>
      </c>
      <c r="I13" s="15">
        <v>-4.8595236384383858E-2</v>
      </c>
      <c r="J13" s="15">
        <v>-7.0849876068316511E-2</v>
      </c>
      <c r="K13" s="15">
        <v>-9.310451575224922E-2</v>
      </c>
      <c r="L13" s="15">
        <v>-0.11535915543618193</v>
      </c>
    </row>
    <row r="14" spans="2:12" x14ac:dyDescent="0.25">
      <c r="B14" s="14">
        <v>9</v>
      </c>
      <c r="C14" s="15">
        <v>0.12037982000269463</v>
      </c>
      <c r="D14" s="15">
        <v>7.2538747427971853E-2</v>
      </c>
      <c r="E14" s="15">
        <v>3.854650981076134E-2</v>
      </c>
      <c r="F14" s="15">
        <v>1.6291870126828464E-2</v>
      </c>
      <c r="G14" s="15">
        <v>-5.9627695571041334E-3</v>
      </c>
      <c r="H14" s="15">
        <v>-2.8217409241036842E-2</v>
      </c>
      <c r="I14" s="15">
        <v>-5.0472048924969579E-2</v>
      </c>
      <c r="J14" s="15">
        <v>-7.2726688608902232E-2</v>
      </c>
      <c r="K14" s="15">
        <v>-9.4981328292834913E-2</v>
      </c>
      <c r="L14" s="15">
        <v>-0.11723596797676759</v>
      </c>
    </row>
    <row r="15" spans="2:12" x14ac:dyDescent="0.25">
      <c r="B15" s="14">
        <v>8</v>
      </c>
      <c r="C15" s="15">
        <v>0.16234279842234295</v>
      </c>
      <c r="D15" s="15">
        <v>0.11450172584762035</v>
      </c>
      <c r="E15" s="15">
        <v>6.666065327289751E-2</v>
      </c>
      <c r="F15" s="15">
        <v>1.8819580698174368E-2</v>
      </c>
      <c r="G15" s="15">
        <v>-7.8395820976898817E-3</v>
      </c>
      <c r="H15" s="15">
        <v>-3.0094221781622535E-2</v>
      </c>
      <c r="I15" s="15">
        <v>-5.2348861465555244E-2</v>
      </c>
      <c r="J15" s="15">
        <v>-7.4603501149487952E-2</v>
      </c>
      <c r="K15" s="15">
        <v>-9.6858140833420717E-2</v>
      </c>
      <c r="L15" s="15">
        <v>-0.11911278051735345</v>
      </c>
    </row>
    <row r="16" spans="2:12" x14ac:dyDescent="0.25">
      <c r="B16" s="14">
        <v>7</v>
      </c>
      <c r="C16" s="15">
        <v>0.24617573016549676</v>
      </c>
      <c r="D16" s="15">
        <v>0.16272344339783329</v>
      </c>
      <c r="E16" s="15">
        <v>0.10862363169254595</v>
      </c>
      <c r="F16" s="15">
        <v>6.0782559117822973E-2</v>
      </c>
      <c r="G16" s="15">
        <v>1.2941486543100136E-2</v>
      </c>
      <c r="H16" s="15">
        <v>-3.1971034322208283E-2</v>
      </c>
      <c r="I16" s="15">
        <v>-5.4225674006140992E-2</v>
      </c>
      <c r="J16" s="15">
        <v>-7.6480313690073673E-2</v>
      </c>
      <c r="K16" s="15">
        <v>-9.8734953374006298E-2</v>
      </c>
      <c r="L16" s="15">
        <v>-0.12098959305793903</v>
      </c>
    </row>
    <row r="17" spans="2:12" x14ac:dyDescent="0.25">
      <c r="B17" s="14">
        <v>6</v>
      </c>
      <c r="C17" s="15">
        <v>0.38545644903916565</v>
      </c>
      <c r="D17" s="15">
        <v>0.29592550983342925</v>
      </c>
      <c r="E17" s="15">
        <v>0.20639457062769273</v>
      </c>
      <c r="F17" s="15">
        <v>0.11686363142195587</v>
      </c>
      <c r="G17" s="15">
        <v>5.490446496274877E-2</v>
      </c>
      <c r="H17" s="15">
        <v>7.0633923880259047E-3</v>
      </c>
      <c r="I17" s="15">
        <v>-4.0777680186696988E-2</v>
      </c>
      <c r="J17" s="15">
        <v>-7.8357126230659338E-2</v>
      </c>
      <c r="K17" s="15">
        <v>-0.10061176591459205</v>
      </c>
      <c r="L17" s="15">
        <v>-0.12286640559852473</v>
      </c>
    </row>
    <row r="18" spans="2:12" x14ac:dyDescent="0.25">
      <c r="B18" s="14">
        <v>5</v>
      </c>
      <c r="C18" s="15">
        <v>0.52473716791283487</v>
      </c>
      <c r="D18" s="15">
        <v>0.43520622870709824</v>
      </c>
      <c r="E18" s="15">
        <v>0.34567528950136195</v>
      </c>
      <c r="F18" s="15">
        <v>0.25614435029562499</v>
      </c>
      <c r="G18" s="15">
        <v>0.16661341108988864</v>
      </c>
      <c r="H18" s="15">
        <v>7.7082471884152029E-2</v>
      </c>
      <c r="I18" s="15">
        <v>4.4047659476107864E-3</v>
      </c>
      <c r="J18" s="15">
        <v>-4.6655774341771358E-2</v>
      </c>
      <c r="K18" s="15">
        <v>-9.4496846916494223E-2</v>
      </c>
      <c r="L18" s="15">
        <v>-0.12474321813911053</v>
      </c>
    </row>
    <row r="19" spans="2:12" x14ac:dyDescent="0.25">
      <c r="B19" s="14">
        <v>4</v>
      </c>
      <c r="C19" s="15">
        <v>0.66401788678650409</v>
      </c>
      <c r="D19" s="15">
        <v>0.57448694758076768</v>
      </c>
      <c r="E19" s="15">
        <v>0.48495600837503072</v>
      </c>
      <c r="F19" s="15">
        <v>0.39542506916929399</v>
      </c>
      <c r="G19" s="15">
        <v>0.30589412996355769</v>
      </c>
      <c r="H19" s="15">
        <v>0.21636319075782096</v>
      </c>
      <c r="I19" s="15">
        <v>0.12683225155208461</v>
      </c>
      <c r="J19" s="15">
        <v>3.7301312346347884E-2</v>
      </c>
      <c r="K19" s="15">
        <v>-4.1261173576163254E-2</v>
      </c>
      <c r="L19" s="15">
        <v>-9.5910580410200272E-2</v>
      </c>
    </row>
    <row r="20" spans="2:12" x14ac:dyDescent="0.25">
      <c r="B20" s="14">
        <v>3</v>
      </c>
      <c r="C20" s="15">
        <v>0.8032986056601733</v>
      </c>
      <c r="D20" s="15">
        <v>0.71376766645443679</v>
      </c>
      <c r="E20" s="15">
        <v>0.62423672724870005</v>
      </c>
      <c r="F20" s="15">
        <v>0.53470578804296343</v>
      </c>
      <c r="G20" s="15">
        <v>0.44517484883722691</v>
      </c>
      <c r="H20" s="15">
        <v>0.3556439096314904</v>
      </c>
      <c r="I20" s="15">
        <v>0.26611297042575366</v>
      </c>
      <c r="J20" s="15">
        <v>0.17658203122001703</v>
      </c>
      <c r="K20" s="15">
        <v>8.7051092014280476E-2</v>
      </c>
      <c r="L20" s="15">
        <v>-2.4798471914561498E-3</v>
      </c>
    </row>
    <row r="21" spans="2:12" x14ac:dyDescent="0.25">
      <c r="B21" s="14">
        <v>2</v>
      </c>
      <c r="C21" s="15">
        <v>0.94257932453384241</v>
      </c>
      <c r="D21" s="15">
        <v>0.85304838532810601</v>
      </c>
      <c r="E21" s="15">
        <v>0.76351744612236938</v>
      </c>
      <c r="F21" s="15">
        <v>0.67398650691663242</v>
      </c>
      <c r="G21" s="15">
        <v>0.58445556771089613</v>
      </c>
      <c r="H21" s="15">
        <v>0.4949246285051595</v>
      </c>
      <c r="I21" s="15">
        <v>0.40539368929942288</v>
      </c>
      <c r="J21" s="15">
        <v>0.31586275009368625</v>
      </c>
      <c r="K21" s="15">
        <v>0.22633181088794957</v>
      </c>
      <c r="L21" s="15">
        <v>0.13680087168221305</v>
      </c>
    </row>
    <row r="22" spans="2:12" x14ac:dyDescent="0.25">
      <c r="B22" s="14">
        <v>1</v>
      </c>
      <c r="C22" s="15">
        <v>1.0818600434075114</v>
      </c>
      <c r="D22" s="15">
        <v>0.99232910420177511</v>
      </c>
      <c r="E22" s="15">
        <v>0.90279816499603849</v>
      </c>
      <c r="F22" s="15">
        <v>0.81326722579030153</v>
      </c>
      <c r="G22" s="15">
        <v>0.72373628658456535</v>
      </c>
      <c r="H22" s="15">
        <v>0.63420534737882872</v>
      </c>
      <c r="I22" s="15">
        <v>0.54467440817309198</v>
      </c>
      <c r="J22" s="15">
        <v>0.45514346896735536</v>
      </c>
      <c r="K22" s="15">
        <v>0.36561252976161879</v>
      </c>
      <c r="L22" s="15">
        <v>0.27608159055588222</v>
      </c>
    </row>
    <row r="23" spans="2:12" x14ac:dyDescent="0.25">
      <c r="B23" s="14">
        <v>0</v>
      </c>
      <c r="C23" s="15">
        <v>1.2211407622811807</v>
      </c>
      <c r="D23" s="15">
        <v>1.1316098230754443</v>
      </c>
      <c r="E23" s="15">
        <v>1.0420788838697077</v>
      </c>
      <c r="F23" s="15">
        <v>0.95254794466397052</v>
      </c>
      <c r="G23" s="15">
        <v>0.86301700545823445</v>
      </c>
      <c r="H23" s="15">
        <v>0.77348606625249761</v>
      </c>
      <c r="I23" s="15">
        <v>0.68395512704676142</v>
      </c>
      <c r="J23" s="15">
        <v>0.59442418784102458</v>
      </c>
      <c r="K23" s="15">
        <v>0.50489324863528784</v>
      </c>
      <c r="L23" s="15">
        <v>0.41536230942955138</v>
      </c>
    </row>
    <row r="24" spans="2:12" x14ac:dyDescent="0.25">
      <c r="B24" s="14">
        <v>-1</v>
      </c>
      <c r="C24" s="15">
        <v>1.3604214811548501</v>
      </c>
      <c r="D24" s="15">
        <v>1.2708905419491134</v>
      </c>
      <c r="E24" s="15">
        <v>1.1813596027433773</v>
      </c>
      <c r="F24" s="15">
        <v>1.0918286635376402</v>
      </c>
      <c r="G24" s="15">
        <v>1.0022977243319036</v>
      </c>
      <c r="H24" s="15">
        <v>0.91276678512616716</v>
      </c>
      <c r="I24" s="15">
        <v>0.82323584592043031</v>
      </c>
      <c r="J24" s="15">
        <v>0.73370490671469368</v>
      </c>
      <c r="K24" s="15">
        <v>0.64417396750895706</v>
      </c>
      <c r="L24" s="15">
        <v>0.55464302830322054</v>
      </c>
    </row>
    <row r="25" spans="2:12" x14ac:dyDescent="0.25">
      <c r="B25" s="14">
        <v>-2</v>
      </c>
      <c r="C25" s="15">
        <v>1.4997022000285192</v>
      </c>
      <c r="D25" s="15">
        <v>1.4101712608227825</v>
      </c>
      <c r="E25" s="15">
        <v>1.3206403216170461</v>
      </c>
      <c r="F25" s="15">
        <v>1.2311093824113091</v>
      </c>
      <c r="G25" s="15">
        <v>1.1415784432055727</v>
      </c>
      <c r="H25" s="15">
        <v>1.0520475039998363</v>
      </c>
      <c r="I25" s="15">
        <v>0.96251656479409975</v>
      </c>
      <c r="J25" s="15">
        <v>0.87298562558836279</v>
      </c>
      <c r="K25" s="15">
        <v>0.78345468638262616</v>
      </c>
      <c r="L25" s="15">
        <v>0.69392374717688965</v>
      </c>
    </row>
    <row r="26" spans="2:12" x14ac:dyDescent="0.25">
      <c r="B26" s="14">
        <v>-3</v>
      </c>
      <c r="C26" s="15">
        <v>1.6389829189021883</v>
      </c>
      <c r="D26" s="15">
        <v>1.5494519796964517</v>
      </c>
      <c r="E26" s="15">
        <v>1.4599210404907155</v>
      </c>
      <c r="F26" s="15">
        <v>1.3703901012849784</v>
      </c>
      <c r="G26" s="15">
        <v>1.2808591620792418</v>
      </c>
      <c r="H26" s="15">
        <v>1.1913282228735054</v>
      </c>
      <c r="I26" s="15">
        <v>1.1017972836677687</v>
      </c>
      <c r="J26" s="15">
        <v>1.0122663444620321</v>
      </c>
      <c r="K26" s="15">
        <v>0.92273540525629549</v>
      </c>
      <c r="L26" s="15">
        <v>0.83320446605055887</v>
      </c>
    </row>
    <row r="27" spans="2:12" x14ac:dyDescent="0.25">
      <c r="B27" s="14">
        <v>-4</v>
      </c>
      <c r="C27" s="15">
        <v>1.7782636377758574</v>
      </c>
      <c r="D27" s="15">
        <v>1.6887326985701212</v>
      </c>
      <c r="E27" s="15">
        <v>1.5992017593643844</v>
      </c>
      <c r="F27" s="15">
        <v>1.5096708201586475</v>
      </c>
      <c r="G27" s="15">
        <v>1.4201398809529109</v>
      </c>
      <c r="H27" s="15">
        <v>1.3306089417471747</v>
      </c>
      <c r="I27" s="15">
        <v>1.2410780025414381</v>
      </c>
      <c r="J27" s="15">
        <v>1.1515470633357014</v>
      </c>
      <c r="K27" s="15">
        <v>1.062016124129965</v>
      </c>
      <c r="L27" s="15">
        <v>0.97248518492422809</v>
      </c>
    </row>
    <row r="28" spans="2:12" x14ac:dyDescent="0.25">
      <c r="B28" s="14">
        <v>-5</v>
      </c>
      <c r="C28" s="15">
        <v>1.9175443566495269</v>
      </c>
      <c r="D28" s="15">
        <v>1.8280134174437899</v>
      </c>
      <c r="E28" s="15">
        <v>1.7384824782380532</v>
      </c>
      <c r="F28" s="15">
        <v>1.6489515390323164</v>
      </c>
      <c r="G28" s="15">
        <v>1.55942059982658</v>
      </c>
      <c r="H28" s="15">
        <v>1.4698896606208434</v>
      </c>
      <c r="I28" s="15">
        <v>1.380358721415107</v>
      </c>
      <c r="J28" s="15">
        <v>1.2908277822093703</v>
      </c>
      <c r="K28" s="15">
        <v>1.2012968430036337</v>
      </c>
      <c r="L28" s="15">
        <v>1.1117659037978975</v>
      </c>
    </row>
    <row r="29" spans="2:12" x14ac:dyDescent="0.25">
      <c r="B29" s="14">
        <v>-6</v>
      </c>
      <c r="C29" s="15">
        <v>2.0568250755231956</v>
      </c>
      <c r="D29" s="15">
        <v>1.9672941363174594</v>
      </c>
      <c r="E29" s="15">
        <v>1.8777631971117228</v>
      </c>
      <c r="F29" s="15">
        <v>1.7882322579059857</v>
      </c>
      <c r="G29" s="15">
        <v>1.6987013187002495</v>
      </c>
      <c r="H29" s="15">
        <v>1.6091703794945127</v>
      </c>
      <c r="I29" s="15">
        <v>1.5196394402887763</v>
      </c>
      <c r="J29" s="15">
        <v>1.4301085010830397</v>
      </c>
      <c r="K29" s="15">
        <v>1.340577561877303</v>
      </c>
      <c r="L29" s="15">
        <v>1.2510466226715666</v>
      </c>
    </row>
    <row r="30" spans="2:12" x14ac:dyDescent="0.25">
      <c r="B30" s="14">
        <v>-7</v>
      </c>
      <c r="C30" s="15">
        <v>2.1961057943968654</v>
      </c>
      <c r="D30" s="15">
        <v>2.1065748551911283</v>
      </c>
      <c r="E30" s="15">
        <v>2.0170439159853921</v>
      </c>
      <c r="F30" s="15">
        <v>1.9275129767796555</v>
      </c>
      <c r="G30" s="15">
        <v>1.8379820375739186</v>
      </c>
      <c r="H30" s="15">
        <v>1.748451098368182</v>
      </c>
      <c r="I30" s="15">
        <v>1.6589201591624456</v>
      </c>
      <c r="J30" s="15">
        <v>1.569389219956709</v>
      </c>
      <c r="K30" s="15">
        <v>1.4798582807509719</v>
      </c>
      <c r="L30" s="15">
        <v>1.3903273415452357</v>
      </c>
    </row>
    <row r="31" spans="2:12" x14ac:dyDescent="0.25">
      <c r="B31" s="14">
        <v>-8</v>
      </c>
      <c r="C31" s="15">
        <v>2.3353865132705343</v>
      </c>
      <c r="D31" s="15">
        <v>2.2458555740647976</v>
      </c>
      <c r="E31" s="15">
        <v>2.1563246348590615</v>
      </c>
      <c r="F31" s="15">
        <v>2.0667936956533244</v>
      </c>
      <c r="G31" s="15">
        <v>1.9772627564475878</v>
      </c>
      <c r="H31" s="15">
        <v>1.8877318172418511</v>
      </c>
      <c r="I31" s="15">
        <v>1.7982008780361149</v>
      </c>
      <c r="J31" s="15">
        <v>1.7086699388303779</v>
      </c>
      <c r="K31" s="15">
        <v>1.6191389996246413</v>
      </c>
      <c r="L31" s="15">
        <v>1.5296080604189048</v>
      </c>
    </row>
    <row r="32" spans="2:12" x14ac:dyDescent="0.25">
      <c r="B32" s="14">
        <v>-9</v>
      </c>
      <c r="C32" s="15">
        <v>2.474667232144204</v>
      </c>
      <c r="D32" s="15">
        <v>2.385136292938467</v>
      </c>
      <c r="E32" s="15">
        <v>2.2956053537327308</v>
      </c>
      <c r="F32" s="15">
        <v>2.2060744145269942</v>
      </c>
      <c r="G32" s="15">
        <v>2.1165434753212575</v>
      </c>
      <c r="H32" s="15">
        <v>2.0270125361155205</v>
      </c>
      <c r="I32" s="15">
        <v>1.9374815969097843</v>
      </c>
      <c r="J32" s="15">
        <v>1.8479506577040474</v>
      </c>
      <c r="K32" s="15">
        <v>1.7584197184983104</v>
      </c>
      <c r="L32" s="15">
        <v>1.6688887792925744</v>
      </c>
    </row>
  </sheetData>
  <conditionalFormatting sqref="C3:L32">
    <cfRule type="colorScale" priority="1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0EA45-D8D9-4BDC-A5BF-1B6A7661420A}">
  <sheetPr codeName="Sheet11"/>
  <dimension ref="A1:AU50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1" sqref="J1"/>
    </sheetView>
  </sheetViews>
  <sheetFormatPr defaultRowHeight="15" x14ac:dyDescent="0.25"/>
  <cols>
    <col min="1" max="1" width="13.28515625" bestFit="1" customWidth="1"/>
    <col min="7" max="7" width="14.85546875" customWidth="1"/>
    <col min="8" max="8" width="9" customWidth="1"/>
    <col min="10" max="10" width="9.140625" customWidth="1"/>
    <col min="38" max="38" width="12" bestFit="1" customWidth="1"/>
  </cols>
  <sheetData>
    <row r="1" spans="1:47" x14ac:dyDescent="0.25">
      <c r="A1" t="s">
        <v>48</v>
      </c>
      <c r="B1" t="s">
        <v>44</v>
      </c>
      <c r="C1" t="s">
        <v>45</v>
      </c>
      <c r="D1" t="s">
        <v>46</v>
      </c>
      <c r="E1" t="s">
        <v>47</v>
      </c>
      <c r="G1" t="s">
        <v>53</v>
      </c>
      <c r="H1" t="s">
        <v>52</v>
      </c>
      <c r="I1" s="56">
        <f t="array" ref="I1">AVERAGE(IF(G2:G151=A2:A151,1,0))</f>
        <v>0.98</v>
      </c>
      <c r="J1" s="51">
        <v>4.8611111111111105E-2</v>
      </c>
      <c r="K1" s="51"/>
      <c r="L1" t="s">
        <v>54</v>
      </c>
      <c r="M1" t="s">
        <v>57</v>
      </c>
      <c r="N1" t="s">
        <v>58</v>
      </c>
      <c r="O1" t="s">
        <v>55</v>
      </c>
      <c r="P1" t="s">
        <v>57</v>
      </c>
      <c r="Q1" t="s">
        <v>58</v>
      </c>
      <c r="R1" t="s">
        <v>56</v>
      </c>
      <c r="S1" t="s">
        <v>57</v>
      </c>
      <c r="T1" t="s">
        <v>58</v>
      </c>
      <c r="AE1" t="s">
        <v>1</v>
      </c>
      <c r="AF1" t="s">
        <v>2</v>
      </c>
      <c r="AG1" t="s">
        <v>60</v>
      </c>
      <c r="AH1">
        <f t="array" ref="AH1">AVERAGE((AF2:AF102-AG2:AG102)^2)/2</f>
        <v>3.4765834223859544E-2</v>
      </c>
    </row>
    <row r="2" spans="1:47" x14ac:dyDescent="0.25">
      <c r="A2" t="s">
        <v>50</v>
      </c>
      <c r="B2">
        <v>6.4</v>
      </c>
      <c r="C2">
        <v>3.2</v>
      </c>
      <c r="D2">
        <v>4.5</v>
      </c>
      <c r="E2">
        <v>1.5</v>
      </c>
      <c r="G2" t="s">
        <v>50</v>
      </c>
      <c r="H2" t="s">
        <v>50</v>
      </c>
      <c r="I2" s="56">
        <f t="array" ref="I2">AVERAGE(IF(H2:H151=A2:A151,1,0))</f>
        <v>0.98</v>
      </c>
      <c r="J2" s="51">
        <v>3.4722222222222224E-2</v>
      </c>
      <c r="L2">
        <v>1</v>
      </c>
      <c r="M2">
        <v>2.4640251352694005</v>
      </c>
      <c r="N2">
        <v>1E-3</v>
      </c>
      <c r="O2">
        <v>1</v>
      </c>
      <c r="P2">
        <v>6.5803724123416396E-2</v>
      </c>
      <c r="Q2">
        <v>1E-3</v>
      </c>
      <c r="R2">
        <v>1</v>
      </c>
      <c r="S2">
        <v>6.5693582825126204E-2</v>
      </c>
      <c r="T2">
        <v>1E-3</v>
      </c>
      <c r="AE2">
        <v>0.35000000000000014</v>
      </c>
      <c r="AF2">
        <v>-1.5544548452760956</v>
      </c>
      <c r="AG2">
        <v>-1.4258446331422121</v>
      </c>
      <c r="AI2">
        <v>1</v>
      </c>
      <c r="AJ2">
        <v>0.49761555658668088</v>
      </c>
      <c r="AK2">
        <v>1</v>
      </c>
      <c r="AT2">
        <v>0.35000000000000014</v>
      </c>
      <c r="AU2">
        <v>-1.5544548452760956</v>
      </c>
    </row>
    <row r="3" spans="1:47" x14ac:dyDescent="0.25">
      <c r="A3" t="s">
        <v>49</v>
      </c>
      <c r="B3">
        <v>5.0999999999999996</v>
      </c>
      <c r="C3">
        <v>3.5</v>
      </c>
      <c r="D3">
        <v>1.4</v>
      </c>
      <c r="E3">
        <v>0.2</v>
      </c>
      <c r="G3" t="s">
        <v>49</v>
      </c>
      <c r="H3" t="s">
        <v>49</v>
      </c>
      <c r="L3">
        <v>2</v>
      </c>
      <c r="M3">
        <v>6.4154415130609974E-2</v>
      </c>
      <c r="N3">
        <v>1E-4</v>
      </c>
      <c r="O3">
        <v>2</v>
      </c>
      <c r="P3">
        <v>6.2315518361333484E-2</v>
      </c>
      <c r="Q3">
        <v>1.0500000000000002E-3</v>
      </c>
      <c r="R3">
        <v>2</v>
      </c>
      <c r="S3">
        <v>6.2493440510291771E-2</v>
      </c>
      <c r="T3">
        <v>1.0500000000000002E-3</v>
      </c>
      <c r="AE3">
        <v>0.3000000000000001</v>
      </c>
      <c r="AF3">
        <v>-0.61591384657191028</v>
      </c>
      <c r="AG3">
        <v>-0.93413063560085163</v>
      </c>
      <c r="AI3">
        <v>2</v>
      </c>
      <c r="AJ3">
        <v>0.4960268990569231</v>
      </c>
      <c r="AK3">
        <v>9.4375</v>
      </c>
      <c r="AT3">
        <v>0.3000000000000001</v>
      </c>
      <c r="AU3">
        <v>-0.61591384657191028</v>
      </c>
    </row>
    <row r="4" spans="1:47" x14ac:dyDescent="0.25">
      <c r="A4" t="s">
        <v>51</v>
      </c>
      <c r="B4">
        <v>6.3</v>
      </c>
      <c r="C4">
        <v>2.9</v>
      </c>
      <c r="D4">
        <v>5.6</v>
      </c>
      <c r="E4">
        <v>1.8</v>
      </c>
      <c r="G4" t="s">
        <v>51</v>
      </c>
      <c r="H4" t="s">
        <v>51</v>
      </c>
      <c r="L4">
        <v>3</v>
      </c>
      <c r="M4">
        <v>6.2719890256238101E-2</v>
      </c>
      <c r="N4">
        <v>1.05E-4</v>
      </c>
      <c r="O4">
        <v>3</v>
      </c>
      <c r="P4">
        <v>5.9295233081324845E-2</v>
      </c>
      <c r="Q4">
        <v>1.1025000000000002E-3</v>
      </c>
      <c r="R4">
        <v>3</v>
      </c>
      <c r="S4">
        <v>6.0463147648466289E-2</v>
      </c>
      <c r="T4">
        <v>1.1025000000000002E-3</v>
      </c>
      <c r="AE4">
        <v>0.34000000000000014</v>
      </c>
      <c r="AF4">
        <v>-1.3950444955108732</v>
      </c>
      <c r="AG4">
        <v>-1.3582212845857526</v>
      </c>
      <c r="AI4">
        <v>3</v>
      </c>
      <c r="AJ4">
        <v>0.47908385530854769</v>
      </c>
      <c r="AK4">
        <v>1</v>
      </c>
      <c r="AT4">
        <v>0.34000000000000014</v>
      </c>
      <c r="AU4">
        <v>-1.3950444955108732</v>
      </c>
    </row>
    <row r="5" spans="1:47" x14ac:dyDescent="0.25">
      <c r="A5" t="s">
        <v>49</v>
      </c>
      <c r="B5">
        <v>4.8</v>
      </c>
      <c r="C5">
        <v>3.4</v>
      </c>
      <c r="D5">
        <v>1.9</v>
      </c>
      <c r="E5">
        <v>0.2</v>
      </c>
      <c r="G5" t="s">
        <v>49</v>
      </c>
      <c r="H5" t="s">
        <v>49</v>
      </c>
      <c r="L5">
        <v>4</v>
      </c>
      <c r="M5">
        <v>6.1426359537810608E-2</v>
      </c>
      <c r="N5">
        <v>1.1025000000000001E-4</v>
      </c>
      <c r="O5">
        <v>4</v>
      </c>
      <c r="P5">
        <v>5.6527237902257763E-2</v>
      </c>
      <c r="Q5">
        <v>1.1576250000000002E-3</v>
      </c>
      <c r="R5">
        <v>4</v>
      </c>
      <c r="S5">
        <v>5.8931994178754048E-2</v>
      </c>
      <c r="T5">
        <v>1.1576250000000002E-3</v>
      </c>
      <c r="AE5">
        <v>0.9200000000000006</v>
      </c>
      <c r="AF5">
        <v>-0.33048813093575308</v>
      </c>
      <c r="AG5">
        <v>-0.23072713829319724</v>
      </c>
      <c r="AI5">
        <v>4</v>
      </c>
      <c r="AJ5">
        <v>0.4703164149170378</v>
      </c>
      <c r="AK5">
        <v>1</v>
      </c>
      <c r="AT5">
        <v>0.9200000000000006</v>
      </c>
      <c r="AU5">
        <v>-0.33048813093575308</v>
      </c>
    </row>
    <row r="6" spans="1:47" x14ac:dyDescent="0.25">
      <c r="A6" t="s">
        <v>49</v>
      </c>
      <c r="B6">
        <v>4.5999999999999996</v>
      </c>
      <c r="C6">
        <v>3.1</v>
      </c>
      <c r="D6">
        <v>1.5</v>
      </c>
      <c r="E6">
        <v>0.2</v>
      </c>
      <c r="G6" t="s">
        <v>49</v>
      </c>
      <c r="H6" t="s">
        <v>49</v>
      </c>
      <c r="L6">
        <v>5</v>
      </c>
      <c r="M6">
        <v>6.0226994222635624E-2</v>
      </c>
      <c r="N6">
        <v>1.1576250000000002E-4</v>
      </c>
      <c r="O6">
        <v>5</v>
      </c>
      <c r="P6">
        <v>5.39684855116958E-2</v>
      </c>
      <c r="Q6">
        <v>1.2155062500000004E-3</v>
      </c>
      <c r="R6">
        <v>5</v>
      </c>
      <c r="S6">
        <v>5.7351258397134723E-2</v>
      </c>
      <c r="T6">
        <v>1.2155062500000004E-3</v>
      </c>
      <c r="AE6">
        <v>0.99000000000000066</v>
      </c>
      <c r="AF6">
        <v>1.8300546105888296</v>
      </c>
      <c r="AG6">
        <v>1.4998148105932572</v>
      </c>
      <c r="AI6">
        <v>5</v>
      </c>
      <c r="AJ6">
        <v>0.46841715246425208</v>
      </c>
      <c r="AK6">
        <v>1</v>
      </c>
      <c r="AT6">
        <v>0.99000000000000066</v>
      </c>
      <c r="AU6">
        <v>1.8300546105888296</v>
      </c>
    </row>
    <row r="7" spans="1:47" x14ac:dyDescent="0.25">
      <c r="A7" t="s">
        <v>51</v>
      </c>
      <c r="B7">
        <v>6.3</v>
      </c>
      <c r="C7">
        <v>3.4</v>
      </c>
      <c r="D7">
        <v>5.6</v>
      </c>
      <c r="E7">
        <v>2.4</v>
      </c>
      <c r="G7" t="s">
        <v>51</v>
      </c>
      <c r="H7" t="s">
        <v>51</v>
      </c>
      <c r="L7">
        <v>6</v>
      </c>
      <c r="M7">
        <v>5.9053588681095538E-2</v>
      </c>
      <c r="N7">
        <v>1.2155062500000002E-4</v>
      </c>
      <c r="O7">
        <v>6</v>
      </c>
      <c r="P7">
        <v>5.1626698434370503E-2</v>
      </c>
      <c r="Q7">
        <v>1.2762815625000006E-3</v>
      </c>
      <c r="R7">
        <v>6</v>
      </c>
      <c r="S7">
        <v>5.5688701631240629E-2</v>
      </c>
      <c r="T7">
        <v>1.2762815625000006E-3</v>
      </c>
      <c r="AE7">
        <v>0.04</v>
      </c>
      <c r="AF7">
        <v>1.8186485634698273</v>
      </c>
      <c r="AG7">
        <v>1.5717841929223866</v>
      </c>
      <c r="AI7">
        <v>6</v>
      </c>
      <c r="AJ7">
        <v>0.4624532273597316</v>
      </c>
      <c r="AK7">
        <v>1</v>
      </c>
      <c r="AT7">
        <v>0.04</v>
      </c>
      <c r="AU7">
        <v>1.8186485634698273</v>
      </c>
    </row>
    <row r="8" spans="1:47" x14ac:dyDescent="0.25">
      <c r="A8" t="s">
        <v>51</v>
      </c>
      <c r="B8">
        <v>6.7</v>
      </c>
      <c r="C8">
        <v>3.3</v>
      </c>
      <c r="D8">
        <v>5.7</v>
      </c>
      <c r="E8">
        <v>2.5</v>
      </c>
      <c r="G8" t="s">
        <v>51</v>
      </c>
      <c r="H8" t="s">
        <v>51</v>
      </c>
      <c r="L8">
        <v>7</v>
      </c>
      <c r="M8">
        <v>5.7933960701357118E-2</v>
      </c>
      <c r="N8">
        <v>1.2762815625000002E-4</v>
      </c>
      <c r="O8">
        <v>7</v>
      </c>
      <c r="P8">
        <v>4.9480241678261101E-2</v>
      </c>
      <c r="Q8">
        <v>1.3400956406250007E-3</v>
      </c>
      <c r="R8">
        <v>7</v>
      </c>
      <c r="S8">
        <v>5.4207693623178399E-2</v>
      </c>
      <c r="T8">
        <v>1.3400956406250007E-3</v>
      </c>
      <c r="AE8">
        <v>0.80000000000000049</v>
      </c>
      <c r="AF8">
        <v>-0.52533593784832744</v>
      </c>
      <c r="AG8">
        <v>-0.73790248730926322</v>
      </c>
      <c r="AI8">
        <v>7</v>
      </c>
      <c r="AJ8">
        <v>0.45892902785562401</v>
      </c>
      <c r="AK8">
        <v>1</v>
      </c>
      <c r="AT8">
        <v>0.80000000000000049</v>
      </c>
      <c r="AU8">
        <v>-0.52533593784832744</v>
      </c>
    </row>
    <row r="9" spans="1:47" x14ac:dyDescent="0.25">
      <c r="A9" t="s">
        <v>51</v>
      </c>
      <c r="B9">
        <v>7.7</v>
      </c>
      <c r="C9">
        <v>3</v>
      </c>
      <c r="D9">
        <v>6.1</v>
      </c>
      <c r="E9">
        <v>2.2999999999999998</v>
      </c>
      <c r="G9" t="s">
        <v>51</v>
      </c>
      <c r="H9" t="s">
        <v>51</v>
      </c>
      <c r="L9">
        <v>8</v>
      </c>
      <c r="M9">
        <v>5.6856686435959765E-2</v>
      </c>
      <c r="N9">
        <v>1.3400956406250003E-4</v>
      </c>
      <c r="O9">
        <v>8</v>
      </c>
      <c r="P9">
        <v>4.7568060842002935E-2</v>
      </c>
      <c r="Q9">
        <v>1.4071004226562508E-3</v>
      </c>
      <c r="R9">
        <v>8</v>
      </c>
      <c r="S9">
        <v>5.2861303773880146E-2</v>
      </c>
      <c r="T9">
        <v>1.4071004226562508E-3</v>
      </c>
      <c r="AE9">
        <v>0.75000000000000044</v>
      </c>
      <c r="AF9">
        <v>-0.6037830797493724</v>
      </c>
      <c r="AG9">
        <v>-0.30971941532035174</v>
      </c>
      <c r="AI9">
        <v>8</v>
      </c>
      <c r="AJ9">
        <v>0.45369209303459801</v>
      </c>
      <c r="AK9">
        <v>1</v>
      </c>
      <c r="AT9">
        <v>0.75000000000000044</v>
      </c>
      <c r="AU9">
        <v>-0.6037830797493724</v>
      </c>
    </row>
    <row r="10" spans="1:47" x14ac:dyDescent="0.25">
      <c r="A10" t="s">
        <v>50</v>
      </c>
      <c r="B10">
        <v>4.9000000000000004</v>
      </c>
      <c r="C10">
        <v>2.4</v>
      </c>
      <c r="D10">
        <v>3.3</v>
      </c>
      <c r="E10">
        <v>1</v>
      </c>
      <c r="G10" t="s">
        <v>50</v>
      </c>
      <c r="H10" t="s">
        <v>50</v>
      </c>
      <c r="L10">
        <v>9</v>
      </c>
      <c r="M10">
        <v>5.5856327684397508E-2</v>
      </c>
      <c r="N10">
        <v>1.4071004226562505E-4</v>
      </c>
      <c r="O10">
        <v>9</v>
      </c>
      <c r="P10">
        <v>4.5877523496263201E-2</v>
      </c>
      <c r="Q10">
        <v>1.4774554437890634E-3</v>
      </c>
      <c r="R10">
        <v>9</v>
      </c>
      <c r="S10">
        <v>5.1538161119682929E-2</v>
      </c>
      <c r="T10">
        <v>1.4774554437890634E-3</v>
      </c>
      <c r="AE10">
        <v>7.0000000000000007E-2</v>
      </c>
      <c r="AF10">
        <v>1.3769698209020529</v>
      </c>
      <c r="AG10">
        <v>1.3933721209687349</v>
      </c>
      <c r="AI10">
        <v>9</v>
      </c>
      <c r="AJ10">
        <v>0.45225309676622316</v>
      </c>
      <c r="AK10">
        <v>1</v>
      </c>
      <c r="AT10">
        <v>7.0000000000000007E-2</v>
      </c>
      <c r="AU10">
        <v>1.3769698209020529</v>
      </c>
    </row>
    <row r="11" spans="1:47" x14ac:dyDescent="0.25">
      <c r="A11" t="s">
        <v>51</v>
      </c>
      <c r="B11">
        <v>6.3</v>
      </c>
      <c r="C11">
        <v>2.7</v>
      </c>
      <c r="D11">
        <v>4.9000000000000004</v>
      </c>
      <c r="E11">
        <v>1.8</v>
      </c>
      <c r="G11" t="s">
        <v>51</v>
      </c>
      <c r="H11" t="s">
        <v>51</v>
      </c>
      <c r="L11">
        <v>10</v>
      </c>
      <c r="M11">
        <v>5.484387409889422E-2</v>
      </c>
      <c r="N11">
        <v>1.4774554437890631E-4</v>
      </c>
      <c r="O11">
        <v>10</v>
      </c>
      <c r="P11">
        <v>4.4444322201799176E-2</v>
      </c>
      <c r="Q11">
        <v>1.5513282159785166E-3</v>
      </c>
      <c r="R11">
        <v>10</v>
      </c>
      <c r="S11">
        <v>5.028529338524218E-2</v>
      </c>
      <c r="T11">
        <v>1.5513282159785166E-3</v>
      </c>
      <c r="AE11">
        <v>0.73000000000000043</v>
      </c>
      <c r="AF11">
        <v>0.14729107929989191</v>
      </c>
      <c r="AG11">
        <v>-0.11678014236883882</v>
      </c>
      <c r="AI11">
        <v>10</v>
      </c>
      <c r="AJ11">
        <v>0.43396566782845475</v>
      </c>
      <c r="AK11">
        <v>1</v>
      </c>
      <c r="AT11">
        <v>0.73000000000000043</v>
      </c>
      <c r="AU11">
        <v>0.14729107929989191</v>
      </c>
    </row>
    <row r="12" spans="1:47" x14ac:dyDescent="0.25">
      <c r="A12" t="s">
        <v>49</v>
      </c>
      <c r="B12">
        <v>5</v>
      </c>
      <c r="C12">
        <v>3.4</v>
      </c>
      <c r="D12">
        <v>1.5</v>
      </c>
      <c r="E12">
        <v>0.2</v>
      </c>
      <c r="G12" t="s">
        <v>49</v>
      </c>
      <c r="H12" t="s">
        <v>49</v>
      </c>
      <c r="L12">
        <v>11</v>
      </c>
      <c r="M12">
        <v>5.3924237367810927E-2</v>
      </c>
      <c r="N12">
        <v>1.5513282159785162E-4</v>
      </c>
      <c r="O12">
        <v>11</v>
      </c>
      <c r="P12">
        <v>4.3166472474573177E-2</v>
      </c>
      <c r="Q12">
        <v>1.6288946267774425E-3</v>
      </c>
      <c r="R12">
        <v>11</v>
      </c>
      <c r="S12">
        <v>4.9082853620846835E-2</v>
      </c>
      <c r="T12">
        <v>1.6288946267774425E-3</v>
      </c>
      <c r="AE12">
        <v>0.82000000000000051</v>
      </c>
      <c r="AF12">
        <v>-0.76994757281236981</v>
      </c>
      <c r="AG12">
        <v>-0.8471537630178787</v>
      </c>
      <c r="AI12">
        <v>11</v>
      </c>
      <c r="AJ12">
        <v>0.38703427911239968</v>
      </c>
      <c r="AK12">
        <v>1</v>
      </c>
      <c r="AT12">
        <v>0.82000000000000051</v>
      </c>
      <c r="AU12">
        <v>-0.76994757281236981</v>
      </c>
    </row>
    <row r="13" spans="1:47" x14ac:dyDescent="0.25">
      <c r="A13" t="s">
        <v>50</v>
      </c>
      <c r="B13">
        <v>6.3</v>
      </c>
      <c r="C13">
        <v>2.5</v>
      </c>
      <c r="D13">
        <v>4.9000000000000004</v>
      </c>
      <c r="E13">
        <v>1.5</v>
      </c>
      <c r="G13" t="s">
        <v>50</v>
      </c>
      <c r="H13" t="s">
        <v>50</v>
      </c>
      <c r="L13">
        <v>12</v>
      </c>
      <c r="M13">
        <v>5.2943425929285623E-2</v>
      </c>
      <c r="N13">
        <v>1.628894626777442E-4</v>
      </c>
      <c r="O13">
        <v>12</v>
      </c>
      <c r="P13">
        <v>4.2106826031377872E-2</v>
      </c>
      <c r="Q13">
        <v>1.7103393581163148E-3</v>
      </c>
      <c r="R13">
        <v>12</v>
      </c>
      <c r="S13">
        <v>4.7940209186543577E-2</v>
      </c>
      <c r="T13">
        <v>1.7103393581163148E-3</v>
      </c>
      <c r="AE13">
        <v>0.96000000000000063</v>
      </c>
      <c r="AF13">
        <v>0.72027335086141797</v>
      </c>
      <c r="AG13">
        <v>0.67067494839314179</v>
      </c>
      <c r="AI13">
        <v>12</v>
      </c>
      <c r="AJ13">
        <v>0.37346016450676622</v>
      </c>
      <c r="AK13">
        <v>0.25</v>
      </c>
      <c r="AT13">
        <v>0.96000000000000063</v>
      </c>
      <c r="AU13">
        <v>0.72027335086141797</v>
      </c>
    </row>
    <row r="14" spans="1:47" x14ac:dyDescent="0.25">
      <c r="A14" t="s">
        <v>50</v>
      </c>
      <c r="B14">
        <v>5.7</v>
      </c>
      <c r="C14">
        <v>2.9</v>
      </c>
      <c r="D14">
        <v>4.2</v>
      </c>
      <c r="E14">
        <v>1.3</v>
      </c>
      <c r="G14" t="s">
        <v>50</v>
      </c>
      <c r="H14" t="s">
        <v>50</v>
      </c>
      <c r="L14">
        <v>13</v>
      </c>
      <c r="M14">
        <v>5.2057476878444205E-2</v>
      </c>
      <c r="N14">
        <v>1.7103393581163141E-4</v>
      </c>
      <c r="O14">
        <v>13</v>
      </c>
      <c r="P14">
        <v>4.1203477239601126E-2</v>
      </c>
      <c r="Q14">
        <v>1.7958563260221305E-3</v>
      </c>
      <c r="R14">
        <v>13</v>
      </c>
      <c r="S14">
        <v>4.6832290241091423E-2</v>
      </c>
      <c r="T14">
        <v>1.7958563260221305E-3</v>
      </c>
      <c r="AE14">
        <v>0.19000000000000003</v>
      </c>
      <c r="AF14">
        <v>0.96598388666438073</v>
      </c>
      <c r="AG14">
        <v>0.79081025150834705</v>
      </c>
      <c r="AI14">
        <v>13</v>
      </c>
      <c r="AJ14">
        <v>0.3309589848488354</v>
      </c>
      <c r="AK14">
        <v>1</v>
      </c>
      <c r="AT14">
        <v>0.19000000000000003</v>
      </c>
      <c r="AU14">
        <v>0.96598388666438073</v>
      </c>
    </row>
    <row r="15" spans="1:47" x14ac:dyDescent="0.25">
      <c r="A15" t="s">
        <v>50</v>
      </c>
      <c r="B15">
        <v>5</v>
      </c>
      <c r="C15">
        <v>2.2999999999999998</v>
      </c>
      <c r="D15">
        <v>3.3</v>
      </c>
      <c r="E15">
        <v>1</v>
      </c>
      <c r="G15" t="s">
        <v>50</v>
      </c>
      <c r="H15" t="s">
        <v>50</v>
      </c>
      <c r="L15">
        <v>14</v>
      </c>
      <c r="M15">
        <v>5.1230090042917231E-2</v>
      </c>
      <c r="N15">
        <v>1.7958563260221297E-4</v>
      </c>
      <c r="O15">
        <v>14</v>
      </c>
      <c r="P15">
        <v>4.044272190955614E-2</v>
      </c>
      <c r="Q15">
        <v>1.8856491423232371E-3</v>
      </c>
      <c r="R15">
        <v>14</v>
      </c>
      <c r="S15">
        <v>4.5759954676251748E-2</v>
      </c>
      <c r="T15">
        <v>1.8856491423232371E-3</v>
      </c>
      <c r="AE15">
        <v>0.42000000000000021</v>
      </c>
      <c r="AF15">
        <v>-1.7852379687657634</v>
      </c>
      <c r="AG15">
        <v>-1.4087233943171569</v>
      </c>
      <c r="AI15">
        <v>14</v>
      </c>
      <c r="AJ15">
        <v>0.27928028246163156</v>
      </c>
      <c r="AK15">
        <v>0.25</v>
      </c>
      <c r="AT15">
        <v>0.42000000000000021</v>
      </c>
      <c r="AU15">
        <v>-1.7852379687657634</v>
      </c>
    </row>
    <row r="16" spans="1:47" x14ac:dyDescent="0.25">
      <c r="A16" t="s">
        <v>49</v>
      </c>
      <c r="B16">
        <v>5.0999999999999996</v>
      </c>
      <c r="C16">
        <v>3.8</v>
      </c>
      <c r="D16">
        <v>1.6</v>
      </c>
      <c r="E16">
        <v>0.2</v>
      </c>
      <c r="G16" t="s">
        <v>49</v>
      </c>
      <c r="H16" t="s">
        <v>49</v>
      </c>
      <c r="L16">
        <v>15</v>
      </c>
      <c r="M16">
        <v>5.0394916332020701E-2</v>
      </c>
      <c r="N16">
        <v>1.8856491423232364E-4</v>
      </c>
      <c r="O16">
        <v>15</v>
      </c>
      <c r="P16">
        <v>3.9760997877515615E-2</v>
      </c>
      <c r="Q16">
        <v>1.979931599439399E-3</v>
      </c>
      <c r="R16">
        <v>15</v>
      </c>
      <c r="S16">
        <v>4.47234971166603E-2</v>
      </c>
      <c r="T16">
        <v>1.979931599439399E-3</v>
      </c>
      <c r="AE16">
        <v>0.33000000000000013</v>
      </c>
      <c r="AF16">
        <v>-0.93376245019082815</v>
      </c>
      <c r="AG16">
        <v>-1.2742177603212355</v>
      </c>
      <c r="AI16">
        <v>15</v>
      </c>
      <c r="AJ16">
        <v>0.23160601561595989</v>
      </c>
      <c r="AK16">
        <v>1</v>
      </c>
      <c r="AT16">
        <v>0.33000000000000013</v>
      </c>
      <c r="AU16">
        <v>-0.93376245019082815</v>
      </c>
    </row>
    <row r="17" spans="1:47" x14ac:dyDescent="0.25">
      <c r="A17" t="s">
        <v>51</v>
      </c>
      <c r="B17">
        <v>4.9000000000000004</v>
      </c>
      <c r="C17">
        <v>2.5</v>
      </c>
      <c r="D17">
        <v>4.5</v>
      </c>
      <c r="E17">
        <v>1.7</v>
      </c>
      <c r="G17" t="s">
        <v>51</v>
      </c>
      <c r="H17" t="s">
        <v>51</v>
      </c>
      <c r="L17">
        <v>16</v>
      </c>
      <c r="M17">
        <v>4.9670145758466976E-2</v>
      </c>
      <c r="N17">
        <v>1.9799315994393983E-4</v>
      </c>
      <c r="O17">
        <v>16</v>
      </c>
      <c r="P17">
        <v>3.917552786244393E-2</v>
      </c>
      <c r="Q17">
        <v>2.0789281794113693E-3</v>
      </c>
      <c r="R17">
        <v>16</v>
      </c>
      <c r="S17">
        <v>4.3714973545658828E-2</v>
      </c>
      <c r="T17">
        <v>2.0789281794113693E-3</v>
      </c>
      <c r="AE17">
        <v>0.20000000000000004</v>
      </c>
      <c r="AF17">
        <v>8.0485212916618656E-2</v>
      </c>
      <c r="AG17">
        <v>0.65203855941156519</v>
      </c>
      <c r="AI17">
        <v>16</v>
      </c>
      <c r="AJ17">
        <v>0.22917006801396403</v>
      </c>
      <c r="AK17">
        <v>1</v>
      </c>
      <c r="AT17">
        <v>0.20000000000000004</v>
      </c>
      <c r="AU17">
        <v>8.0485212916618656E-2</v>
      </c>
    </row>
    <row r="18" spans="1:47" x14ac:dyDescent="0.25">
      <c r="A18" t="s">
        <v>49</v>
      </c>
      <c r="B18">
        <v>4.7</v>
      </c>
      <c r="C18">
        <v>3.2</v>
      </c>
      <c r="D18">
        <v>1.3</v>
      </c>
      <c r="E18">
        <v>0.2</v>
      </c>
      <c r="G18" t="s">
        <v>49</v>
      </c>
      <c r="H18" t="s">
        <v>49</v>
      </c>
      <c r="L18">
        <v>17</v>
      </c>
      <c r="M18">
        <v>4.8947961845673536E-2</v>
      </c>
      <c r="N18">
        <v>2.0789281794113683E-4</v>
      </c>
      <c r="O18">
        <v>17</v>
      </c>
      <c r="P18">
        <v>3.8604116823008301E-2</v>
      </c>
      <c r="Q18">
        <v>2.1828745883819378E-3</v>
      </c>
      <c r="R18">
        <v>17</v>
      </c>
      <c r="S18">
        <v>4.2736007541627097E-2</v>
      </c>
      <c r="T18">
        <v>2.1828745883819378E-3</v>
      </c>
      <c r="AE18">
        <v>0.89000000000000057</v>
      </c>
      <c r="AF18">
        <v>-0.67682087855348982</v>
      </c>
      <c r="AG18">
        <v>-0.66403245994310822</v>
      </c>
      <c r="AI18">
        <v>17</v>
      </c>
      <c r="AJ18">
        <v>0.22693791314163836</v>
      </c>
      <c r="AK18">
        <v>1</v>
      </c>
      <c r="AT18">
        <v>0.89000000000000057</v>
      </c>
      <c r="AU18">
        <v>-0.67682087855348982</v>
      </c>
    </row>
    <row r="19" spans="1:47" x14ac:dyDescent="0.25">
      <c r="A19" t="s">
        <v>51</v>
      </c>
      <c r="B19">
        <v>6.8</v>
      </c>
      <c r="C19">
        <v>3.2</v>
      </c>
      <c r="D19">
        <v>5.9</v>
      </c>
      <c r="E19">
        <v>2.2999999999999998</v>
      </c>
      <c r="G19" t="s">
        <v>51</v>
      </c>
      <c r="H19" t="s">
        <v>51</v>
      </c>
      <c r="L19">
        <v>18</v>
      </c>
      <c r="M19">
        <v>4.8182571871580253E-2</v>
      </c>
      <c r="N19">
        <v>2.1828745883819368E-4</v>
      </c>
      <c r="O19">
        <v>18</v>
      </c>
      <c r="P19">
        <v>3.8125130508341327E-2</v>
      </c>
      <c r="Q19">
        <v>2.2920183178010349E-3</v>
      </c>
      <c r="R19">
        <v>18</v>
      </c>
      <c r="S19">
        <v>4.1795741668857279E-2</v>
      </c>
      <c r="T19">
        <v>2.2920183178010349E-3</v>
      </c>
      <c r="AE19">
        <v>0.50000000000000022</v>
      </c>
      <c r="AF19">
        <v>-0.39290869424875774</v>
      </c>
      <c r="AG19">
        <v>-0.55688749687923433</v>
      </c>
      <c r="AI19">
        <v>18</v>
      </c>
      <c r="AJ19">
        <v>0.22681262244204087</v>
      </c>
      <c r="AK19">
        <v>0.5</v>
      </c>
      <c r="AT19">
        <v>0.50000000000000022</v>
      </c>
      <c r="AU19">
        <v>-0.39290869424875774</v>
      </c>
    </row>
    <row r="20" spans="1:47" x14ac:dyDescent="0.25">
      <c r="A20" t="s">
        <v>51</v>
      </c>
      <c r="B20">
        <v>6.5</v>
      </c>
      <c r="C20">
        <v>3</v>
      </c>
      <c r="D20">
        <v>5.2</v>
      </c>
      <c r="E20">
        <v>2</v>
      </c>
      <c r="G20" t="s">
        <v>51</v>
      </c>
      <c r="H20" t="s">
        <v>51</v>
      </c>
      <c r="L20">
        <v>19</v>
      </c>
      <c r="M20">
        <v>4.754475629177126E-2</v>
      </c>
      <c r="N20">
        <v>2.2920183178010337E-4</v>
      </c>
      <c r="O20">
        <v>19</v>
      </c>
      <c r="P20">
        <v>3.7688891130507905E-2</v>
      </c>
      <c r="Q20">
        <v>2.4066192336910869E-3</v>
      </c>
      <c r="R20">
        <v>19</v>
      </c>
      <c r="S20">
        <v>4.0864354828669437E-2</v>
      </c>
      <c r="T20">
        <v>2.4066192336910869E-3</v>
      </c>
      <c r="AE20">
        <v>0.78000000000000047</v>
      </c>
      <c r="AF20">
        <v>-0.98681875190269575</v>
      </c>
      <c r="AG20">
        <v>-0.58530997855709899</v>
      </c>
      <c r="AI20">
        <v>19</v>
      </c>
      <c r="AJ20">
        <v>0.22677508041000016</v>
      </c>
      <c r="AK20">
        <v>1</v>
      </c>
      <c r="AT20">
        <v>0.78000000000000047</v>
      </c>
      <c r="AU20">
        <v>-0.98681875190269575</v>
      </c>
    </row>
    <row r="21" spans="1:47" x14ac:dyDescent="0.25">
      <c r="A21" t="s">
        <v>49</v>
      </c>
      <c r="B21">
        <v>5.2</v>
      </c>
      <c r="C21">
        <v>3.4</v>
      </c>
      <c r="D21">
        <v>1.4</v>
      </c>
      <c r="E21">
        <v>0.2</v>
      </c>
      <c r="G21" t="s">
        <v>49</v>
      </c>
      <c r="H21" t="s">
        <v>49</v>
      </c>
      <c r="L21">
        <v>20</v>
      </c>
      <c r="M21">
        <v>4.6844571570672705E-2</v>
      </c>
      <c r="N21">
        <v>2.4066192336910856E-4</v>
      </c>
      <c r="O21">
        <v>20</v>
      </c>
      <c r="P21">
        <v>3.7274628033709206E-2</v>
      </c>
      <c r="Q21">
        <v>2.5269501953756415E-3</v>
      </c>
      <c r="R21">
        <v>20</v>
      </c>
      <c r="S21">
        <v>4.0006616679951271E-2</v>
      </c>
      <c r="T21">
        <v>2.5269501953756415E-3</v>
      </c>
      <c r="AE21">
        <v>0.52000000000000024</v>
      </c>
      <c r="AF21">
        <v>6.4308257905106248E-2</v>
      </c>
      <c r="AG21">
        <v>-0.29982034928854517</v>
      </c>
      <c r="AI21">
        <v>20</v>
      </c>
      <c r="AJ21">
        <v>0.22675433779462259</v>
      </c>
      <c r="AK21">
        <v>1</v>
      </c>
      <c r="AT21">
        <v>0.52000000000000024</v>
      </c>
      <c r="AU21">
        <v>6.4308257905106248E-2</v>
      </c>
    </row>
    <row r="22" spans="1:47" x14ac:dyDescent="0.25">
      <c r="A22" t="s">
        <v>51</v>
      </c>
      <c r="B22">
        <v>6.1</v>
      </c>
      <c r="C22">
        <v>3</v>
      </c>
      <c r="D22">
        <v>4.9000000000000004</v>
      </c>
      <c r="E22">
        <v>1.8</v>
      </c>
      <c r="G22" t="s">
        <v>51</v>
      </c>
      <c r="H22" t="s">
        <v>51</v>
      </c>
      <c r="L22">
        <v>21</v>
      </c>
      <c r="M22">
        <v>4.6451022317494504E-2</v>
      </c>
      <c r="N22">
        <v>2.52695019537564E-4</v>
      </c>
      <c r="O22">
        <v>21</v>
      </c>
      <c r="P22">
        <v>3.6827149570248012E-2</v>
      </c>
      <c r="Q22">
        <v>2.6532977051444235E-3</v>
      </c>
      <c r="R22">
        <v>21</v>
      </c>
      <c r="S22">
        <v>3.9184328937439429E-2</v>
      </c>
      <c r="T22">
        <v>2.6532977051444235E-3</v>
      </c>
      <c r="AE22">
        <v>0.36000000000000015</v>
      </c>
      <c r="AF22">
        <v>-1.3902450054933866</v>
      </c>
      <c r="AG22">
        <v>-1.476360424413798</v>
      </c>
      <c r="AI22">
        <v>21</v>
      </c>
      <c r="AJ22">
        <v>0.22663689882355084</v>
      </c>
      <c r="AK22">
        <v>1</v>
      </c>
      <c r="AT22">
        <v>0.36000000000000015</v>
      </c>
      <c r="AU22">
        <v>-1.3902450054933866</v>
      </c>
    </row>
    <row r="23" spans="1:47" x14ac:dyDescent="0.25">
      <c r="A23" t="s">
        <v>49</v>
      </c>
      <c r="B23">
        <v>4.3</v>
      </c>
      <c r="C23">
        <v>3</v>
      </c>
      <c r="D23">
        <v>1.1000000000000001</v>
      </c>
      <c r="E23">
        <v>0.1</v>
      </c>
      <c r="G23" t="s">
        <v>49</v>
      </c>
      <c r="H23" t="s">
        <v>49</v>
      </c>
      <c r="L23">
        <v>22</v>
      </c>
      <c r="M23">
        <v>4.5643968833212541E-2</v>
      </c>
      <c r="N23">
        <v>2.653297705144422E-4</v>
      </c>
      <c r="O23">
        <v>22</v>
      </c>
      <c r="P23">
        <v>3.6341470291855367E-2</v>
      </c>
      <c r="Q23">
        <v>2.785962590401645E-3</v>
      </c>
      <c r="R23">
        <v>22</v>
      </c>
      <c r="S23">
        <v>3.8433829374983595E-2</v>
      </c>
      <c r="T23">
        <v>2.785962590401645E-3</v>
      </c>
      <c r="AE23">
        <v>0.9300000000000006</v>
      </c>
      <c r="AF23">
        <v>-3.0530543833434357E-2</v>
      </c>
      <c r="AG23">
        <v>-3.6737312026609459E-2</v>
      </c>
      <c r="AI23">
        <v>22</v>
      </c>
      <c r="AJ23">
        <v>0.22641452284161295</v>
      </c>
      <c r="AK23">
        <v>1</v>
      </c>
      <c r="AT23">
        <v>0.9300000000000006</v>
      </c>
      <c r="AU23">
        <v>-3.0530543833434357E-2</v>
      </c>
    </row>
    <row r="24" spans="1:47" x14ac:dyDescent="0.25">
      <c r="A24" t="s">
        <v>49</v>
      </c>
      <c r="B24">
        <v>4.5</v>
      </c>
      <c r="C24">
        <v>2.2999999999999998</v>
      </c>
      <c r="D24">
        <v>1.3</v>
      </c>
      <c r="E24">
        <v>0.3</v>
      </c>
      <c r="G24" t="s">
        <v>49</v>
      </c>
      <c r="H24" t="s">
        <v>49</v>
      </c>
      <c r="L24">
        <v>23</v>
      </c>
      <c r="M24">
        <v>4.5102412038917454E-2</v>
      </c>
      <c r="N24">
        <v>2.7859625904016431E-4</v>
      </c>
      <c r="O24">
        <v>23</v>
      </c>
      <c r="P24">
        <v>3.5993885592307158E-2</v>
      </c>
      <c r="Q24">
        <v>2.9252607199217275E-3</v>
      </c>
      <c r="R24">
        <v>23</v>
      </c>
      <c r="S24">
        <v>3.7777876601555696E-2</v>
      </c>
      <c r="T24">
        <v>2.9252607199217275E-3</v>
      </c>
      <c r="AE24">
        <v>0.58000000000000029</v>
      </c>
      <c r="AF24">
        <v>-7.1093975163189244E-2</v>
      </c>
      <c r="AG24">
        <v>0.31022782653742098</v>
      </c>
      <c r="AI24">
        <v>23</v>
      </c>
      <c r="AJ24">
        <v>0.22591955690776411</v>
      </c>
      <c r="AK24">
        <v>1</v>
      </c>
      <c r="AT24">
        <v>0.58000000000000029</v>
      </c>
      <c r="AU24">
        <v>-7.1093975163189244E-2</v>
      </c>
    </row>
    <row r="25" spans="1:47" x14ac:dyDescent="0.25">
      <c r="A25" t="s">
        <v>51</v>
      </c>
      <c r="B25">
        <v>7.9</v>
      </c>
      <c r="C25">
        <v>3.8</v>
      </c>
      <c r="D25">
        <v>6.4</v>
      </c>
      <c r="E25">
        <v>2</v>
      </c>
      <c r="G25" t="s">
        <v>51</v>
      </c>
      <c r="H25" t="s">
        <v>51</v>
      </c>
      <c r="L25">
        <v>24</v>
      </c>
      <c r="M25">
        <v>4.4580844003712441E-2</v>
      </c>
      <c r="N25">
        <v>2.9252607199217252E-4</v>
      </c>
      <c r="O25">
        <v>24</v>
      </c>
      <c r="P25">
        <v>3.5554729441850473E-2</v>
      </c>
      <c r="Q25">
        <v>3.0715237559178141E-3</v>
      </c>
      <c r="R25">
        <v>24</v>
      </c>
      <c r="S25">
        <v>3.7231139475619575E-2</v>
      </c>
      <c r="T25">
        <v>3.0715237559178141E-3</v>
      </c>
      <c r="AE25">
        <v>9.9999999999999992E-2</v>
      </c>
      <c r="AF25">
        <v>1.3791795964365074</v>
      </c>
      <c r="AG25">
        <v>1.3216263825327133</v>
      </c>
      <c r="AI25">
        <v>24</v>
      </c>
      <c r="AJ25">
        <v>0.2252971657537727</v>
      </c>
      <c r="AK25">
        <v>1</v>
      </c>
      <c r="AT25">
        <v>9.9999999999999992E-2</v>
      </c>
      <c r="AU25">
        <v>1.3791795964365074</v>
      </c>
    </row>
    <row r="26" spans="1:47" x14ac:dyDescent="0.25">
      <c r="A26" t="s">
        <v>49</v>
      </c>
      <c r="B26">
        <v>4.8</v>
      </c>
      <c r="C26">
        <v>3</v>
      </c>
      <c r="D26">
        <v>1.4</v>
      </c>
      <c r="E26">
        <v>0.1</v>
      </c>
      <c r="G26" t="s">
        <v>49</v>
      </c>
      <c r="H26" t="s">
        <v>49</v>
      </c>
      <c r="L26">
        <v>25</v>
      </c>
      <c r="M26">
        <v>4.4110009207683792E-2</v>
      </c>
      <c r="N26">
        <v>3.0715237559178114E-4</v>
      </c>
      <c r="O26">
        <v>25</v>
      </c>
      <c r="P26">
        <v>3.5188943363523142E-2</v>
      </c>
      <c r="Q26">
        <v>3.2250999437137048E-3</v>
      </c>
      <c r="R26">
        <v>25</v>
      </c>
      <c r="S26">
        <v>3.6821571635430511E-2</v>
      </c>
      <c r="T26">
        <v>3.2250999437137048E-3</v>
      </c>
      <c r="AE26">
        <v>0.71000000000000041</v>
      </c>
      <c r="AF26">
        <v>-0.3905952026984042</v>
      </c>
      <c r="AG26">
        <v>6.7125355407817722E-2</v>
      </c>
      <c r="AI26">
        <v>25</v>
      </c>
      <c r="AJ26">
        <v>0.2247395812055448</v>
      </c>
      <c r="AK26">
        <v>1</v>
      </c>
      <c r="AT26">
        <v>0.71000000000000041</v>
      </c>
      <c r="AU26">
        <v>-0.3905952026984042</v>
      </c>
    </row>
    <row r="27" spans="1:47" x14ac:dyDescent="0.25">
      <c r="A27" t="s">
        <v>49</v>
      </c>
      <c r="B27">
        <v>5.0999999999999996</v>
      </c>
      <c r="C27">
        <v>3.5</v>
      </c>
      <c r="D27">
        <v>1.4</v>
      </c>
      <c r="E27">
        <v>0.3</v>
      </c>
      <c r="G27" t="s">
        <v>49</v>
      </c>
      <c r="H27" t="s">
        <v>49</v>
      </c>
      <c r="L27">
        <v>26</v>
      </c>
      <c r="M27">
        <v>4.3630176828625793E-2</v>
      </c>
      <c r="N27">
        <v>3.225099943713702E-4</v>
      </c>
      <c r="O27">
        <v>26</v>
      </c>
      <c r="P27">
        <v>3.4868586947240848E-2</v>
      </c>
      <c r="Q27">
        <v>3.3863549408993904E-3</v>
      </c>
      <c r="R27">
        <v>26</v>
      </c>
      <c r="S27">
        <v>3.6498403924190993E-2</v>
      </c>
      <c r="T27">
        <v>3.3863549408993904E-3</v>
      </c>
      <c r="AE27">
        <v>0.16</v>
      </c>
      <c r="AF27">
        <v>1.3144000807026794</v>
      </c>
      <c r="AG27">
        <v>1.1119764365305684</v>
      </c>
      <c r="AI27">
        <v>26</v>
      </c>
      <c r="AJ27">
        <v>0.22448134042993279</v>
      </c>
      <c r="AK27">
        <v>1</v>
      </c>
      <c r="AT27">
        <v>0.16</v>
      </c>
      <c r="AU27">
        <v>1.3144000807026794</v>
      </c>
    </row>
    <row r="28" spans="1:47" x14ac:dyDescent="0.25">
      <c r="A28" t="s">
        <v>49</v>
      </c>
      <c r="B28">
        <v>5.4</v>
      </c>
      <c r="C28">
        <v>3.9</v>
      </c>
      <c r="D28">
        <v>1.7</v>
      </c>
      <c r="E28">
        <v>0.4</v>
      </c>
      <c r="G28" t="s">
        <v>49</v>
      </c>
      <c r="H28" t="s">
        <v>49</v>
      </c>
      <c r="L28">
        <v>27</v>
      </c>
      <c r="M28">
        <v>4.3401919676134978E-2</v>
      </c>
      <c r="N28">
        <v>3.3863549408993872E-4</v>
      </c>
      <c r="O28">
        <v>27</v>
      </c>
      <c r="P28">
        <v>3.4581687068362642E-2</v>
      </c>
      <c r="Q28">
        <v>3.5556726879443601E-3</v>
      </c>
      <c r="R28">
        <v>27</v>
      </c>
      <c r="S28">
        <v>3.6222074749615925E-2</v>
      </c>
      <c r="T28">
        <v>3.5556726879443601E-3</v>
      </c>
      <c r="AE28">
        <v>0.40000000000000019</v>
      </c>
      <c r="AF28">
        <v>-1.7027509056411636</v>
      </c>
      <c r="AG28">
        <v>-1.5007378752400129</v>
      </c>
      <c r="AI28">
        <v>27</v>
      </c>
      <c r="AJ28">
        <v>0.22445874993417866</v>
      </c>
      <c r="AK28">
        <v>1</v>
      </c>
      <c r="AT28">
        <v>0.40000000000000019</v>
      </c>
      <c r="AU28">
        <v>-1.7027509056411636</v>
      </c>
    </row>
    <row r="29" spans="1:47" x14ac:dyDescent="0.25">
      <c r="A29" t="s">
        <v>51</v>
      </c>
      <c r="B29">
        <v>7.2</v>
      </c>
      <c r="C29">
        <v>3.2</v>
      </c>
      <c r="D29">
        <v>6</v>
      </c>
      <c r="E29">
        <v>1.8</v>
      </c>
      <c r="G29" t="s">
        <v>51</v>
      </c>
      <c r="H29" t="s">
        <v>51</v>
      </c>
      <c r="L29">
        <v>28</v>
      </c>
      <c r="M29">
        <v>4.2903059148554107E-2</v>
      </c>
      <c r="N29">
        <v>3.5556726879443565E-4</v>
      </c>
      <c r="O29">
        <v>28</v>
      </c>
      <c r="P29">
        <v>3.4521403033109146E-2</v>
      </c>
      <c r="Q29">
        <v>3.7334563223415784E-3</v>
      </c>
      <c r="R29">
        <v>28</v>
      </c>
      <c r="S29">
        <v>3.6006294292464658E-2</v>
      </c>
      <c r="T29">
        <v>3.7334563223415784E-3</v>
      </c>
      <c r="AE29">
        <v>0.44000000000000022</v>
      </c>
      <c r="AF29">
        <v>-1.3668948913591217</v>
      </c>
      <c r="AG29">
        <v>-1.2554448652776884</v>
      </c>
      <c r="AI29">
        <v>28</v>
      </c>
      <c r="AJ29">
        <v>0.22442591141147697</v>
      </c>
      <c r="AK29">
        <v>1</v>
      </c>
      <c r="AT29">
        <v>0.44000000000000022</v>
      </c>
      <c r="AU29">
        <v>-1.3668948913591217</v>
      </c>
    </row>
    <row r="30" spans="1:47" x14ac:dyDescent="0.25">
      <c r="A30" t="s">
        <v>49</v>
      </c>
      <c r="B30">
        <v>5.5</v>
      </c>
      <c r="C30">
        <v>4.2</v>
      </c>
      <c r="D30">
        <v>1.4</v>
      </c>
      <c r="E30">
        <v>0.2</v>
      </c>
      <c r="G30" t="s">
        <v>49</v>
      </c>
      <c r="H30" t="s">
        <v>49</v>
      </c>
      <c r="L30">
        <v>29</v>
      </c>
      <c r="M30">
        <v>4.2796307085029343E-2</v>
      </c>
      <c r="N30">
        <v>3.7334563223415747E-4</v>
      </c>
      <c r="O30">
        <v>29</v>
      </c>
      <c r="P30">
        <v>3.3766115249037658E-2</v>
      </c>
      <c r="Q30">
        <v>3.9201291384586574E-3</v>
      </c>
      <c r="R30">
        <v>29</v>
      </c>
      <c r="S30">
        <v>3.5833103317508518E-2</v>
      </c>
      <c r="T30">
        <v>3.9201291384586574E-3</v>
      </c>
      <c r="AE30">
        <v>0.43000000000000022</v>
      </c>
      <c r="AF30">
        <v>-1.2056769958121596</v>
      </c>
      <c r="AG30">
        <v>-1.339126187435788</v>
      </c>
      <c r="AI30">
        <v>29</v>
      </c>
      <c r="AJ30">
        <v>0.22431523302340473</v>
      </c>
      <c r="AK30">
        <v>1</v>
      </c>
      <c r="AT30">
        <v>0.43000000000000022</v>
      </c>
      <c r="AU30">
        <v>-1.2056769958121596</v>
      </c>
    </row>
    <row r="31" spans="1:47" x14ac:dyDescent="0.25">
      <c r="A31" t="s">
        <v>50</v>
      </c>
      <c r="B31">
        <v>5.6</v>
      </c>
      <c r="C31">
        <v>2.9</v>
      </c>
      <c r="D31">
        <v>3.6</v>
      </c>
      <c r="E31">
        <v>1.3</v>
      </c>
      <c r="G31" t="s">
        <v>50</v>
      </c>
      <c r="H31" t="s">
        <v>50</v>
      </c>
      <c r="L31">
        <v>30</v>
      </c>
      <c r="M31">
        <v>4.2208471136226146E-2</v>
      </c>
      <c r="N31">
        <v>3.9201291384586537E-4</v>
      </c>
      <c r="O31">
        <v>30</v>
      </c>
      <c r="P31">
        <v>3.355178368205354E-2</v>
      </c>
      <c r="Q31">
        <v>4.1161355953815903E-3</v>
      </c>
      <c r="R31">
        <v>30</v>
      </c>
      <c r="S31">
        <v>3.5600923125226662E-2</v>
      </c>
      <c r="T31">
        <v>4.1161355953815903E-3</v>
      </c>
      <c r="AE31">
        <v>0.49000000000000027</v>
      </c>
      <c r="AF31">
        <v>-1.1538808626920265</v>
      </c>
      <c r="AG31">
        <v>-0.68644028705080729</v>
      </c>
      <c r="AI31">
        <v>30</v>
      </c>
      <c r="AJ31">
        <v>0.22404974091380855</v>
      </c>
      <c r="AK31">
        <v>1</v>
      </c>
      <c r="AT31">
        <v>0.49000000000000027</v>
      </c>
      <c r="AU31">
        <v>-1.1538808626920265</v>
      </c>
    </row>
    <row r="32" spans="1:47" x14ac:dyDescent="0.25">
      <c r="A32" t="s">
        <v>49</v>
      </c>
      <c r="B32">
        <v>5.4</v>
      </c>
      <c r="C32">
        <v>3.4</v>
      </c>
      <c r="D32">
        <v>1.5</v>
      </c>
      <c r="E32">
        <v>0.4</v>
      </c>
      <c r="G32" t="s">
        <v>49</v>
      </c>
      <c r="H32" t="s">
        <v>49</v>
      </c>
      <c r="L32">
        <v>31</v>
      </c>
      <c r="M32">
        <v>4.2156624067214425E-2</v>
      </c>
      <c r="N32">
        <v>4.1161355953815866E-4</v>
      </c>
      <c r="O32">
        <v>31</v>
      </c>
      <c r="P32">
        <v>3.3348896722311179E-2</v>
      </c>
      <c r="Q32">
        <v>4.3219423751506697E-3</v>
      </c>
      <c r="R32">
        <v>31</v>
      </c>
      <c r="S32">
        <v>3.5403678267180577E-2</v>
      </c>
      <c r="T32">
        <v>4.3219423751506697E-3</v>
      </c>
      <c r="AE32">
        <v>0.28000000000000008</v>
      </c>
      <c r="AF32">
        <v>-0.66020255830828056</v>
      </c>
      <c r="AG32">
        <v>-0.64727269349109662</v>
      </c>
      <c r="AI32">
        <v>31</v>
      </c>
      <c r="AJ32">
        <v>0.22337842380572798</v>
      </c>
      <c r="AK32">
        <v>1</v>
      </c>
      <c r="AT32">
        <v>0.28000000000000008</v>
      </c>
      <c r="AU32">
        <v>-0.66020255830828056</v>
      </c>
    </row>
    <row r="33" spans="1:47" x14ac:dyDescent="0.25">
      <c r="A33" t="s">
        <v>50</v>
      </c>
      <c r="B33">
        <v>5.2</v>
      </c>
      <c r="C33">
        <v>2.7</v>
      </c>
      <c r="D33">
        <v>3.9</v>
      </c>
      <c r="E33">
        <v>1.4</v>
      </c>
      <c r="G33" t="s">
        <v>50</v>
      </c>
      <c r="H33" t="s">
        <v>50</v>
      </c>
      <c r="L33">
        <v>32</v>
      </c>
      <c r="M33">
        <v>4.1372172672709158E-2</v>
      </c>
      <c r="N33">
        <v>4.3219423751506659E-4</v>
      </c>
      <c r="O33">
        <v>32</v>
      </c>
      <c r="P33">
        <v>3.2952437738353553E-2</v>
      </c>
      <c r="Q33">
        <v>4.5380394939082032E-3</v>
      </c>
      <c r="R33">
        <v>32</v>
      </c>
      <c r="S33">
        <v>3.515893646656653E-2</v>
      </c>
      <c r="T33">
        <v>4.5380394939082032E-3</v>
      </c>
      <c r="AE33">
        <v>0.23000000000000007</v>
      </c>
      <c r="AF33">
        <v>-4.1548989416199569E-2</v>
      </c>
      <c r="AG33">
        <v>0.17690144901246185</v>
      </c>
      <c r="AI33">
        <v>32</v>
      </c>
      <c r="AJ33">
        <v>0.22262664431203935</v>
      </c>
      <c r="AK33">
        <v>1</v>
      </c>
      <c r="AT33">
        <v>0.23000000000000007</v>
      </c>
      <c r="AU33">
        <v>-4.1548989416199569E-2</v>
      </c>
    </row>
    <row r="34" spans="1:47" x14ac:dyDescent="0.25">
      <c r="A34" t="s">
        <v>49</v>
      </c>
      <c r="B34">
        <v>5.8</v>
      </c>
      <c r="C34">
        <v>4</v>
      </c>
      <c r="D34">
        <v>1.2</v>
      </c>
      <c r="E34">
        <v>0.2</v>
      </c>
      <c r="G34" t="s">
        <v>49</v>
      </c>
      <c r="H34" t="s">
        <v>49</v>
      </c>
      <c r="L34">
        <v>33</v>
      </c>
      <c r="M34">
        <v>4.1998437447593802E-2</v>
      </c>
      <c r="N34">
        <v>4.5380394939081994E-4</v>
      </c>
      <c r="O34">
        <v>33</v>
      </c>
      <c r="P34">
        <v>3.2773365311903051E-2</v>
      </c>
      <c r="Q34">
        <v>4.7649414686036133E-3</v>
      </c>
      <c r="R34">
        <v>33</v>
      </c>
      <c r="S34">
        <v>3.4919371706443603E-2</v>
      </c>
      <c r="T34">
        <v>4.7649414686036133E-3</v>
      </c>
      <c r="AE34">
        <v>0.18000000000000002</v>
      </c>
      <c r="AF34">
        <v>0.89150683846706236</v>
      </c>
      <c r="AG34">
        <v>0.91514899914549375</v>
      </c>
      <c r="AI34">
        <v>33</v>
      </c>
      <c r="AJ34">
        <v>0.22062664851898192</v>
      </c>
      <c r="AK34">
        <v>1</v>
      </c>
      <c r="AT34">
        <v>0.18000000000000002</v>
      </c>
      <c r="AU34">
        <v>0.89150683846706236</v>
      </c>
    </row>
    <row r="35" spans="1:47" x14ac:dyDescent="0.25">
      <c r="A35" t="s">
        <v>50</v>
      </c>
      <c r="B35">
        <v>5.7</v>
      </c>
      <c r="C35">
        <v>2.8</v>
      </c>
      <c r="D35">
        <v>4.0999999999999996</v>
      </c>
      <c r="E35">
        <v>1.3</v>
      </c>
      <c r="G35" t="s">
        <v>50</v>
      </c>
      <c r="H35" t="s">
        <v>50</v>
      </c>
      <c r="L35">
        <v>34</v>
      </c>
      <c r="M35">
        <v>4.1326604953220887E-2</v>
      </c>
      <c r="N35">
        <v>4.5380394939081997E-5</v>
      </c>
      <c r="O35">
        <v>34</v>
      </c>
      <c r="P35">
        <v>3.2280825872183519E-2</v>
      </c>
      <c r="Q35">
        <v>5.0031885420337941E-3</v>
      </c>
      <c r="R35">
        <v>34</v>
      </c>
      <c r="S35">
        <v>3.4709654544580866E-2</v>
      </c>
      <c r="T35">
        <v>5.0031885420337941E-3</v>
      </c>
      <c r="AE35">
        <v>0.76000000000000045</v>
      </c>
      <c r="AF35">
        <v>-0.39809084462793204</v>
      </c>
      <c r="AG35">
        <v>-0.40525435044047242</v>
      </c>
      <c r="AI35">
        <v>34</v>
      </c>
      <c r="AJ35">
        <v>0.21522636285255523</v>
      </c>
      <c r="AK35">
        <v>0.5</v>
      </c>
      <c r="AT35">
        <v>0.76000000000000045</v>
      </c>
      <c r="AU35">
        <v>-0.39809084462793204</v>
      </c>
    </row>
    <row r="36" spans="1:47" x14ac:dyDescent="0.25">
      <c r="A36" t="s">
        <v>51</v>
      </c>
      <c r="B36">
        <v>7.1</v>
      </c>
      <c r="C36">
        <v>3</v>
      </c>
      <c r="D36">
        <v>5.9</v>
      </c>
      <c r="E36">
        <v>2.1</v>
      </c>
      <c r="G36" t="s">
        <v>51</v>
      </c>
      <c r="H36" t="s">
        <v>51</v>
      </c>
      <c r="L36">
        <v>35</v>
      </c>
      <c r="M36">
        <v>4.1294151907002578E-2</v>
      </c>
      <c r="N36">
        <v>4.7649414686036097E-5</v>
      </c>
      <c r="O36">
        <v>35</v>
      </c>
      <c r="P36">
        <v>3.3220606224880815E-2</v>
      </c>
      <c r="Q36">
        <v>5.2533479691354839E-3</v>
      </c>
      <c r="R36">
        <v>35</v>
      </c>
      <c r="S36">
        <v>3.4403284540427931E-2</v>
      </c>
      <c r="T36">
        <v>5.2533479691354839E-3</v>
      </c>
      <c r="AE36">
        <v>0.13999999999999999</v>
      </c>
      <c r="AF36">
        <v>0.89803675613146738</v>
      </c>
      <c r="AG36">
        <v>1.2342150684038344</v>
      </c>
      <c r="AI36">
        <v>35</v>
      </c>
      <c r="AJ36">
        <v>0.20685219705405264</v>
      </c>
      <c r="AK36">
        <v>0.5</v>
      </c>
      <c r="AT36">
        <v>0.13999999999999999</v>
      </c>
      <c r="AU36">
        <v>0.89803675613146738</v>
      </c>
    </row>
    <row r="37" spans="1:47" x14ac:dyDescent="0.25">
      <c r="A37" t="s">
        <v>49</v>
      </c>
      <c r="B37">
        <v>5.0999999999999996</v>
      </c>
      <c r="C37">
        <v>3.8</v>
      </c>
      <c r="D37">
        <v>1.5</v>
      </c>
      <c r="E37">
        <v>0.3</v>
      </c>
      <c r="G37" t="s">
        <v>49</v>
      </c>
      <c r="H37" t="s">
        <v>49</v>
      </c>
      <c r="L37">
        <v>36</v>
      </c>
      <c r="M37">
        <v>4.1258030769843482E-2</v>
      </c>
      <c r="N37">
        <v>5.0031885420337901E-5</v>
      </c>
      <c r="O37">
        <v>36</v>
      </c>
      <c r="P37">
        <v>3.2238739613761301E-2</v>
      </c>
      <c r="Q37">
        <v>5.2533479691354841E-4</v>
      </c>
      <c r="R37">
        <v>36</v>
      </c>
      <c r="S37">
        <v>3.4109044011647847E-2</v>
      </c>
      <c r="T37">
        <v>5.5160153675922587E-3</v>
      </c>
      <c r="AE37">
        <v>0.38000000000000017</v>
      </c>
      <c r="AF37">
        <v>-1.7917624268449821</v>
      </c>
      <c r="AG37">
        <v>-1.5242631639491293</v>
      </c>
      <c r="AI37">
        <v>36</v>
      </c>
      <c r="AJ37">
        <v>0.20330718166261813</v>
      </c>
      <c r="AK37">
        <v>0.5</v>
      </c>
      <c r="AT37">
        <v>0.38000000000000017</v>
      </c>
      <c r="AU37">
        <v>-1.7917624268449821</v>
      </c>
    </row>
    <row r="38" spans="1:47" x14ac:dyDescent="0.25">
      <c r="A38" t="s">
        <v>51</v>
      </c>
      <c r="B38">
        <v>6.4</v>
      </c>
      <c r="C38">
        <v>2.7</v>
      </c>
      <c r="D38">
        <v>5.3</v>
      </c>
      <c r="E38">
        <v>1.9</v>
      </c>
      <c r="G38" t="s">
        <v>51</v>
      </c>
      <c r="H38" t="s">
        <v>51</v>
      </c>
      <c r="L38">
        <v>37</v>
      </c>
      <c r="M38">
        <v>4.122004209448786E-2</v>
      </c>
      <c r="N38">
        <v>5.25334796913548E-5</v>
      </c>
      <c r="O38">
        <v>37</v>
      </c>
      <c r="P38">
        <v>3.2205750146929418E-2</v>
      </c>
      <c r="Q38">
        <v>5.516015367592258E-4</v>
      </c>
      <c r="R38">
        <v>37</v>
      </c>
      <c r="S38">
        <v>3.3898179144919084E-2</v>
      </c>
      <c r="T38">
        <v>5.7918161359718718E-3</v>
      </c>
      <c r="AE38">
        <v>0.87000000000000055</v>
      </c>
      <c r="AF38">
        <v>-0.87528665264445038</v>
      </c>
      <c r="AG38">
        <v>-0.8264470542599085</v>
      </c>
      <c r="AI38">
        <v>37</v>
      </c>
      <c r="AJ38">
        <v>0.20102597769975306</v>
      </c>
      <c r="AK38">
        <v>1</v>
      </c>
      <c r="AT38">
        <v>0.87000000000000055</v>
      </c>
      <c r="AU38">
        <v>-0.87528665264445038</v>
      </c>
    </row>
    <row r="39" spans="1:47" x14ac:dyDescent="0.25">
      <c r="A39" t="s">
        <v>49</v>
      </c>
      <c r="B39">
        <v>4.5999999999999996</v>
      </c>
      <c r="C39">
        <v>3.2</v>
      </c>
      <c r="D39">
        <v>1.4</v>
      </c>
      <c r="E39">
        <v>0.2</v>
      </c>
      <c r="G39" t="s">
        <v>49</v>
      </c>
      <c r="H39" t="s">
        <v>49</v>
      </c>
      <c r="L39">
        <v>38</v>
      </c>
      <c r="M39">
        <v>4.1182708968266327E-2</v>
      </c>
      <c r="N39">
        <v>5.516015367592254E-5</v>
      </c>
      <c r="O39">
        <v>38</v>
      </c>
      <c r="P39">
        <v>3.2170636997921803E-2</v>
      </c>
      <c r="Q39">
        <v>5.7918161359718707E-4</v>
      </c>
      <c r="R39">
        <v>38</v>
      </c>
      <c r="S39">
        <v>3.3649028152693196E-2</v>
      </c>
      <c r="T39">
        <v>6.081406942770466E-3</v>
      </c>
      <c r="AE39">
        <v>0.90000000000000058</v>
      </c>
      <c r="AF39">
        <v>-0.42527060030863312</v>
      </c>
      <c r="AG39">
        <v>-0.5450614233408615</v>
      </c>
      <c r="AI39">
        <v>38</v>
      </c>
      <c r="AJ39">
        <v>0.19252774754156052</v>
      </c>
      <c r="AK39">
        <v>1</v>
      </c>
      <c r="AT39">
        <v>0.90000000000000058</v>
      </c>
      <c r="AU39">
        <v>-0.42527060030863312</v>
      </c>
    </row>
    <row r="40" spans="1:47" x14ac:dyDescent="0.25">
      <c r="A40" t="s">
        <v>50</v>
      </c>
      <c r="B40">
        <v>6.9</v>
      </c>
      <c r="C40">
        <v>3.1</v>
      </c>
      <c r="D40">
        <v>4.9000000000000004</v>
      </c>
      <c r="E40">
        <v>1.5</v>
      </c>
      <c r="G40" t="s">
        <v>50</v>
      </c>
      <c r="H40" t="s">
        <v>50</v>
      </c>
      <c r="L40">
        <v>39</v>
      </c>
      <c r="M40">
        <v>4.1140867791749351E-2</v>
      </c>
      <c r="N40">
        <v>5.7918161359718667E-5</v>
      </c>
      <c r="O40">
        <v>39</v>
      </c>
      <c r="P40">
        <v>3.2131468548902573E-2</v>
      </c>
      <c r="Q40">
        <v>6.081406942770464E-4</v>
      </c>
      <c r="R40">
        <v>39</v>
      </c>
      <c r="S40">
        <v>3.3475726672090172E-2</v>
      </c>
      <c r="T40">
        <v>6.3854772899089897E-3</v>
      </c>
      <c r="AE40">
        <v>0.86000000000000054</v>
      </c>
      <c r="AF40">
        <v>-0.85076431090730442</v>
      </c>
      <c r="AG40">
        <v>-0.87164414832331971</v>
      </c>
      <c r="AI40">
        <v>39</v>
      </c>
      <c r="AJ40">
        <v>0.18795933734375755</v>
      </c>
      <c r="AK40">
        <v>0.5</v>
      </c>
      <c r="AT40">
        <v>0.86000000000000054</v>
      </c>
      <c r="AU40">
        <v>-0.85076431090730442</v>
      </c>
    </row>
    <row r="41" spans="1:47" x14ac:dyDescent="0.25">
      <c r="A41" t="s">
        <v>50</v>
      </c>
      <c r="B41">
        <v>5.5</v>
      </c>
      <c r="C41">
        <v>2.2999999999999998</v>
      </c>
      <c r="D41">
        <v>4</v>
      </c>
      <c r="E41">
        <v>1.3</v>
      </c>
      <c r="G41" t="s">
        <v>50</v>
      </c>
      <c r="H41" t="s">
        <v>50</v>
      </c>
      <c r="L41">
        <v>40</v>
      </c>
      <c r="M41">
        <v>4.1099703572893762E-2</v>
      </c>
      <c r="N41">
        <v>6.0814069427704604E-5</v>
      </c>
      <c r="O41">
        <v>40</v>
      </c>
      <c r="P41">
        <v>3.2097834244918431E-2</v>
      </c>
      <c r="Q41">
        <v>6.3854772899089873E-4</v>
      </c>
      <c r="R41">
        <v>40</v>
      </c>
      <c r="S41">
        <v>3.3902836227329432E-2</v>
      </c>
      <c r="T41">
        <v>6.7047511544044399E-3</v>
      </c>
      <c r="AE41">
        <v>0.46000000000000024</v>
      </c>
      <c r="AF41">
        <v>-0.9709511362109251</v>
      </c>
      <c r="AG41">
        <v>-1.0521936028937233</v>
      </c>
      <c r="AI41">
        <v>40</v>
      </c>
      <c r="AJ41">
        <v>0.18045839869486546</v>
      </c>
      <c r="AK41">
        <v>1</v>
      </c>
      <c r="AT41">
        <v>0.46000000000000024</v>
      </c>
      <c r="AU41">
        <v>-0.9709511362109251</v>
      </c>
    </row>
    <row r="42" spans="1:47" x14ac:dyDescent="0.25">
      <c r="A42" t="s">
        <v>50</v>
      </c>
      <c r="B42">
        <v>6.1</v>
      </c>
      <c r="C42">
        <v>2.8</v>
      </c>
      <c r="D42">
        <v>4.7</v>
      </c>
      <c r="E42">
        <v>1.2</v>
      </c>
      <c r="G42" t="s">
        <v>50</v>
      </c>
      <c r="H42" t="s">
        <v>50</v>
      </c>
      <c r="L42">
        <v>41</v>
      </c>
      <c r="M42">
        <v>4.1056745163434882E-2</v>
      </c>
      <c r="N42">
        <v>6.3854772899089838E-5</v>
      </c>
      <c r="O42">
        <v>41</v>
      </c>
      <c r="P42">
        <v>3.2049709642114628E-2</v>
      </c>
      <c r="Q42">
        <v>6.7047511544044368E-4</v>
      </c>
      <c r="R42">
        <v>41</v>
      </c>
      <c r="S42">
        <v>3.3060538691614863E-2</v>
      </c>
      <c r="T42">
        <v>6.7047511544044401E-4</v>
      </c>
      <c r="AE42">
        <v>0.62000000000000033</v>
      </c>
      <c r="AF42">
        <v>0.26751905927586772</v>
      </c>
      <c r="AG42">
        <v>0.47161669342745682</v>
      </c>
      <c r="AI42">
        <v>41</v>
      </c>
      <c r="AJ42">
        <v>0.17842611800990929</v>
      </c>
      <c r="AK42">
        <v>1</v>
      </c>
      <c r="AT42">
        <v>0.62000000000000033</v>
      </c>
      <c r="AU42">
        <v>0.26751905927586772</v>
      </c>
    </row>
    <row r="43" spans="1:47" x14ac:dyDescent="0.25">
      <c r="A43" t="s">
        <v>51</v>
      </c>
      <c r="B43">
        <v>7.7</v>
      </c>
      <c r="C43">
        <v>2.6</v>
      </c>
      <c r="D43">
        <v>6.9</v>
      </c>
      <c r="E43">
        <v>2.2999999999999998</v>
      </c>
      <c r="G43" t="s">
        <v>51</v>
      </c>
      <c r="H43" t="s">
        <v>51</v>
      </c>
      <c r="L43">
        <v>42</v>
      </c>
      <c r="M43">
        <v>4.101414785871757E-2</v>
      </c>
      <c r="N43">
        <v>6.704751154404433E-5</v>
      </c>
      <c r="O43">
        <v>42</v>
      </c>
      <c r="P43">
        <v>3.2004988208315543E-2</v>
      </c>
      <c r="Q43">
        <v>7.0399887121246594E-4</v>
      </c>
      <c r="R43">
        <v>42</v>
      </c>
      <c r="S43">
        <v>3.3077457872115856E-2</v>
      </c>
      <c r="T43">
        <v>7.0399887121246627E-4</v>
      </c>
      <c r="AE43">
        <v>0.27000000000000007</v>
      </c>
      <c r="AF43">
        <v>-0.96662666902966632</v>
      </c>
      <c r="AG43">
        <v>-0.49063495298192095</v>
      </c>
      <c r="AI43">
        <v>42</v>
      </c>
      <c r="AJ43">
        <v>0.17749813810657947</v>
      </c>
      <c r="AK43">
        <v>1</v>
      </c>
      <c r="AT43">
        <v>0.27000000000000007</v>
      </c>
      <c r="AU43">
        <v>-0.96662666902966632</v>
      </c>
    </row>
    <row r="44" spans="1:47" x14ac:dyDescent="0.25">
      <c r="A44" t="s">
        <v>51</v>
      </c>
      <c r="B44">
        <v>6</v>
      </c>
      <c r="C44">
        <v>2.2000000000000002</v>
      </c>
      <c r="D44">
        <v>5</v>
      </c>
      <c r="E44">
        <v>1.5</v>
      </c>
      <c r="G44" t="s">
        <v>51</v>
      </c>
      <c r="H44" t="s">
        <v>51</v>
      </c>
      <c r="L44">
        <v>43</v>
      </c>
      <c r="M44">
        <v>4.0966261218874478E-2</v>
      </c>
      <c r="N44">
        <v>7.0399887121246554E-5</v>
      </c>
      <c r="O44">
        <v>43</v>
      </c>
      <c r="P44">
        <v>3.1965124429797924E-2</v>
      </c>
      <c r="Q44">
        <v>7.3919881477308932E-4</v>
      </c>
      <c r="R44">
        <v>43</v>
      </c>
      <c r="S44">
        <v>3.3040576838663176E-2</v>
      </c>
      <c r="T44">
        <v>7.0399887121246635E-5</v>
      </c>
      <c r="AE44">
        <v>0.31000000000000011</v>
      </c>
      <c r="AF44">
        <v>-1.5462311780104703</v>
      </c>
      <c r="AG44">
        <v>-1.0609708911388651</v>
      </c>
      <c r="AI44">
        <v>43</v>
      </c>
      <c r="AJ44">
        <v>0.17733407200296003</v>
      </c>
      <c r="AK44">
        <v>1</v>
      </c>
      <c r="AT44">
        <v>0.31000000000000011</v>
      </c>
      <c r="AU44">
        <v>-1.5462311780104703</v>
      </c>
    </row>
    <row r="45" spans="1:47" x14ac:dyDescent="0.25">
      <c r="A45" t="s">
        <v>50</v>
      </c>
      <c r="B45">
        <v>6.2</v>
      </c>
      <c r="C45">
        <v>2.9</v>
      </c>
      <c r="D45">
        <v>4.3</v>
      </c>
      <c r="E45">
        <v>1.3</v>
      </c>
      <c r="G45" t="s">
        <v>50</v>
      </c>
      <c r="H45" t="s">
        <v>50</v>
      </c>
      <c r="L45">
        <v>44</v>
      </c>
      <c r="M45">
        <v>4.0920129609084435E-2</v>
      </c>
      <c r="N45">
        <v>7.3919881477308878E-5</v>
      </c>
      <c r="O45">
        <v>44</v>
      </c>
      <c r="P45">
        <v>3.1912823756873369E-2</v>
      </c>
      <c r="Q45">
        <v>7.7615875551174387E-4</v>
      </c>
      <c r="R45">
        <v>44</v>
      </c>
      <c r="S45">
        <v>3.3029758694297515E-2</v>
      </c>
      <c r="T45">
        <v>7.3919881477308973E-5</v>
      </c>
      <c r="AE45">
        <v>0.32000000000000012</v>
      </c>
      <c r="AF45">
        <v>-1.329852558034371</v>
      </c>
      <c r="AG45">
        <v>-1.1747626893506578</v>
      </c>
      <c r="AI45">
        <v>44</v>
      </c>
      <c r="AJ45">
        <v>0.17730789205465128</v>
      </c>
      <c r="AK45">
        <v>1</v>
      </c>
      <c r="AT45">
        <v>0.32000000000000012</v>
      </c>
      <c r="AU45">
        <v>-1.329852558034371</v>
      </c>
    </row>
    <row r="46" spans="1:47" x14ac:dyDescent="0.25">
      <c r="A46" t="s">
        <v>51</v>
      </c>
      <c r="B46">
        <v>6.1</v>
      </c>
      <c r="C46">
        <v>2.6</v>
      </c>
      <c r="D46">
        <v>5.6</v>
      </c>
      <c r="E46">
        <v>1.4</v>
      </c>
      <c r="G46" t="s">
        <v>51</v>
      </c>
      <c r="H46" t="s">
        <v>51</v>
      </c>
      <c r="L46">
        <v>45</v>
      </c>
      <c r="M46">
        <v>4.0869367212268276E-2</v>
      </c>
      <c r="N46">
        <v>7.7615875551174322E-5</v>
      </c>
      <c r="O46">
        <v>45</v>
      </c>
      <c r="P46">
        <v>3.186547638034172E-2</v>
      </c>
      <c r="Q46">
        <v>8.1496669328733106E-4</v>
      </c>
      <c r="R46">
        <v>45</v>
      </c>
      <c r="S46">
        <v>3.3021753810215784E-2</v>
      </c>
      <c r="T46">
        <v>7.761587555117443E-5</v>
      </c>
      <c r="AE46">
        <v>0.21000000000000005</v>
      </c>
      <c r="AF46">
        <v>0.48957904940925523</v>
      </c>
      <c r="AG46">
        <v>0.50154377914720527</v>
      </c>
      <c r="AI46">
        <v>45</v>
      </c>
      <c r="AJ46">
        <v>0.17729436182777991</v>
      </c>
      <c r="AK46">
        <v>1</v>
      </c>
      <c r="AT46">
        <v>0.21000000000000005</v>
      </c>
      <c r="AU46">
        <v>0.48957904940925523</v>
      </c>
    </row>
    <row r="47" spans="1:47" x14ac:dyDescent="0.25">
      <c r="A47" t="s">
        <v>50</v>
      </c>
      <c r="B47">
        <v>6.1</v>
      </c>
      <c r="C47">
        <v>3</v>
      </c>
      <c r="D47">
        <v>4.5999999999999996</v>
      </c>
      <c r="E47">
        <v>1.4</v>
      </c>
      <c r="G47" t="s">
        <v>50</v>
      </c>
      <c r="H47" t="s">
        <v>50</v>
      </c>
      <c r="L47">
        <v>46</v>
      </c>
      <c r="M47">
        <v>4.0818009323940342E-2</v>
      </c>
      <c r="N47">
        <v>8.1496669328733043E-5</v>
      </c>
      <c r="O47">
        <v>46</v>
      </c>
      <c r="P47">
        <v>3.1805988115943783E-2</v>
      </c>
      <c r="Q47">
        <v>8.5571502795169765E-4</v>
      </c>
      <c r="R47">
        <v>46</v>
      </c>
      <c r="S47">
        <v>3.3014276688827053E-2</v>
      </c>
      <c r="T47">
        <v>8.1496669328733152E-5</v>
      </c>
      <c r="AE47">
        <v>0.10999999999999999</v>
      </c>
      <c r="AF47">
        <v>0.98760010564206324</v>
      </c>
      <c r="AG47">
        <v>1.3087684734190006</v>
      </c>
      <c r="AI47">
        <v>46</v>
      </c>
      <c r="AJ47">
        <v>0.17727704461867225</v>
      </c>
      <c r="AK47">
        <v>1</v>
      </c>
      <c r="AT47">
        <v>0.10999999999999999</v>
      </c>
      <c r="AU47">
        <v>0.98760010564206324</v>
      </c>
    </row>
    <row r="48" spans="1:47" x14ac:dyDescent="0.25">
      <c r="A48" t="s">
        <v>51</v>
      </c>
      <c r="B48">
        <v>6.5</v>
      </c>
      <c r="C48">
        <v>3.2</v>
      </c>
      <c r="D48">
        <v>5.0999999999999996</v>
      </c>
      <c r="E48">
        <v>2</v>
      </c>
      <c r="G48" t="s">
        <v>51</v>
      </c>
      <c r="H48" t="s">
        <v>51</v>
      </c>
      <c r="L48">
        <v>47</v>
      </c>
      <c r="M48">
        <v>4.0769346415486185E-2</v>
      </c>
      <c r="N48">
        <v>8.55715027951697E-5</v>
      </c>
      <c r="O48">
        <v>47</v>
      </c>
      <c r="P48">
        <v>3.1750975915192318E-2</v>
      </c>
      <c r="Q48">
        <v>8.9850077934928258E-4</v>
      </c>
      <c r="R48">
        <v>47</v>
      </c>
      <c r="S48">
        <v>3.3006710080895035E-2</v>
      </c>
      <c r="T48">
        <v>8.5571502795169809E-5</v>
      </c>
      <c r="AE48">
        <v>0.55000000000000027</v>
      </c>
      <c r="AF48">
        <v>-0.43597909668473295</v>
      </c>
      <c r="AG48">
        <v>4.8776344396898708E-2</v>
      </c>
      <c r="AI48">
        <v>47</v>
      </c>
      <c r="AJ48">
        <v>0.17722917598537674</v>
      </c>
      <c r="AK48">
        <v>1</v>
      </c>
      <c r="AT48">
        <v>0.55000000000000027</v>
      </c>
      <c r="AU48">
        <v>-0.43597909668473295</v>
      </c>
    </row>
    <row r="49" spans="1:47" x14ac:dyDescent="0.25">
      <c r="A49" t="s">
        <v>49</v>
      </c>
      <c r="B49">
        <v>5.0999999999999996</v>
      </c>
      <c r="C49">
        <v>3.3</v>
      </c>
      <c r="D49">
        <v>1.7</v>
      </c>
      <c r="E49">
        <v>0.5</v>
      </c>
      <c r="G49" t="s">
        <v>49</v>
      </c>
      <c r="H49" t="s">
        <v>49</v>
      </c>
      <c r="L49">
        <v>48</v>
      </c>
      <c r="M49">
        <v>4.0710530966737032E-2</v>
      </c>
      <c r="N49">
        <v>8.9850077934928193E-5</v>
      </c>
      <c r="O49">
        <v>48</v>
      </c>
      <c r="P49">
        <v>3.1694955933541873E-2</v>
      </c>
      <c r="Q49">
        <v>9.4342581831674674E-4</v>
      </c>
      <c r="R49">
        <v>48</v>
      </c>
      <c r="S49">
        <v>3.2998519591125423E-2</v>
      </c>
      <c r="T49">
        <v>8.9850077934928302E-5</v>
      </c>
      <c r="AE49">
        <v>0.47000000000000025</v>
      </c>
      <c r="AF49">
        <v>-0.5545597777602792</v>
      </c>
      <c r="AG49">
        <v>-0.93631501235836367</v>
      </c>
      <c r="AI49">
        <v>48</v>
      </c>
      <c r="AJ49">
        <v>0.17712243937053518</v>
      </c>
      <c r="AK49">
        <v>1</v>
      </c>
      <c r="AT49">
        <v>0.47000000000000025</v>
      </c>
      <c r="AU49">
        <v>-0.5545597777602792</v>
      </c>
    </row>
    <row r="50" spans="1:47" x14ac:dyDescent="0.25">
      <c r="A50" t="s">
        <v>51</v>
      </c>
      <c r="B50">
        <v>7.2</v>
      </c>
      <c r="C50">
        <v>3</v>
      </c>
      <c r="D50">
        <v>5.8</v>
      </c>
      <c r="E50">
        <v>1.6</v>
      </c>
      <c r="G50" t="s">
        <v>51</v>
      </c>
      <c r="H50" t="s">
        <v>51</v>
      </c>
      <c r="L50">
        <v>49</v>
      </c>
      <c r="M50">
        <v>4.0653862647323409E-2</v>
      </c>
      <c r="N50">
        <v>9.4342581831674609E-5</v>
      </c>
      <c r="O50">
        <v>49</v>
      </c>
      <c r="P50">
        <v>3.1644262045819549E-2</v>
      </c>
      <c r="Q50">
        <v>9.9059710923258409E-4</v>
      </c>
      <c r="R50">
        <v>49</v>
      </c>
      <c r="S50">
        <v>3.2989696771028448E-2</v>
      </c>
      <c r="T50">
        <v>9.4342581831674717E-5</v>
      </c>
      <c r="AE50">
        <v>0.39000000000000018</v>
      </c>
      <c r="AF50">
        <v>-1.3188145780024696</v>
      </c>
      <c r="AG50">
        <v>-1.5213455570677468</v>
      </c>
      <c r="AI50">
        <v>49</v>
      </c>
      <c r="AJ50">
        <v>0.17686283550658524</v>
      </c>
      <c r="AK50">
        <v>1</v>
      </c>
      <c r="AT50">
        <v>0.39000000000000018</v>
      </c>
      <c r="AU50">
        <v>-1.3188145780024696</v>
      </c>
    </row>
    <row r="51" spans="1:47" x14ac:dyDescent="0.25">
      <c r="A51" t="s">
        <v>50</v>
      </c>
      <c r="B51">
        <v>5.8</v>
      </c>
      <c r="C51">
        <v>2.6</v>
      </c>
      <c r="D51">
        <v>4</v>
      </c>
      <c r="E51">
        <v>1.2</v>
      </c>
      <c r="G51" t="s">
        <v>50</v>
      </c>
      <c r="H51" t="s">
        <v>50</v>
      </c>
      <c r="L51">
        <v>50</v>
      </c>
      <c r="M51">
        <v>4.0595204672208417E-2</v>
      </c>
      <c r="N51">
        <v>9.9059710923258347E-5</v>
      </c>
      <c r="O51">
        <v>50</v>
      </c>
      <c r="P51">
        <v>3.1578636721611167E-2</v>
      </c>
      <c r="Q51">
        <v>1.0401269646942133E-3</v>
      </c>
      <c r="R51">
        <v>50</v>
      </c>
      <c r="S51">
        <v>3.298006473136858E-2</v>
      </c>
      <c r="T51">
        <v>9.9059710923258456E-5</v>
      </c>
      <c r="AE51">
        <v>0.26000000000000006</v>
      </c>
      <c r="AF51">
        <v>-1.0060189757556215E-2</v>
      </c>
      <c r="AG51">
        <v>-0.32771136332279127</v>
      </c>
      <c r="AI51">
        <v>50</v>
      </c>
      <c r="AJ51">
        <v>0.17641031626372461</v>
      </c>
      <c r="AK51">
        <v>1</v>
      </c>
      <c r="AT51">
        <v>0.26000000000000006</v>
      </c>
      <c r="AU51">
        <v>-1.0060189757556215E-2</v>
      </c>
    </row>
    <row r="52" spans="1:47" x14ac:dyDescent="0.25">
      <c r="A52" t="s">
        <v>50</v>
      </c>
      <c r="B52">
        <v>5.4</v>
      </c>
      <c r="C52">
        <v>3</v>
      </c>
      <c r="D52">
        <v>4.5</v>
      </c>
      <c r="E52">
        <v>1.5</v>
      </c>
      <c r="G52" t="s">
        <v>50</v>
      </c>
      <c r="H52" t="s">
        <v>50</v>
      </c>
      <c r="L52">
        <v>51</v>
      </c>
      <c r="M52">
        <v>4.0537358654605012E-2</v>
      </c>
      <c r="N52">
        <v>1.0401269646942127E-4</v>
      </c>
      <c r="O52">
        <v>51</v>
      </c>
      <c r="P52">
        <v>3.1496100879364865E-2</v>
      </c>
      <c r="Q52">
        <v>1.092133312928924E-3</v>
      </c>
      <c r="R52">
        <v>51</v>
      </c>
      <c r="S52">
        <v>3.297013210979987E-2</v>
      </c>
      <c r="T52">
        <v>1.0401269646942138E-4</v>
      </c>
      <c r="AE52">
        <v>0.51000000000000023</v>
      </c>
      <c r="AF52">
        <v>-0.91869269247967678</v>
      </c>
      <c r="AG52">
        <v>-0.42727176701747993</v>
      </c>
      <c r="AI52">
        <v>51</v>
      </c>
      <c r="AJ52">
        <v>0.17545395839043434</v>
      </c>
      <c r="AK52">
        <v>1</v>
      </c>
      <c r="AT52">
        <v>0.51000000000000023</v>
      </c>
      <c r="AU52">
        <v>-0.91869269247967678</v>
      </c>
    </row>
    <row r="53" spans="1:47" x14ac:dyDescent="0.25">
      <c r="A53" t="s">
        <v>50</v>
      </c>
      <c r="B53">
        <v>5.7</v>
      </c>
      <c r="C53">
        <v>3</v>
      </c>
      <c r="D53">
        <v>4.2</v>
      </c>
      <c r="E53">
        <v>1.2</v>
      </c>
      <c r="G53" t="s">
        <v>50</v>
      </c>
      <c r="H53" t="s">
        <v>50</v>
      </c>
      <c r="L53">
        <v>52</v>
      </c>
      <c r="M53">
        <v>4.048238749512216E-2</v>
      </c>
      <c r="N53">
        <v>1.0921333129289234E-4</v>
      </c>
      <c r="O53">
        <v>52</v>
      </c>
      <c r="P53">
        <v>3.1424476032181625E-2</v>
      </c>
      <c r="Q53">
        <v>1.1467399785753702E-3</v>
      </c>
      <c r="R53">
        <v>52</v>
      </c>
      <c r="S53">
        <v>3.2959412327088829E-2</v>
      </c>
      <c r="T53">
        <v>1.0921333129289245E-4</v>
      </c>
      <c r="AE53">
        <v>0.11999999999999998</v>
      </c>
      <c r="AF53">
        <v>1.1976128997196374</v>
      </c>
      <c r="AG53">
        <v>1.2933456927961657</v>
      </c>
      <c r="AI53">
        <v>52</v>
      </c>
      <c r="AJ53">
        <v>0.17371874676042326</v>
      </c>
      <c r="AK53">
        <v>1</v>
      </c>
      <c r="AT53">
        <v>0.11999999999999998</v>
      </c>
      <c r="AU53">
        <v>1.1976128997196374</v>
      </c>
    </row>
    <row r="54" spans="1:47" x14ac:dyDescent="0.25">
      <c r="A54" t="s">
        <v>51</v>
      </c>
      <c r="B54">
        <v>5.7</v>
      </c>
      <c r="C54">
        <v>2.5</v>
      </c>
      <c r="D54">
        <v>5</v>
      </c>
      <c r="E54">
        <v>2</v>
      </c>
      <c r="G54" t="s">
        <v>51</v>
      </c>
      <c r="H54" t="s">
        <v>51</v>
      </c>
      <c r="L54">
        <v>53</v>
      </c>
      <c r="M54">
        <v>4.0421094371476361E-2</v>
      </c>
      <c r="N54">
        <v>1.1467399785753696E-4</v>
      </c>
      <c r="O54">
        <v>53</v>
      </c>
      <c r="P54">
        <v>3.1364819414419827E-2</v>
      </c>
      <c r="Q54">
        <v>1.2040769775041387E-3</v>
      </c>
      <c r="R54">
        <v>53</v>
      </c>
      <c r="S54">
        <v>3.2948125047061926E-2</v>
      </c>
      <c r="T54">
        <v>1.1467399785753708E-4</v>
      </c>
      <c r="AE54">
        <v>0.53000000000000025</v>
      </c>
      <c r="AF54">
        <v>-3.0053910885582177E-2</v>
      </c>
      <c r="AG54">
        <v>-0.17667756584879157</v>
      </c>
      <c r="AI54">
        <v>53</v>
      </c>
      <c r="AJ54">
        <v>0.17265210372495951</v>
      </c>
      <c r="AK54">
        <v>1</v>
      </c>
      <c r="AT54">
        <v>0.53000000000000025</v>
      </c>
      <c r="AU54">
        <v>-3.0053910885582177E-2</v>
      </c>
    </row>
    <row r="55" spans="1:47" x14ac:dyDescent="0.25">
      <c r="A55" t="s">
        <v>49</v>
      </c>
      <c r="B55">
        <v>4.5999999999999996</v>
      </c>
      <c r="C55">
        <v>3.4</v>
      </c>
      <c r="D55">
        <v>1.4</v>
      </c>
      <c r="E55">
        <v>0.3</v>
      </c>
      <c r="G55" t="s">
        <v>49</v>
      </c>
      <c r="H55" t="s">
        <v>49</v>
      </c>
      <c r="L55">
        <v>54</v>
      </c>
      <c r="M55">
        <v>4.0357913075872789E-2</v>
      </c>
      <c r="N55">
        <v>1.2040769775041382E-4</v>
      </c>
      <c r="O55">
        <v>54</v>
      </c>
      <c r="P55">
        <v>3.1309580492453082E-2</v>
      </c>
      <c r="Q55">
        <v>1.2642808263793456E-3</v>
      </c>
      <c r="R55">
        <v>54</v>
      </c>
      <c r="S55">
        <v>3.2936108332841052E-2</v>
      </c>
      <c r="T55">
        <v>1.2040769775041394E-4</v>
      </c>
      <c r="AE55">
        <v>0.83000000000000052</v>
      </c>
      <c r="AF55">
        <v>-0.84917424085816084</v>
      </c>
      <c r="AG55">
        <v>-0.88047730628933607</v>
      </c>
      <c r="AI55">
        <v>54</v>
      </c>
      <c r="AJ55">
        <v>0.17173922890198651</v>
      </c>
      <c r="AK55">
        <v>0.25</v>
      </c>
      <c r="AT55">
        <v>0.83000000000000052</v>
      </c>
      <c r="AU55">
        <v>-0.84917424085816084</v>
      </c>
    </row>
    <row r="56" spans="1:47" x14ac:dyDescent="0.25">
      <c r="A56" t="s">
        <v>49</v>
      </c>
      <c r="B56">
        <v>5.7</v>
      </c>
      <c r="C56">
        <v>4.4000000000000004</v>
      </c>
      <c r="D56">
        <v>1.5</v>
      </c>
      <c r="E56">
        <v>0.4</v>
      </c>
      <c r="G56" t="s">
        <v>49</v>
      </c>
      <c r="H56" t="s">
        <v>49</v>
      </c>
      <c r="L56">
        <v>55</v>
      </c>
      <c r="M56">
        <v>4.0280539792362194E-2</v>
      </c>
      <c r="N56">
        <v>1.2642808263793452E-4</v>
      </c>
      <c r="O56">
        <v>55</v>
      </c>
      <c r="P56">
        <v>3.121091532628777E-2</v>
      </c>
      <c r="Q56">
        <v>1.327494867698313E-3</v>
      </c>
      <c r="R56">
        <v>55</v>
      </c>
      <c r="S56">
        <v>3.2923635834852596E-2</v>
      </c>
      <c r="T56">
        <v>1.2642808263793465E-4</v>
      </c>
      <c r="AE56">
        <v>0.7000000000000004</v>
      </c>
      <c r="AF56">
        <v>-0.2156831358240911</v>
      </c>
      <c r="AG56">
        <v>0.15161014854587052</v>
      </c>
      <c r="AI56">
        <v>55</v>
      </c>
      <c r="AJ56">
        <v>0.17053857581988571</v>
      </c>
      <c r="AK56">
        <v>1</v>
      </c>
      <c r="AT56">
        <v>0.7000000000000004</v>
      </c>
      <c r="AU56">
        <v>-0.2156831358240911</v>
      </c>
    </row>
    <row r="57" spans="1:47" x14ac:dyDescent="0.25">
      <c r="A57" t="s">
        <v>49</v>
      </c>
      <c r="B57">
        <v>5</v>
      </c>
      <c r="C57">
        <v>3.4</v>
      </c>
      <c r="D57">
        <v>1.6</v>
      </c>
      <c r="E57">
        <v>0.4</v>
      </c>
      <c r="G57" t="s">
        <v>49</v>
      </c>
      <c r="H57" t="s">
        <v>49</v>
      </c>
      <c r="L57">
        <v>56</v>
      </c>
      <c r="M57">
        <v>4.0201055708204807E-2</v>
      </c>
      <c r="N57">
        <v>1.3274948676983124E-4</v>
      </c>
      <c r="O57">
        <v>56</v>
      </c>
      <c r="P57">
        <v>3.1116711474893491E-2</v>
      </c>
      <c r="Q57">
        <v>1.3938696110832288E-3</v>
      </c>
      <c r="R57">
        <v>56</v>
      </c>
      <c r="S57">
        <v>3.2910458510754179E-2</v>
      </c>
      <c r="T57">
        <v>1.3274948676983138E-4</v>
      </c>
      <c r="AE57">
        <v>0.56000000000000028</v>
      </c>
      <c r="AF57">
        <v>0.41370488461690746</v>
      </c>
      <c r="AG57">
        <v>0.14758162310263145</v>
      </c>
      <c r="AI57">
        <v>56</v>
      </c>
      <c r="AJ57">
        <v>0.16965391617562003</v>
      </c>
      <c r="AK57">
        <v>0.5</v>
      </c>
      <c r="AT57">
        <v>0.56000000000000028</v>
      </c>
      <c r="AU57">
        <v>0.41370488461690746</v>
      </c>
    </row>
    <row r="58" spans="1:47" x14ac:dyDescent="0.25">
      <c r="A58" t="s">
        <v>50</v>
      </c>
      <c r="B58">
        <v>6.4</v>
      </c>
      <c r="C58">
        <v>2.9</v>
      </c>
      <c r="D58">
        <v>4.3</v>
      </c>
      <c r="E58">
        <v>1.3</v>
      </c>
      <c r="G58" t="s">
        <v>50</v>
      </c>
      <c r="H58" t="s">
        <v>50</v>
      </c>
      <c r="L58">
        <v>57</v>
      </c>
      <c r="M58">
        <v>4.0133058468654281E-2</v>
      </c>
      <c r="N58">
        <v>1.3938696110832281E-4</v>
      </c>
      <c r="O58">
        <v>57</v>
      </c>
      <c r="P58">
        <v>3.1026578112074706E-2</v>
      </c>
      <c r="Q58">
        <v>1.4635630916373904E-3</v>
      </c>
      <c r="R58">
        <v>57</v>
      </c>
      <c r="S58">
        <v>3.2896707479475255E-2</v>
      </c>
      <c r="T58">
        <v>1.3938696110832294E-4</v>
      </c>
      <c r="AE58">
        <v>0.69000000000000039</v>
      </c>
      <c r="AF58">
        <v>0.42984606124468022</v>
      </c>
      <c r="AG58">
        <v>0.22908832666568912</v>
      </c>
      <c r="AI58">
        <v>57</v>
      </c>
      <c r="AJ58">
        <v>0.16810148494786439</v>
      </c>
      <c r="AK58">
        <v>1</v>
      </c>
      <c r="AT58">
        <v>0.69000000000000039</v>
      </c>
      <c r="AU58">
        <v>0.42984606124468022</v>
      </c>
    </row>
    <row r="59" spans="1:47" x14ac:dyDescent="0.25">
      <c r="A59" t="s">
        <v>51</v>
      </c>
      <c r="B59">
        <v>5.9</v>
      </c>
      <c r="C59">
        <v>3</v>
      </c>
      <c r="D59">
        <v>5.0999999999999996</v>
      </c>
      <c r="E59">
        <v>1.8</v>
      </c>
      <c r="G59" t="s">
        <v>51</v>
      </c>
      <c r="H59" t="s">
        <v>51</v>
      </c>
      <c r="L59">
        <v>58</v>
      </c>
      <c r="M59">
        <v>4.0052246135761777E-2</v>
      </c>
      <c r="N59">
        <v>1.4635630916373895E-4</v>
      </c>
      <c r="O59">
        <v>58</v>
      </c>
      <c r="P59">
        <v>3.0967092455659664E-2</v>
      </c>
      <c r="Q59">
        <v>1.5367412462192599E-3</v>
      </c>
      <c r="R59">
        <v>58</v>
      </c>
      <c r="S59">
        <v>3.2882292614441609E-2</v>
      </c>
      <c r="T59">
        <v>1.4635630916373909E-4</v>
      </c>
      <c r="AE59">
        <v>0.91000000000000059</v>
      </c>
      <c r="AF59">
        <v>-0.44143875995841897</v>
      </c>
      <c r="AG59">
        <v>-0.40050135220939609</v>
      </c>
      <c r="AI59">
        <v>58</v>
      </c>
      <c r="AJ59">
        <v>0.16748829986551309</v>
      </c>
      <c r="AK59">
        <v>1</v>
      </c>
      <c r="AT59">
        <v>0.91000000000000059</v>
      </c>
      <c r="AU59">
        <v>-0.44143875995841897</v>
      </c>
    </row>
    <row r="60" spans="1:47" x14ac:dyDescent="0.25">
      <c r="A60" t="s">
        <v>49</v>
      </c>
      <c r="B60">
        <v>5.7</v>
      </c>
      <c r="C60">
        <v>3.8</v>
      </c>
      <c r="D60">
        <v>1.7</v>
      </c>
      <c r="E60">
        <v>0.3</v>
      </c>
      <c r="G60" t="s">
        <v>49</v>
      </c>
      <c r="H60" t="s">
        <v>49</v>
      </c>
      <c r="L60">
        <v>59</v>
      </c>
      <c r="M60">
        <v>3.9978251351865106E-2</v>
      </c>
      <c r="N60">
        <v>1.5367412462192592E-4</v>
      </c>
      <c r="O60">
        <v>59</v>
      </c>
      <c r="P60">
        <v>3.0836429282220169E-2</v>
      </c>
      <c r="Q60">
        <v>1.6135783085302229E-3</v>
      </c>
      <c r="R60">
        <v>59</v>
      </c>
      <c r="S60">
        <v>3.2867311212371755E-2</v>
      </c>
      <c r="T60">
        <v>1.5367412462192605E-4</v>
      </c>
      <c r="AE60">
        <v>0.17</v>
      </c>
      <c r="AF60">
        <v>1.2355467670262945</v>
      </c>
      <c r="AG60">
        <v>1.0227442213473594</v>
      </c>
      <c r="AI60">
        <v>59</v>
      </c>
      <c r="AJ60">
        <v>0.16706058715274974</v>
      </c>
      <c r="AK60">
        <v>0.5</v>
      </c>
      <c r="AT60">
        <v>0.17</v>
      </c>
      <c r="AU60">
        <v>1.2355467670262945</v>
      </c>
    </row>
    <row r="61" spans="1:47" x14ac:dyDescent="0.25">
      <c r="A61" t="s">
        <v>50</v>
      </c>
      <c r="B61">
        <v>5.9</v>
      </c>
      <c r="C61">
        <v>3.2</v>
      </c>
      <c r="D61">
        <v>4.8</v>
      </c>
      <c r="E61">
        <v>1.8</v>
      </c>
      <c r="G61" t="s">
        <v>51</v>
      </c>
      <c r="H61" t="s">
        <v>51</v>
      </c>
      <c r="L61">
        <v>60</v>
      </c>
      <c r="M61">
        <v>3.9908502782565955E-2</v>
      </c>
      <c r="N61">
        <v>1.6135783085302223E-4</v>
      </c>
      <c r="O61">
        <v>60</v>
      </c>
      <c r="P61">
        <v>3.0990990732581852E-2</v>
      </c>
      <c r="Q61">
        <v>1.694257223956734E-3</v>
      </c>
      <c r="R61">
        <v>60</v>
      </c>
      <c r="S61">
        <v>3.2851819624288695E-2</v>
      </c>
      <c r="T61">
        <v>1.6135783085302236E-4</v>
      </c>
      <c r="AE61">
        <v>0.12999999999999998</v>
      </c>
      <c r="AF61">
        <v>1.5375939510159269</v>
      </c>
      <c r="AG61">
        <v>1.2700605399505136</v>
      </c>
      <c r="AI61">
        <v>60</v>
      </c>
      <c r="AJ61">
        <v>0.16696283430823106</v>
      </c>
      <c r="AK61">
        <v>1</v>
      </c>
      <c r="AT61">
        <v>0.12999999999999998</v>
      </c>
      <c r="AU61">
        <v>1.5375939510159269</v>
      </c>
    </row>
    <row r="62" spans="1:47" x14ac:dyDescent="0.25">
      <c r="A62" t="s">
        <v>50</v>
      </c>
      <c r="B62">
        <v>6.3</v>
      </c>
      <c r="C62">
        <v>3.3</v>
      </c>
      <c r="D62">
        <v>4.7</v>
      </c>
      <c r="E62">
        <v>1.6</v>
      </c>
      <c r="G62" t="s">
        <v>50</v>
      </c>
      <c r="H62" t="s">
        <v>50</v>
      </c>
      <c r="L62">
        <v>61</v>
      </c>
      <c r="M62">
        <v>3.991028887720216E-2</v>
      </c>
      <c r="N62">
        <v>1.6942572239567335E-4</v>
      </c>
      <c r="O62">
        <v>61</v>
      </c>
      <c r="P62">
        <v>3.0822492455514963E-2</v>
      </c>
      <c r="Q62">
        <v>1.694257223956734E-4</v>
      </c>
      <c r="R62">
        <v>61</v>
      </c>
      <c r="S62">
        <v>3.2835339568099239E-2</v>
      </c>
      <c r="T62">
        <v>1.6942572239567348E-4</v>
      </c>
      <c r="AE62">
        <v>0.72000000000000042</v>
      </c>
      <c r="AF62">
        <v>0.12162433168497017</v>
      </c>
      <c r="AG62">
        <v>-2.2864800093373105E-2</v>
      </c>
      <c r="AI62">
        <v>61</v>
      </c>
      <c r="AJ62">
        <v>0.16686056327177953</v>
      </c>
      <c r="AK62">
        <v>1</v>
      </c>
      <c r="AT62">
        <v>0.72000000000000042</v>
      </c>
      <c r="AU62">
        <v>0.12162433168497017</v>
      </c>
    </row>
    <row r="63" spans="1:47" x14ac:dyDescent="0.25">
      <c r="A63" t="s">
        <v>50</v>
      </c>
      <c r="B63">
        <v>5.8</v>
      </c>
      <c r="C63">
        <v>2.7</v>
      </c>
      <c r="D63">
        <v>4.0999999999999996</v>
      </c>
      <c r="E63">
        <v>1</v>
      </c>
      <c r="G63" t="s">
        <v>50</v>
      </c>
      <c r="H63" t="s">
        <v>50</v>
      </c>
      <c r="L63">
        <v>62</v>
      </c>
      <c r="M63">
        <v>3.9893724146883372E-2</v>
      </c>
      <c r="N63">
        <v>1.6942572239567334E-5</v>
      </c>
      <c r="O63">
        <v>62</v>
      </c>
      <c r="P63">
        <v>3.0810991529062901E-2</v>
      </c>
      <c r="Q63">
        <v>1.7789700851545708E-4</v>
      </c>
      <c r="R63">
        <v>62</v>
      </c>
      <c r="S63">
        <v>3.2818527213663844E-2</v>
      </c>
      <c r="T63">
        <v>1.7789700851545716E-4</v>
      </c>
      <c r="AE63">
        <v>0.08</v>
      </c>
      <c r="AF63">
        <v>1.157200219025156</v>
      </c>
      <c r="AG63">
        <v>1.3599391055999277</v>
      </c>
      <c r="AI63">
        <v>62</v>
      </c>
      <c r="AJ63">
        <v>0.16681907048125544</v>
      </c>
      <c r="AK63">
        <v>1</v>
      </c>
      <c r="AT63">
        <v>0.08</v>
      </c>
      <c r="AU63">
        <v>1.157200219025156</v>
      </c>
    </row>
    <row r="64" spans="1:47" x14ac:dyDescent="0.25">
      <c r="A64" t="s">
        <v>49</v>
      </c>
      <c r="B64">
        <v>5.3</v>
      </c>
      <c r="C64">
        <v>3.7</v>
      </c>
      <c r="D64">
        <v>1.5</v>
      </c>
      <c r="E64">
        <v>0.2</v>
      </c>
      <c r="G64" t="s">
        <v>49</v>
      </c>
      <c r="H64" t="s">
        <v>49</v>
      </c>
      <c r="L64">
        <v>63</v>
      </c>
      <c r="M64">
        <v>3.9881886941660796E-2</v>
      </c>
      <c r="N64">
        <v>1.7789700851545702E-5</v>
      </c>
      <c r="O64">
        <v>63</v>
      </c>
      <c r="P64">
        <v>3.0798875659791163E-2</v>
      </c>
      <c r="Q64">
        <v>1.8679185894122994E-4</v>
      </c>
      <c r="R64">
        <v>63</v>
      </c>
      <c r="S64">
        <v>3.2801063528647541E-2</v>
      </c>
      <c r="T64">
        <v>1.8679185894123003E-4</v>
      </c>
      <c r="AE64">
        <v>0.74000000000000044</v>
      </c>
      <c r="AF64">
        <v>-0.57596623077615894</v>
      </c>
      <c r="AG64">
        <v>-0.21296996104029375</v>
      </c>
      <c r="AI64">
        <v>63</v>
      </c>
      <c r="AJ64">
        <v>0.16677171882581704</v>
      </c>
      <c r="AK64">
        <v>1</v>
      </c>
      <c r="AT64">
        <v>0.74000000000000044</v>
      </c>
      <c r="AU64">
        <v>-0.57596623077615894</v>
      </c>
    </row>
    <row r="65" spans="1:47" x14ac:dyDescent="0.25">
      <c r="A65" t="s">
        <v>50</v>
      </c>
      <c r="B65">
        <v>6</v>
      </c>
      <c r="C65">
        <v>3.4</v>
      </c>
      <c r="D65">
        <v>4.5</v>
      </c>
      <c r="E65">
        <v>1.6</v>
      </c>
      <c r="G65" t="s">
        <v>50</v>
      </c>
      <c r="H65" t="s">
        <v>50</v>
      </c>
      <c r="L65">
        <v>64</v>
      </c>
      <c r="M65">
        <v>3.9870692790630935E-2</v>
      </c>
      <c r="N65">
        <v>1.8679185894122986E-5</v>
      </c>
      <c r="O65">
        <v>64</v>
      </c>
      <c r="P65">
        <v>3.0787175792580654E-2</v>
      </c>
      <c r="Q65">
        <v>1.9613145188829146E-4</v>
      </c>
      <c r="R65">
        <v>64</v>
      </c>
      <c r="S65">
        <v>3.2781568301490746E-2</v>
      </c>
      <c r="T65">
        <v>1.9613145188829154E-4</v>
      </c>
      <c r="AE65">
        <v>0.98000000000000065</v>
      </c>
      <c r="AF65">
        <v>1.1377651354458445</v>
      </c>
      <c r="AG65">
        <v>1.2163335554827128</v>
      </c>
      <c r="AI65">
        <v>64</v>
      </c>
      <c r="AJ65">
        <v>0.16672975991806982</v>
      </c>
      <c r="AK65">
        <v>1</v>
      </c>
      <c r="AT65">
        <v>0.98000000000000065</v>
      </c>
      <c r="AU65">
        <v>1.1377651354458445</v>
      </c>
    </row>
    <row r="66" spans="1:47" x14ac:dyDescent="0.25">
      <c r="A66" t="s">
        <v>49</v>
      </c>
      <c r="B66">
        <v>4.7</v>
      </c>
      <c r="C66">
        <v>3.2</v>
      </c>
      <c r="D66">
        <v>1.6</v>
      </c>
      <c r="E66">
        <v>0.2</v>
      </c>
      <c r="G66" t="s">
        <v>49</v>
      </c>
      <c r="H66" t="s">
        <v>49</v>
      </c>
      <c r="L66">
        <v>65</v>
      </c>
      <c r="M66">
        <v>3.9859740108987074E-2</v>
      </c>
      <c r="N66">
        <v>1.9613145188829136E-5</v>
      </c>
      <c r="O66">
        <v>65</v>
      </c>
      <c r="P66">
        <v>3.077476685788582E-2</v>
      </c>
      <c r="Q66">
        <v>2.0593802448270603E-4</v>
      </c>
      <c r="R66">
        <v>65</v>
      </c>
      <c r="S66">
        <v>3.2761863272085828E-2</v>
      </c>
      <c r="T66">
        <v>2.0593802448270614E-4</v>
      </c>
      <c r="AE66">
        <v>0.03</v>
      </c>
      <c r="AF66">
        <v>2.1165246071389476</v>
      </c>
      <c r="AG66">
        <v>1.656320907925469</v>
      </c>
      <c r="AI66">
        <v>65</v>
      </c>
      <c r="AJ66">
        <v>0.16668919575730795</v>
      </c>
      <c r="AK66">
        <v>1</v>
      </c>
      <c r="AT66">
        <v>0.03</v>
      </c>
      <c r="AU66">
        <v>2.1165246071389476</v>
      </c>
    </row>
    <row r="67" spans="1:47" x14ac:dyDescent="0.25">
      <c r="A67" t="s">
        <v>49</v>
      </c>
      <c r="B67">
        <v>4.8</v>
      </c>
      <c r="C67">
        <v>3.4</v>
      </c>
      <c r="D67">
        <v>1.6</v>
      </c>
      <c r="E67">
        <v>0.2</v>
      </c>
      <c r="G67" t="s">
        <v>49</v>
      </c>
      <c r="H67" t="s">
        <v>49</v>
      </c>
      <c r="L67">
        <v>66</v>
      </c>
      <c r="M67">
        <v>3.9849132420073645E-2</v>
      </c>
      <c r="N67">
        <v>2.0593802448270593E-5</v>
      </c>
      <c r="O67">
        <v>66</v>
      </c>
      <c r="P67">
        <v>3.0762162677934329E-2</v>
      </c>
      <c r="Q67">
        <v>2.1623492570684133E-4</v>
      </c>
      <c r="R67">
        <v>66</v>
      </c>
      <c r="S67">
        <v>3.2741418401458625E-2</v>
      </c>
      <c r="T67">
        <v>2.1623492570684147E-4</v>
      </c>
      <c r="AE67">
        <v>0.5900000000000003</v>
      </c>
      <c r="AF67">
        <v>0.59559107452490845</v>
      </c>
      <c r="AG67">
        <v>0.37195997341766684</v>
      </c>
      <c r="AI67">
        <v>66</v>
      </c>
      <c r="AJ67">
        <v>0.16651425087876251</v>
      </c>
      <c r="AK67">
        <v>1</v>
      </c>
      <c r="AT67">
        <v>0.5900000000000003</v>
      </c>
      <c r="AU67">
        <v>0.59559107452490845</v>
      </c>
    </row>
    <row r="68" spans="1:47" x14ac:dyDescent="0.25">
      <c r="A68" t="s">
        <v>51</v>
      </c>
      <c r="B68">
        <v>6.4</v>
      </c>
      <c r="C68">
        <v>3.1</v>
      </c>
      <c r="D68">
        <v>5.5</v>
      </c>
      <c r="E68">
        <v>1.8</v>
      </c>
      <c r="G68" t="s">
        <v>51</v>
      </c>
      <c r="H68" t="s">
        <v>51</v>
      </c>
      <c r="L68">
        <v>67</v>
      </c>
      <c r="M68">
        <v>3.9838391033768718E-2</v>
      </c>
      <c r="N68">
        <v>2.1623492570684124E-5</v>
      </c>
      <c r="O68">
        <v>67</v>
      </c>
      <c r="P68">
        <v>3.074864820426336E-2</v>
      </c>
      <c r="Q68">
        <v>2.270466719921834E-4</v>
      </c>
      <c r="R68">
        <v>67</v>
      </c>
      <c r="S68">
        <v>3.2719126047616898E-2</v>
      </c>
      <c r="T68">
        <v>2.2704667199218356E-4</v>
      </c>
      <c r="AE68">
        <v>0.45000000000000023</v>
      </c>
      <c r="AF68">
        <v>-0.78690256730685904</v>
      </c>
      <c r="AG68">
        <v>-1.1592162981020451</v>
      </c>
      <c r="AI68">
        <v>67</v>
      </c>
      <c r="AJ68">
        <v>0.16610849926805266</v>
      </c>
      <c r="AK68">
        <v>1</v>
      </c>
      <c r="AT68">
        <v>0.45000000000000023</v>
      </c>
      <c r="AU68">
        <v>-0.78690256730685904</v>
      </c>
    </row>
    <row r="69" spans="1:47" x14ac:dyDescent="0.25">
      <c r="A69" t="s">
        <v>51</v>
      </c>
      <c r="B69">
        <v>5.8</v>
      </c>
      <c r="C69">
        <v>2.7</v>
      </c>
      <c r="D69">
        <v>5.0999999999999996</v>
      </c>
      <c r="E69">
        <v>1.9</v>
      </c>
      <c r="G69" t="s">
        <v>51</v>
      </c>
      <c r="H69" t="s">
        <v>51</v>
      </c>
      <c r="L69">
        <v>68</v>
      </c>
      <c r="M69">
        <v>3.9827218029935947E-2</v>
      </c>
      <c r="N69">
        <v>2.270466719921833E-5</v>
      </c>
      <c r="O69">
        <v>68</v>
      </c>
      <c r="P69">
        <v>3.0735321676822164E-2</v>
      </c>
      <c r="Q69">
        <v>2.3839900559179258E-4</v>
      </c>
      <c r="R69">
        <v>68</v>
      </c>
      <c r="S69">
        <v>3.2696798842318887E-2</v>
      </c>
      <c r="T69">
        <v>2.3839900559179274E-4</v>
      </c>
      <c r="AE69">
        <v>0.48000000000000026</v>
      </c>
      <c r="AF69">
        <v>-0.66792027056516245</v>
      </c>
      <c r="AG69">
        <v>-0.81366664861815963</v>
      </c>
      <c r="AI69">
        <v>68</v>
      </c>
      <c r="AJ69">
        <v>0.16506970296504189</v>
      </c>
      <c r="AK69">
        <v>1</v>
      </c>
      <c r="AT69">
        <v>0.48000000000000026</v>
      </c>
      <c r="AU69">
        <v>-0.66792027056516245</v>
      </c>
    </row>
    <row r="70" spans="1:47" x14ac:dyDescent="0.25">
      <c r="A70" t="s">
        <v>50</v>
      </c>
      <c r="B70">
        <v>6</v>
      </c>
      <c r="C70">
        <v>2.2000000000000002</v>
      </c>
      <c r="D70">
        <v>4</v>
      </c>
      <c r="E70">
        <v>1</v>
      </c>
      <c r="G70" t="s">
        <v>50</v>
      </c>
      <c r="H70" t="s">
        <v>50</v>
      </c>
      <c r="L70">
        <v>69</v>
      </c>
      <c r="M70">
        <v>3.9815654817581828E-2</v>
      </c>
      <c r="N70">
        <v>2.3839900559179248E-5</v>
      </c>
      <c r="O70">
        <v>69</v>
      </c>
      <c r="P70">
        <v>3.0720542095939867E-2</v>
      </c>
      <c r="Q70">
        <v>2.5031895587138223E-4</v>
      </c>
      <c r="R70">
        <v>69</v>
      </c>
      <c r="S70">
        <v>3.2673535074253732E-2</v>
      </c>
      <c r="T70">
        <v>2.503189558713824E-4</v>
      </c>
      <c r="AE70">
        <v>0.67000000000000037</v>
      </c>
      <c r="AF70">
        <v>0.3376514676773516</v>
      </c>
      <c r="AG70">
        <v>0.35748034343074409</v>
      </c>
      <c r="AI70">
        <v>69</v>
      </c>
      <c r="AJ70">
        <v>0.16372076470371233</v>
      </c>
      <c r="AK70">
        <v>1</v>
      </c>
      <c r="AT70">
        <v>0.67000000000000037</v>
      </c>
      <c r="AU70">
        <v>0.3376514676773516</v>
      </c>
    </row>
    <row r="71" spans="1:47" x14ac:dyDescent="0.25">
      <c r="A71" t="s">
        <v>49</v>
      </c>
      <c r="B71">
        <v>5.4</v>
      </c>
      <c r="C71">
        <v>3.9</v>
      </c>
      <c r="D71">
        <v>1.3</v>
      </c>
      <c r="E71">
        <v>0.4</v>
      </c>
      <c r="G71" t="s">
        <v>49</v>
      </c>
      <c r="H71" t="s">
        <v>49</v>
      </c>
      <c r="L71">
        <v>70</v>
      </c>
      <c r="M71">
        <v>3.9803646738264586E-2</v>
      </c>
      <c r="N71">
        <v>2.5031895587138211E-5</v>
      </c>
      <c r="O71">
        <v>70</v>
      </c>
      <c r="P71">
        <v>3.070447098247088E-2</v>
      </c>
      <c r="Q71">
        <v>2.6283490366495134E-4</v>
      </c>
      <c r="R71">
        <v>70</v>
      </c>
      <c r="S71">
        <v>3.2649563364125736E-2</v>
      </c>
      <c r="T71">
        <v>2.6283490366495155E-4</v>
      </c>
      <c r="AE71">
        <v>0.94000000000000061</v>
      </c>
      <c r="AF71">
        <v>-0.17463688069501462</v>
      </c>
      <c r="AG71">
        <v>0.17981021752548543</v>
      </c>
      <c r="AI71">
        <v>70</v>
      </c>
      <c r="AJ71">
        <v>0.16195723679128057</v>
      </c>
      <c r="AK71">
        <v>1</v>
      </c>
      <c r="AT71">
        <v>0.94000000000000061</v>
      </c>
      <c r="AU71">
        <v>-0.17463688069501462</v>
      </c>
    </row>
    <row r="72" spans="1:47" x14ac:dyDescent="0.25">
      <c r="A72" t="s">
        <v>49</v>
      </c>
      <c r="B72">
        <v>4.9000000000000004</v>
      </c>
      <c r="C72">
        <v>3.1</v>
      </c>
      <c r="D72">
        <v>1.5</v>
      </c>
      <c r="E72">
        <v>0.1</v>
      </c>
      <c r="G72" t="s">
        <v>49</v>
      </c>
      <c r="H72" t="s">
        <v>49</v>
      </c>
      <c r="L72">
        <v>71</v>
      </c>
      <c r="M72">
        <v>3.9790993413409095E-2</v>
      </c>
      <c r="N72">
        <v>2.6283490366495123E-5</v>
      </c>
      <c r="O72">
        <v>71</v>
      </c>
      <c r="P72">
        <v>3.0687932839131866E-2</v>
      </c>
      <c r="Q72">
        <v>2.759766488481989E-4</v>
      </c>
      <c r="R72">
        <v>71</v>
      </c>
      <c r="S72">
        <v>3.262322128958299E-2</v>
      </c>
      <c r="T72">
        <v>2.7597664884819917E-4</v>
      </c>
      <c r="AE72">
        <v>0.02</v>
      </c>
      <c r="AF72">
        <v>1.3158098266487348</v>
      </c>
      <c r="AG72">
        <v>1.7510355260066817</v>
      </c>
      <c r="AI72">
        <v>71</v>
      </c>
      <c r="AJ72">
        <v>0.15946004510582271</v>
      </c>
      <c r="AK72">
        <v>0.5</v>
      </c>
      <c r="AT72">
        <v>0.02</v>
      </c>
      <c r="AU72">
        <v>1.3158098266487348</v>
      </c>
    </row>
    <row r="73" spans="1:47" x14ac:dyDescent="0.25">
      <c r="A73" t="s">
        <v>51</v>
      </c>
      <c r="B73">
        <v>6.4</v>
      </c>
      <c r="C73">
        <v>3.2</v>
      </c>
      <c r="D73">
        <v>5.3</v>
      </c>
      <c r="E73">
        <v>2.2999999999999998</v>
      </c>
      <c r="G73" t="s">
        <v>51</v>
      </c>
      <c r="H73" t="s">
        <v>51</v>
      </c>
      <c r="L73">
        <v>72</v>
      </c>
      <c r="M73">
        <v>3.9777766327732958E-2</v>
      </c>
      <c r="N73">
        <v>2.759766488481988E-5</v>
      </c>
      <c r="O73">
        <v>72</v>
      </c>
      <c r="P73">
        <v>3.0671073563310426E-2</v>
      </c>
      <c r="Q73">
        <v>2.8977548129060886E-4</v>
      </c>
      <c r="R73">
        <v>72</v>
      </c>
      <c r="S73">
        <v>3.2602089357310002E-2</v>
      </c>
      <c r="T73">
        <v>2.8977548129060913E-4</v>
      </c>
      <c r="AE73">
        <v>6.0000000000000005E-2</v>
      </c>
      <c r="AF73">
        <v>1.1995894221033272</v>
      </c>
      <c r="AG73">
        <v>1.4395213403877989</v>
      </c>
      <c r="AI73">
        <v>72</v>
      </c>
      <c r="AJ73">
        <v>0.15884284305845059</v>
      </c>
      <c r="AK73">
        <v>0.5</v>
      </c>
      <c r="AT73">
        <v>6.0000000000000005E-2</v>
      </c>
      <c r="AU73">
        <v>1.1995894221033272</v>
      </c>
    </row>
    <row r="74" spans="1:47" x14ac:dyDescent="0.25">
      <c r="A74" t="s">
        <v>49</v>
      </c>
      <c r="B74">
        <v>5</v>
      </c>
      <c r="C74">
        <v>3.5</v>
      </c>
      <c r="D74">
        <v>1.3</v>
      </c>
      <c r="E74">
        <v>0.3</v>
      </c>
      <c r="G74" t="s">
        <v>49</v>
      </c>
      <c r="H74" t="s">
        <v>49</v>
      </c>
      <c r="L74">
        <v>73</v>
      </c>
      <c r="M74">
        <v>3.9764389158569204E-2</v>
      </c>
      <c r="N74">
        <v>2.8977548129060875E-5</v>
      </c>
      <c r="O74">
        <v>73</v>
      </c>
      <c r="P74">
        <v>3.0654187653839971E-2</v>
      </c>
      <c r="Q74">
        <v>3.0426425535513932E-4</v>
      </c>
      <c r="R74">
        <v>73</v>
      </c>
      <c r="S74">
        <v>3.257176024264833E-2</v>
      </c>
      <c r="T74">
        <v>3.0426425535513959E-4</v>
      </c>
      <c r="AE74">
        <v>0.57000000000000028</v>
      </c>
      <c r="AF74">
        <v>-0.13060897886401746</v>
      </c>
      <c r="AG74">
        <v>0.23512648493287003</v>
      </c>
      <c r="AI74">
        <v>73</v>
      </c>
      <c r="AJ74">
        <v>0.15829743949618985</v>
      </c>
      <c r="AK74">
        <v>1</v>
      </c>
      <c r="AT74">
        <v>0.57000000000000028</v>
      </c>
      <c r="AU74">
        <v>-0.13060897886401746</v>
      </c>
    </row>
    <row r="75" spans="1:47" x14ac:dyDescent="0.25">
      <c r="A75" t="s">
        <v>49</v>
      </c>
      <c r="B75">
        <v>5</v>
      </c>
      <c r="C75">
        <v>3.2</v>
      </c>
      <c r="D75">
        <v>1.2</v>
      </c>
      <c r="E75">
        <v>0.2</v>
      </c>
      <c r="G75" t="s">
        <v>49</v>
      </c>
      <c r="H75" t="s">
        <v>49</v>
      </c>
      <c r="L75">
        <v>74</v>
      </c>
      <c r="M75">
        <v>3.9749388999307605E-2</v>
      </c>
      <c r="N75">
        <v>3.042642553551392E-5</v>
      </c>
      <c r="O75">
        <v>74</v>
      </c>
      <c r="P75">
        <v>3.063588444933768E-2</v>
      </c>
      <c r="Q75">
        <v>3.1947746812289633E-4</v>
      </c>
      <c r="R75">
        <v>74</v>
      </c>
      <c r="S75">
        <v>3.2540736896083035E-2</v>
      </c>
      <c r="T75">
        <v>3.194774681228966E-4</v>
      </c>
      <c r="AE75">
        <v>0.63000000000000034</v>
      </c>
      <c r="AF75">
        <v>0.80788342254245038</v>
      </c>
      <c r="AG75">
        <v>0.47582624233755411</v>
      </c>
      <c r="AI75">
        <v>74</v>
      </c>
      <c r="AJ75">
        <v>0.1581131591420194</v>
      </c>
      <c r="AK75">
        <v>1</v>
      </c>
      <c r="AT75">
        <v>0.63000000000000034</v>
      </c>
      <c r="AU75">
        <v>0.80788342254245038</v>
      </c>
    </row>
    <row r="76" spans="1:47" x14ac:dyDescent="0.25">
      <c r="A76" t="s">
        <v>51</v>
      </c>
      <c r="B76">
        <v>5.8</v>
      </c>
      <c r="C76">
        <v>2.8</v>
      </c>
      <c r="D76">
        <v>5.0999999999999996</v>
      </c>
      <c r="E76">
        <v>2.4</v>
      </c>
      <c r="G76" t="s">
        <v>51</v>
      </c>
      <c r="H76" t="s">
        <v>51</v>
      </c>
      <c r="L76">
        <v>75</v>
      </c>
      <c r="M76">
        <v>3.9734324447058697E-2</v>
      </c>
      <c r="N76">
        <v>3.1947746812289619E-5</v>
      </c>
      <c r="O76">
        <v>75</v>
      </c>
      <c r="P76">
        <v>3.0617437780147409E-2</v>
      </c>
      <c r="Q76">
        <v>3.3545134152904117E-4</v>
      </c>
      <c r="R76">
        <v>75</v>
      </c>
      <c r="S76">
        <v>3.2514529201543602E-2</v>
      </c>
      <c r="T76">
        <v>3.3545134152904144E-4</v>
      </c>
      <c r="AE76">
        <v>0.61000000000000032</v>
      </c>
      <c r="AF76">
        <v>0.75806957588300194</v>
      </c>
      <c r="AG76">
        <v>0.45292753915831696</v>
      </c>
      <c r="AI76">
        <v>75</v>
      </c>
      <c r="AJ76">
        <v>0.15802433570344196</v>
      </c>
      <c r="AK76">
        <v>1</v>
      </c>
      <c r="AT76">
        <v>0.61000000000000032</v>
      </c>
      <c r="AU76">
        <v>0.75806957588300194</v>
      </c>
    </row>
    <row r="77" spans="1:47" x14ac:dyDescent="0.25">
      <c r="A77" t="s">
        <v>51</v>
      </c>
      <c r="B77">
        <v>6.9</v>
      </c>
      <c r="C77">
        <v>3.1</v>
      </c>
      <c r="D77">
        <v>5.4</v>
      </c>
      <c r="E77">
        <v>2.1</v>
      </c>
      <c r="G77" t="s">
        <v>51</v>
      </c>
      <c r="H77" t="s">
        <v>51</v>
      </c>
      <c r="L77">
        <v>76</v>
      </c>
      <c r="M77">
        <v>3.9718866236806566E-2</v>
      </c>
      <c r="N77">
        <v>3.3545134152904102E-5</v>
      </c>
      <c r="O77">
        <v>76</v>
      </c>
      <c r="P77">
        <v>3.059692001605821E-2</v>
      </c>
      <c r="Q77">
        <v>3.5222390860549323E-4</v>
      </c>
      <c r="R77">
        <v>76</v>
      </c>
      <c r="S77">
        <v>3.2477820421919733E-2</v>
      </c>
      <c r="T77">
        <v>3.522239086054935E-4</v>
      </c>
      <c r="AE77">
        <v>0</v>
      </c>
      <c r="AF77">
        <v>2.0639404483020409</v>
      </c>
      <c r="AG77">
        <v>1.9632813046836546</v>
      </c>
      <c r="AI77">
        <v>76</v>
      </c>
      <c r="AJ77">
        <v>0.1579116818658664</v>
      </c>
      <c r="AK77">
        <v>1</v>
      </c>
      <c r="AT77">
        <v>0</v>
      </c>
      <c r="AU77">
        <v>2.0639404483020409</v>
      </c>
    </row>
    <row r="78" spans="1:47" x14ac:dyDescent="0.25">
      <c r="A78" t="s">
        <v>49</v>
      </c>
      <c r="B78">
        <v>4.9000000000000004</v>
      </c>
      <c r="C78">
        <v>3</v>
      </c>
      <c r="D78">
        <v>1.4</v>
      </c>
      <c r="E78">
        <v>0.2</v>
      </c>
      <c r="G78" t="s">
        <v>49</v>
      </c>
      <c r="H78" t="s">
        <v>49</v>
      </c>
      <c r="L78">
        <v>77</v>
      </c>
      <c r="M78">
        <v>3.9701903191381942E-2</v>
      </c>
      <c r="N78">
        <v>3.5222390860549305E-5</v>
      </c>
      <c r="O78">
        <v>77</v>
      </c>
      <c r="P78">
        <v>3.0575001269535679E-2</v>
      </c>
      <c r="Q78">
        <v>3.698351040357679E-4</v>
      </c>
      <c r="R78">
        <v>77</v>
      </c>
      <c r="S78">
        <v>3.2446408552188784E-2</v>
      </c>
      <c r="T78">
        <v>3.6983510403576817E-4</v>
      </c>
      <c r="AE78">
        <v>0.15</v>
      </c>
      <c r="AF78">
        <v>1.2542920509944651</v>
      </c>
      <c r="AG78">
        <v>1.1822372481090966</v>
      </c>
      <c r="AI78">
        <v>77</v>
      </c>
      <c r="AJ78">
        <v>0.15776716381657044</v>
      </c>
      <c r="AK78">
        <v>1</v>
      </c>
      <c r="AT78">
        <v>0.15</v>
      </c>
      <c r="AU78">
        <v>1.2542920509944651</v>
      </c>
    </row>
    <row r="79" spans="1:47" x14ac:dyDescent="0.25">
      <c r="A79" t="s">
        <v>50</v>
      </c>
      <c r="B79">
        <v>5.5</v>
      </c>
      <c r="C79">
        <v>2.4</v>
      </c>
      <c r="D79">
        <v>3.8</v>
      </c>
      <c r="E79">
        <v>1.1000000000000001</v>
      </c>
      <c r="G79" t="s">
        <v>50</v>
      </c>
      <c r="H79" t="s">
        <v>50</v>
      </c>
      <c r="L79">
        <v>78</v>
      </c>
      <c r="M79">
        <v>3.9684880975751742E-2</v>
      </c>
      <c r="N79">
        <v>3.6983510403576772E-5</v>
      </c>
      <c r="O79">
        <v>78</v>
      </c>
      <c r="P79">
        <v>3.0550781297341286E-2</v>
      </c>
      <c r="Q79">
        <v>3.883268592375563E-4</v>
      </c>
      <c r="R79">
        <v>78</v>
      </c>
      <c r="S79">
        <v>3.2409701031762737E-2</v>
      </c>
      <c r="T79">
        <v>3.8832685923755658E-4</v>
      </c>
      <c r="AE79">
        <v>1.0000000000000007</v>
      </c>
      <c r="AF79">
        <v>1.4584598186017315</v>
      </c>
      <c r="AG79">
        <v>1.784722674003909</v>
      </c>
      <c r="AI79">
        <v>78</v>
      </c>
      <c r="AJ79">
        <v>0.15753126749079599</v>
      </c>
      <c r="AK79">
        <v>1</v>
      </c>
      <c r="AT79">
        <v>1.0000000000000007</v>
      </c>
      <c r="AU79">
        <v>1.4584598186017315</v>
      </c>
    </row>
    <row r="80" spans="1:47" x14ac:dyDescent="0.25">
      <c r="A80" t="s">
        <v>50</v>
      </c>
      <c r="B80">
        <v>6.2</v>
      </c>
      <c r="C80">
        <v>2.2000000000000002</v>
      </c>
      <c r="D80">
        <v>4.5</v>
      </c>
      <c r="E80">
        <v>1.5</v>
      </c>
      <c r="G80" t="s">
        <v>50</v>
      </c>
      <c r="H80" t="s">
        <v>50</v>
      </c>
      <c r="L80">
        <v>79</v>
      </c>
      <c r="M80">
        <v>3.9666317876874024E-2</v>
      </c>
      <c r="N80">
        <v>3.883268592375561E-5</v>
      </c>
      <c r="O80">
        <v>79</v>
      </c>
      <c r="P80">
        <v>3.053071518654172E-2</v>
      </c>
      <c r="Q80">
        <v>4.0774320219943413E-4</v>
      </c>
      <c r="R80">
        <v>79</v>
      </c>
      <c r="S80">
        <v>3.2378583467160008E-2</v>
      </c>
      <c r="T80">
        <v>4.077432021994344E-4</v>
      </c>
      <c r="AE80">
        <v>0.37000000000000016</v>
      </c>
      <c r="AF80">
        <v>-1.5553137207229291</v>
      </c>
      <c r="AG80">
        <v>-1.509258728859848</v>
      </c>
      <c r="AI80">
        <v>79</v>
      </c>
      <c r="AJ80">
        <v>0.15737349415385404</v>
      </c>
      <c r="AK80">
        <v>1</v>
      </c>
      <c r="AT80">
        <v>0.37000000000000016</v>
      </c>
      <c r="AU80">
        <v>-1.5553137207229291</v>
      </c>
    </row>
    <row r="81" spans="1:47" x14ac:dyDescent="0.25">
      <c r="A81" t="s">
        <v>49</v>
      </c>
      <c r="B81">
        <v>5</v>
      </c>
      <c r="C81">
        <v>3.6</v>
      </c>
      <c r="D81">
        <v>1.4</v>
      </c>
      <c r="E81">
        <v>0.2</v>
      </c>
      <c r="G81" t="s">
        <v>49</v>
      </c>
      <c r="H81" t="s">
        <v>49</v>
      </c>
      <c r="L81">
        <v>80</v>
      </c>
      <c r="M81">
        <v>3.9647300077865467E-2</v>
      </c>
      <c r="N81">
        <v>4.0774320219943396E-5</v>
      </c>
      <c r="O81">
        <v>80</v>
      </c>
      <c r="P81">
        <v>3.0504573084130016E-2</v>
      </c>
      <c r="Q81">
        <v>4.2813036230940587E-4</v>
      </c>
      <c r="R81">
        <v>80</v>
      </c>
      <c r="S81">
        <v>3.2334962101891379E-2</v>
      </c>
      <c r="T81">
        <v>4.2813036230940615E-4</v>
      </c>
      <c r="AE81">
        <v>0.4100000000000002</v>
      </c>
      <c r="AF81">
        <v>-1.212424388548184</v>
      </c>
      <c r="AG81">
        <v>-1.4629401680651881</v>
      </c>
      <c r="AI81">
        <v>80</v>
      </c>
      <c r="AJ81">
        <v>0.15700141903943046</v>
      </c>
      <c r="AK81">
        <v>1</v>
      </c>
      <c r="AT81">
        <v>0.4100000000000002</v>
      </c>
      <c r="AU81">
        <v>-1.212424388548184</v>
      </c>
    </row>
    <row r="82" spans="1:47" x14ac:dyDescent="0.25">
      <c r="A82" t="s">
        <v>50</v>
      </c>
      <c r="B82">
        <v>6.1</v>
      </c>
      <c r="C82">
        <v>2.9</v>
      </c>
      <c r="D82">
        <v>4.7</v>
      </c>
      <c r="E82">
        <v>1.4</v>
      </c>
      <c r="G82" t="s">
        <v>50</v>
      </c>
      <c r="H82" t="s">
        <v>50</v>
      </c>
      <c r="L82">
        <v>81</v>
      </c>
      <c r="M82">
        <v>3.9627371082656147E-2</v>
      </c>
      <c r="N82">
        <v>4.2813036230940568E-5</v>
      </c>
      <c r="O82">
        <v>81</v>
      </c>
      <c r="P82">
        <v>3.0480706784418422E-2</v>
      </c>
      <c r="Q82">
        <v>4.4953688042487618E-4</v>
      </c>
      <c r="R82">
        <v>81</v>
      </c>
      <c r="S82">
        <v>3.2301118082446324E-2</v>
      </c>
      <c r="T82">
        <v>4.4953688042487645E-4</v>
      </c>
      <c r="AE82">
        <v>0.22000000000000006</v>
      </c>
      <c r="AF82">
        <v>0.56207505153349846</v>
      </c>
      <c r="AG82">
        <v>0.34220378271108842</v>
      </c>
      <c r="AI82">
        <v>81</v>
      </c>
      <c r="AJ82">
        <v>0.15639017087275772</v>
      </c>
      <c r="AK82">
        <v>1</v>
      </c>
      <c r="AT82">
        <v>0.22000000000000006</v>
      </c>
      <c r="AU82">
        <v>0.56207505153349846</v>
      </c>
    </row>
    <row r="83" spans="1:47" x14ac:dyDescent="0.25">
      <c r="A83" t="s">
        <v>49</v>
      </c>
      <c r="B83">
        <v>5.4</v>
      </c>
      <c r="C83">
        <v>3.7</v>
      </c>
      <c r="D83">
        <v>1.5</v>
      </c>
      <c r="E83">
        <v>0.2</v>
      </c>
      <c r="G83" t="s">
        <v>49</v>
      </c>
      <c r="H83" t="s">
        <v>49</v>
      </c>
      <c r="L83">
        <v>82</v>
      </c>
      <c r="M83">
        <v>3.9607278056738054E-2</v>
      </c>
      <c r="N83">
        <v>4.4953688042487596E-5</v>
      </c>
      <c r="O83">
        <v>82</v>
      </c>
      <c r="P83">
        <v>3.0453376082421754E-2</v>
      </c>
      <c r="Q83">
        <v>4.7201372444612003E-4</v>
      </c>
      <c r="R83">
        <v>82</v>
      </c>
      <c r="S83">
        <v>3.2254701271110381E-2</v>
      </c>
      <c r="T83">
        <v>4.720137244461203E-4</v>
      </c>
      <c r="AE83">
        <v>0.84000000000000052</v>
      </c>
      <c r="AF83">
        <v>-1.2042841006390772</v>
      </c>
      <c r="AG83">
        <v>-0.89693250778747569</v>
      </c>
      <c r="AI83">
        <v>82</v>
      </c>
      <c r="AJ83">
        <v>0.15514958248081176</v>
      </c>
      <c r="AK83">
        <v>1</v>
      </c>
      <c r="AT83">
        <v>0.84000000000000052</v>
      </c>
      <c r="AU83">
        <v>-1.2042841006390772</v>
      </c>
    </row>
    <row r="84" spans="1:47" x14ac:dyDescent="0.25">
      <c r="A84" t="s">
        <v>49</v>
      </c>
      <c r="B84">
        <v>4.9000000000000004</v>
      </c>
      <c r="C84">
        <v>3.1</v>
      </c>
      <c r="D84">
        <v>1.5</v>
      </c>
      <c r="E84">
        <v>0.1</v>
      </c>
      <c r="G84" t="s">
        <v>49</v>
      </c>
      <c r="H84" t="s">
        <v>49</v>
      </c>
      <c r="L84">
        <v>83</v>
      </c>
      <c r="M84">
        <v>3.958511205092663E-2</v>
      </c>
      <c r="N84">
        <v>4.720137244461198E-5</v>
      </c>
      <c r="O84">
        <v>83</v>
      </c>
      <c r="P84">
        <v>3.0424500148316925E-2</v>
      </c>
      <c r="Q84">
        <v>4.9561441066842604E-4</v>
      </c>
      <c r="R84">
        <v>83</v>
      </c>
      <c r="S84">
        <v>3.2222539648463597E-2</v>
      </c>
      <c r="T84">
        <v>4.9561441066842636E-4</v>
      </c>
      <c r="AE84">
        <v>0.66000000000000036</v>
      </c>
      <c r="AF84">
        <v>0.51571860204728837</v>
      </c>
      <c r="AG84">
        <v>0.40589304933479298</v>
      </c>
      <c r="AI84">
        <v>83</v>
      </c>
      <c r="AJ84">
        <v>0.15389507858809107</v>
      </c>
      <c r="AK84">
        <v>1</v>
      </c>
      <c r="AT84">
        <v>0.66000000000000036</v>
      </c>
      <c r="AU84">
        <v>0.51571860204728837</v>
      </c>
    </row>
    <row r="85" spans="1:47" x14ac:dyDescent="0.25">
      <c r="A85" t="s">
        <v>51</v>
      </c>
      <c r="B85">
        <v>6.7</v>
      </c>
      <c r="C85">
        <v>3</v>
      </c>
      <c r="D85">
        <v>5.2</v>
      </c>
      <c r="E85">
        <v>2.2999999999999998</v>
      </c>
      <c r="G85" t="s">
        <v>51</v>
      </c>
      <c r="H85" t="s">
        <v>51</v>
      </c>
      <c r="L85">
        <v>84</v>
      </c>
      <c r="M85">
        <v>3.9562149067439947E-2</v>
      </c>
      <c r="N85">
        <v>4.9561441066842584E-5</v>
      </c>
      <c r="O85">
        <v>84</v>
      </c>
      <c r="P85">
        <v>3.0397531145667359E-2</v>
      </c>
      <c r="Q85">
        <v>5.2039513120184734E-4</v>
      </c>
      <c r="R85">
        <v>84</v>
      </c>
      <c r="S85">
        <v>3.2168407201443865E-2</v>
      </c>
      <c r="T85">
        <v>5.2039513120184767E-4</v>
      </c>
      <c r="AE85">
        <v>0.29000000000000009</v>
      </c>
      <c r="AF85">
        <v>-0.46602817895844928</v>
      </c>
      <c r="AG85">
        <v>-0.79569422868934936</v>
      </c>
      <c r="AI85">
        <v>84</v>
      </c>
      <c r="AJ85">
        <v>0.15340292258779023</v>
      </c>
      <c r="AK85">
        <v>1</v>
      </c>
      <c r="AT85">
        <v>0.29000000000000009</v>
      </c>
      <c r="AU85">
        <v>-0.46602817895844928</v>
      </c>
    </row>
    <row r="86" spans="1:47" x14ac:dyDescent="0.25">
      <c r="A86" t="s">
        <v>51</v>
      </c>
      <c r="B86">
        <v>6.5</v>
      </c>
      <c r="C86">
        <v>3</v>
      </c>
      <c r="D86">
        <v>5.5</v>
      </c>
      <c r="E86">
        <v>1.8</v>
      </c>
      <c r="G86" t="s">
        <v>51</v>
      </c>
      <c r="H86" t="s">
        <v>51</v>
      </c>
      <c r="L86">
        <v>85</v>
      </c>
      <c r="M86">
        <v>3.9540346280593976E-2</v>
      </c>
      <c r="N86">
        <v>5.2039513120184716E-5</v>
      </c>
      <c r="O86">
        <v>85</v>
      </c>
      <c r="P86">
        <v>3.0364671183207178E-2</v>
      </c>
      <c r="Q86">
        <v>5.4641488776193976E-4</v>
      </c>
      <c r="R86">
        <v>85</v>
      </c>
      <c r="S86">
        <v>3.2125122857440486E-2</v>
      </c>
      <c r="T86">
        <v>5.4641488776194008E-4</v>
      </c>
      <c r="AE86">
        <v>0.77000000000000046</v>
      </c>
      <c r="AF86">
        <v>-0.52895814143836328</v>
      </c>
      <c r="AG86">
        <v>-0.49774509368542397</v>
      </c>
      <c r="AI86">
        <v>85</v>
      </c>
      <c r="AJ86">
        <v>0.15181751584973094</v>
      </c>
      <c r="AK86">
        <v>0.5</v>
      </c>
      <c r="AT86">
        <v>0.77000000000000046</v>
      </c>
      <c r="AU86">
        <v>-0.52895814143836328</v>
      </c>
    </row>
    <row r="87" spans="1:47" x14ac:dyDescent="0.25">
      <c r="A87" t="s">
        <v>50</v>
      </c>
      <c r="B87">
        <v>6.7</v>
      </c>
      <c r="C87">
        <v>3.1</v>
      </c>
      <c r="D87">
        <v>4.7</v>
      </c>
      <c r="E87">
        <v>1.5</v>
      </c>
      <c r="G87" t="s">
        <v>50</v>
      </c>
      <c r="H87" t="s">
        <v>50</v>
      </c>
      <c r="L87">
        <v>86</v>
      </c>
      <c r="M87">
        <v>3.9514139635322146E-2</v>
      </c>
      <c r="N87">
        <v>5.4641488776193951E-5</v>
      </c>
      <c r="O87">
        <v>86</v>
      </c>
      <c r="P87">
        <v>3.0330351893100769E-2</v>
      </c>
      <c r="Q87">
        <v>5.7373563215003677E-4</v>
      </c>
      <c r="R87">
        <v>86</v>
      </c>
      <c r="S87">
        <v>3.2073346183356818E-2</v>
      </c>
      <c r="T87">
        <v>5.7373563215003709E-4</v>
      </c>
      <c r="AE87">
        <v>0.54000000000000026</v>
      </c>
      <c r="AF87">
        <v>-0.26263623426867927</v>
      </c>
      <c r="AG87">
        <v>-5.9861232690707311E-2</v>
      </c>
      <c r="AI87">
        <v>86</v>
      </c>
      <c r="AJ87">
        <v>0.14999587585006807</v>
      </c>
      <c r="AK87">
        <v>0.5</v>
      </c>
      <c r="AT87">
        <v>0.54000000000000026</v>
      </c>
      <c r="AU87">
        <v>-0.26263623426867927</v>
      </c>
    </row>
    <row r="88" spans="1:47" x14ac:dyDescent="0.25">
      <c r="A88" t="s">
        <v>50</v>
      </c>
      <c r="B88">
        <v>5.8</v>
      </c>
      <c r="C88">
        <v>2.7</v>
      </c>
      <c r="D88">
        <v>3.9</v>
      </c>
      <c r="E88">
        <v>1.2</v>
      </c>
      <c r="G88" t="s">
        <v>50</v>
      </c>
      <c r="H88" t="s">
        <v>50</v>
      </c>
      <c r="L88">
        <v>87</v>
      </c>
      <c r="M88">
        <v>3.9488422767939693E-2</v>
      </c>
      <c r="N88">
        <v>5.7373563215003648E-5</v>
      </c>
      <c r="O88">
        <v>87</v>
      </c>
      <c r="P88">
        <v>3.0297162886212495E-2</v>
      </c>
      <c r="Q88">
        <v>6.0242241375753867E-4</v>
      </c>
      <c r="R88">
        <v>87</v>
      </c>
      <c r="S88">
        <v>3.2025833628740098E-2</v>
      </c>
      <c r="T88">
        <v>6.02422413757539E-4</v>
      </c>
      <c r="AE88">
        <v>0.95000000000000062</v>
      </c>
      <c r="AF88">
        <v>0.57703042287198059</v>
      </c>
      <c r="AG88">
        <v>0.41659572971349945</v>
      </c>
      <c r="AI88">
        <v>87</v>
      </c>
      <c r="AJ88">
        <v>0.14897602981687155</v>
      </c>
      <c r="AK88">
        <v>1</v>
      </c>
      <c r="AT88">
        <v>0.95000000000000062</v>
      </c>
      <c r="AU88">
        <v>0.57703042287198059</v>
      </c>
    </row>
    <row r="89" spans="1:47" x14ac:dyDescent="0.25">
      <c r="A89" t="s">
        <v>50</v>
      </c>
      <c r="B89">
        <v>6.5</v>
      </c>
      <c r="C89">
        <v>2.8</v>
      </c>
      <c r="D89">
        <v>4.5999999999999996</v>
      </c>
      <c r="E89">
        <v>1.5</v>
      </c>
      <c r="G89" t="s">
        <v>50</v>
      </c>
      <c r="H89" t="s">
        <v>50</v>
      </c>
      <c r="L89">
        <v>88</v>
      </c>
      <c r="M89">
        <v>3.9463388772349506E-2</v>
      </c>
      <c r="N89">
        <v>6.0242241375753834E-5</v>
      </c>
      <c r="O89">
        <v>88</v>
      </c>
      <c r="P89">
        <v>3.025609338836811E-2</v>
      </c>
      <c r="Q89">
        <v>6.3254353444541561E-4</v>
      </c>
      <c r="R89">
        <v>88</v>
      </c>
      <c r="S89">
        <v>3.1968411623838268E-2</v>
      </c>
      <c r="T89">
        <v>6.3254353444541593E-4</v>
      </c>
      <c r="AE89">
        <v>0.68000000000000038</v>
      </c>
      <c r="AF89">
        <v>0.495428709292761</v>
      </c>
      <c r="AG89">
        <v>0.29814816288187984</v>
      </c>
      <c r="AI89">
        <v>88</v>
      </c>
      <c r="AJ89">
        <v>0.1472440581613228</v>
      </c>
      <c r="AK89">
        <v>1</v>
      </c>
      <c r="AT89">
        <v>0.68000000000000038</v>
      </c>
      <c r="AU89">
        <v>0.495428709292761</v>
      </c>
    </row>
    <row r="90" spans="1:47" x14ac:dyDescent="0.25">
      <c r="A90" t="s">
        <v>49</v>
      </c>
      <c r="B90">
        <v>4.4000000000000004</v>
      </c>
      <c r="C90">
        <v>2.9</v>
      </c>
      <c r="D90">
        <v>1.4</v>
      </c>
      <c r="E90">
        <v>0.2</v>
      </c>
      <c r="G90" t="s">
        <v>49</v>
      </c>
      <c r="H90" t="s">
        <v>49</v>
      </c>
      <c r="L90">
        <v>89</v>
      </c>
      <c r="M90">
        <v>3.9432655738482987E-2</v>
      </c>
      <c r="N90">
        <v>6.3254353444541526E-5</v>
      </c>
      <c r="O90">
        <v>89</v>
      </c>
      <c r="P90">
        <v>3.0215251703200205E-2</v>
      </c>
      <c r="Q90">
        <v>6.6417071116768643E-4</v>
      </c>
      <c r="R90">
        <v>89</v>
      </c>
      <c r="S90">
        <v>3.1920471733241598E-2</v>
      </c>
      <c r="T90">
        <v>6.6417071116768676E-4</v>
      </c>
      <c r="AE90">
        <v>0.79000000000000048</v>
      </c>
      <c r="AF90">
        <v>-0.12711987240511324</v>
      </c>
      <c r="AG90">
        <v>-0.66601953596168073</v>
      </c>
      <c r="AI90">
        <v>89</v>
      </c>
      <c r="AJ90">
        <v>0.14512110634603986</v>
      </c>
      <c r="AK90">
        <v>1</v>
      </c>
      <c r="AT90">
        <v>0.79000000000000048</v>
      </c>
      <c r="AU90">
        <v>-0.12711987240511324</v>
      </c>
    </row>
    <row r="91" spans="1:47" x14ac:dyDescent="0.25">
      <c r="A91" t="s">
        <v>49</v>
      </c>
      <c r="B91">
        <v>5.4</v>
      </c>
      <c r="C91">
        <v>3.4</v>
      </c>
      <c r="D91">
        <v>1.7</v>
      </c>
      <c r="E91">
        <v>0.2</v>
      </c>
      <c r="G91" t="s">
        <v>49</v>
      </c>
      <c r="H91" t="s">
        <v>49</v>
      </c>
      <c r="L91">
        <v>90</v>
      </c>
      <c r="M91">
        <v>3.9407719758124668E-2</v>
      </c>
      <c r="N91">
        <v>6.64170711167686E-5</v>
      </c>
      <c r="O91">
        <v>90</v>
      </c>
      <c r="P91">
        <v>3.0179179684028529E-2</v>
      </c>
      <c r="Q91">
        <v>6.9737924672607081E-4</v>
      </c>
      <c r="R91">
        <v>90</v>
      </c>
      <c r="S91">
        <v>3.1869422008712366E-2</v>
      </c>
      <c r="T91">
        <v>6.9737924672607114E-4</v>
      </c>
      <c r="AE91">
        <v>0.65000000000000036</v>
      </c>
      <c r="AF91">
        <v>0.51834428671943988</v>
      </c>
      <c r="AG91">
        <v>0.44232898174323765</v>
      </c>
      <c r="AI91">
        <v>90</v>
      </c>
      <c r="AJ91">
        <v>0.14400549845310343</v>
      </c>
      <c r="AK91">
        <v>1</v>
      </c>
      <c r="AT91">
        <v>0.65000000000000036</v>
      </c>
      <c r="AU91">
        <v>0.51834428671943988</v>
      </c>
    </row>
    <row r="92" spans="1:47" x14ac:dyDescent="0.25">
      <c r="A92" t="s">
        <v>49</v>
      </c>
      <c r="B92">
        <v>5</v>
      </c>
      <c r="C92">
        <v>3.5</v>
      </c>
      <c r="D92">
        <v>1.6</v>
      </c>
      <c r="E92">
        <v>0.6</v>
      </c>
      <c r="G92" t="s">
        <v>49</v>
      </c>
      <c r="H92" t="s">
        <v>49</v>
      </c>
      <c r="L92">
        <v>91</v>
      </c>
      <c r="M92">
        <v>3.9372786612920221E-2</v>
      </c>
      <c r="N92">
        <v>6.9737924672607038E-5</v>
      </c>
      <c r="O92">
        <v>91</v>
      </c>
      <c r="P92">
        <v>3.0131503116032569E-2</v>
      </c>
      <c r="Q92">
        <v>7.3224820906237441E-4</v>
      </c>
      <c r="R92">
        <v>91</v>
      </c>
      <c r="S92">
        <v>3.1795737275572965E-2</v>
      </c>
      <c r="T92">
        <v>7.3224820906237474E-4</v>
      </c>
      <c r="AE92">
        <v>0.09</v>
      </c>
      <c r="AF92">
        <v>1.8008686691338132</v>
      </c>
      <c r="AG92">
        <v>1.3371629339356232</v>
      </c>
      <c r="AI92">
        <v>91</v>
      </c>
      <c r="AJ92">
        <v>0.1430496375621268</v>
      </c>
      <c r="AK92">
        <v>1</v>
      </c>
      <c r="AT92">
        <v>0.09</v>
      </c>
      <c r="AU92">
        <v>1.8008686691338132</v>
      </c>
    </row>
    <row r="93" spans="1:47" x14ac:dyDescent="0.25">
      <c r="A93" t="s">
        <v>49</v>
      </c>
      <c r="B93">
        <v>4.9000000000000004</v>
      </c>
      <c r="C93">
        <v>3.1</v>
      </c>
      <c r="D93">
        <v>1.5</v>
      </c>
      <c r="E93">
        <v>0.1</v>
      </c>
      <c r="G93" t="s">
        <v>49</v>
      </c>
      <c r="H93" t="s">
        <v>49</v>
      </c>
      <c r="L93">
        <v>92</v>
      </c>
      <c r="M93">
        <v>3.9341469241831371E-2</v>
      </c>
      <c r="N93">
        <v>7.3224820906237398E-5</v>
      </c>
      <c r="O93">
        <v>92</v>
      </c>
      <c r="P93">
        <v>3.0088462373003215E-2</v>
      </c>
      <c r="Q93">
        <v>7.6886061951549317E-4</v>
      </c>
      <c r="R93">
        <v>92</v>
      </c>
      <c r="S93">
        <v>3.174636200347284E-2</v>
      </c>
      <c r="T93">
        <v>7.6886061951549349E-4</v>
      </c>
      <c r="AE93">
        <v>0.24000000000000007</v>
      </c>
      <c r="AF93">
        <v>-3.0333782777252235E-2</v>
      </c>
      <c r="AG93">
        <v>8.4223976486157426E-3</v>
      </c>
      <c r="AI93">
        <v>92</v>
      </c>
      <c r="AJ93">
        <v>0.14264217110374475</v>
      </c>
      <c r="AK93">
        <v>0.5</v>
      </c>
      <c r="AT93">
        <v>0.24000000000000007</v>
      </c>
      <c r="AU93">
        <v>-3.0333782777252235E-2</v>
      </c>
    </row>
    <row r="94" spans="1:47" x14ac:dyDescent="0.25">
      <c r="A94" t="s">
        <v>51</v>
      </c>
      <c r="B94">
        <v>6.5</v>
      </c>
      <c r="C94">
        <v>3</v>
      </c>
      <c r="D94">
        <v>5.8</v>
      </c>
      <c r="E94">
        <v>2.2000000000000002</v>
      </c>
      <c r="G94" t="s">
        <v>51</v>
      </c>
      <c r="H94" t="s">
        <v>51</v>
      </c>
      <c r="L94">
        <v>93</v>
      </c>
      <c r="M94">
        <v>3.9306850906688992E-2</v>
      </c>
      <c r="N94">
        <v>7.6886061951549273E-5</v>
      </c>
      <c r="O94">
        <v>93</v>
      </c>
      <c r="P94">
        <v>3.0046422044807439E-2</v>
      </c>
      <c r="Q94">
        <v>8.0730365049126783E-4</v>
      </c>
      <c r="R94">
        <v>93</v>
      </c>
      <c r="S94">
        <v>3.1669521784102497E-2</v>
      </c>
      <c r="T94">
        <v>8.0730365049126816E-4</v>
      </c>
      <c r="AE94">
        <v>0.64000000000000035</v>
      </c>
      <c r="AF94">
        <v>0.37766253965129049</v>
      </c>
      <c r="AG94">
        <v>0.46588391983974731</v>
      </c>
      <c r="AI94">
        <v>93</v>
      </c>
      <c r="AJ94">
        <v>0.14234565604603705</v>
      </c>
      <c r="AK94">
        <v>1</v>
      </c>
      <c r="AT94">
        <v>0.64000000000000035</v>
      </c>
      <c r="AU94">
        <v>0.37766253965129049</v>
      </c>
    </row>
    <row r="95" spans="1:47" x14ac:dyDescent="0.25">
      <c r="A95" t="s">
        <v>49</v>
      </c>
      <c r="B95">
        <v>4.4000000000000004</v>
      </c>
      <c r="C95">
        <v>3.2</v>
      </c>
      <c r="D95">
        <v>1.3</v>
      </c>
      <c r="E95">
        <v>0.2</v>
      </c>
      <c r="G95" t="s">
        <v>49</v>
      </c>
      <c r="H95" t="s">
        <v>49</v>
      </c>
      <c r="L95">
        <v>94</v>
      </c>
      <c r="M95">
        <v>3.9271946778694847E-2</v>
      </c>
      <c r="N95">
        <v>8.0730365049126745E-5</v>
      </c>
      <c r="O95">
        <v>94</v>
      </c>
      <c r="P95">
        <v>2.9992286817293396E-2</v>
      </c>
      <c r="Q95">
        <v>8.4766883301583122E-4</v>
      </c>
      <c r="R95">
        <v>94</v>
      </c>
      <c r="S95">
        <v>3.1606643353549062E-2</v>
      </c>
      <c r="T95">
        <v>8.4766883301583165E-4</v>
      </c>
      <c r="AE95">
        <v>0.97000000000000064</v>
      </c>
      <c r="AF95">
        <v>1.1610505397741118</v>
      </c>
      <c r="AG95">
        <v>0.93855877418896938</v>
      </c>
      <c r="AI95">
        <v>94</v>
      </c>
      <c r="AJ95">
        <v>0.14230995037747229</v>
      </c>
      <c r="AK95">
        <v>1</v>
      </c>
      <c r="AT95">
        <v>0.97000000000000064</v>
      </c>
      <c r="AU95">
        <v>1.1610505397741118</v>
      </c>
    </row>
    <row r="96" spans="1:47" x14ac:dyDescent="0.25">
      <c r="A96" t="s">
        <v>50</v>
      </c>
      <c r="B96">
        <v>6.6</v>
      </c>
      <c r="C96">
        <v>2.9</v>
      </c>
      <c r="D96">
        <v>4.5999999999999996</v>
      </c>
      <c r="E96">
        <v>1.3</v>
      </c>
      <c r="G96" t="s">
        <v>50</v>
      </c>
      <c r="H96" t="s">
        <v>50</v>
      </c>
      <c r="L96">
        <v>95</v>
      </c>
      <c r="M96">
        <v>3.9243708941727323E-2</v>
      </c>
      <c r="N96">
        <v>8.4766883301583089E-5</v>
      </c>
      <c r="O96">
        <v>95</v>
      </c>
      <c r="P96">
        <v>2.995827803349823E-2</v>
      </c>
      <c r="Q96">
        <v>8.9005227466662279E-4</v>
      </c>
      <c r="R96">
        <v>95</v>
      </c>
      <c r="S96">
        <v>3.1526595637866341E-2</v>
      </c>
      <c r="T96">
        <v>8.9005227466662322E-4</v>
      </c>
      <c r="AE96">
        <v>0.8100000000000005</v>
      </c>
      <c r="AF96">
        <v>-0.38025752111090411</v>
      </c>
      <c r="AG96">
        <v>-0.79895486607076549</v>
      </c>
      <c r="AI96">
        <v>95</v>
      </c>
      <c r="AJ96">
        <v>0.14228618094653761</v>
      </c>
      <c r="AK96">
        <v>1</v>
      </c>
      <c r="AT96">
        <v>0.8100000000000005</v>
      </c>
      <c r="AU96">
        <v>-0.38025752111090411</v>
      </c>
    </row>
    <row r="97" spans="1:47" x14ac:dyDescent="0.25">
      <c r="A97" t="s">
        <v>51</v>
      </c>
      <c r="B97">
        <v>6.7</v>
      </c>
      <c r="C97">
        <v>3.3</v>
      </c>
      <c r="D97">
        <v>5.7</v>
      </c>
      <c r="E97">
        <v>2.1</v>
      </c>
      <c r="G97" t="s">
        <v>51</v>
      </c>
      <c r="H97" t="s">
        <v>51</v>
      </c>
      <c r="L97">
        <v>96</v>
      </c>
      <c r="M97">
        <v>3.9199127238621026E-2</v>
      </c>
      <c r="N97">
        <v>8.9005227466662252E-5</v>
      </c>
      <c r="O97">
        <v>96</v>
      </c>
      <c r="P97">
        <v>2.9900892198784758E-2</v>
      </c>
      <c r="Q97">
        <v>9.3455488839995395E-4</v>
      </c>
      <c r="R97">
        <v>96</v>
      </c>
      <c r="S97">
        <v>3.1454653149584996E-2</v>
      </c>
      <c r="T97">
        <v>9.3455488839995439E-4</v>
      </c>
      <c r="AE97">
        <v>0.60000000000000031</v>
      </c>
      <c r="AF97">
        <v>0.77187959722011201</v>
      </c>
      <c r="AG97">
        <v>0.4196601502580819</v>
      </c>
      <c r="AI97">
        <v>96</v>
      </c>
      <c r="AJ97">
        <v>0.1422662839204164</v>
      </c>
      <c r="AK97">
        <v>1</v>
      </c>
      <c r="AT97">
        <v>0.60000000000000031</v>
      </c>
      <c r="AU97">
        <v>0.77187959722011201</v>
      </c>
    </row>
    <row r="98" spans="1:47" x14ac:dyDescent="0.25">
      <c r="A98" t="s">
        <v>49</v>
      </c>
      <c r="B98">
        <v>5.2</v>
      </c>
      <c r="C98">
        <v>4.0999999999999996</v>
      </c>
      <c r="D98">
        <v>1.5</v>
      </c>
      <c r="E98">
        <v>0.1</v>
      </c>
      <c r="G98" t="s">
        <v>49</v>
      </c>
      <c r="H98" t="s">
        <v>49</v>
      </c>
      <c r="L98">
        <v>97</v>
      </c>
      <c r="M98">
        <v>3.9161707467277922E-2</v>
      </c>
      <c r="N98">
        <v>9.3455488839995371E-5</v>
      </c>
      <c r="O98">
        <v>97</v>
      </c>
      <c r="P98">
        <v>2.9837531895762989E-2</v>
      </c>
      <c r="Q98">
        <v>9.8128263281995159E-4</v>
      </c>
      <c r="R98">
        <v>97</v>
      </c>
      <c r="S98">
        <v>3.1376152451744369E-2</v>
      </c>
      <c r="T98">
        <v>9.8128263281995224E-4</v>
      </c>
      <c r="AE98">
        <v>0.88000000000000056</v>
      </c>
      <c r="AF98">
        <v>-0.72111719830586707</v>
      </c>
      <c r="AG98">
        <v>-0.75760265662984949</v>
      </c>
      <c r="AI98">
        <v>97</v>
      </c>
      <c r="AJ98">
        <v>0.14222836826614818</v>
      </c>
      <c r="AK98">
        <v>1</v>
      </c>
      <c r="AT98">
        <v>0.88000000000000056</v>
      </c>
      <c r="AU98">
        <v>-0.72111719830586707</v>
      </c>
    </row>
    <row r="99" spans="1:47" x14ac:dyDescent="0.25">
      <c r="A99" t="s">
        <v>50</v>
      </c>
      <c r="B99">
        <v>5.6</v>
      </c>
      <c r="C99">
        <v>2.7</v>
      </c>
      <c r="D99">
        <v>4.2</v>
      </c>
      <c r="E99">
        <v>1.3</v>
      </c>
      <c r="G99" t="s">
        <v>50</v>
      </c>
      <c r="H99" t="s">
        <v>50</v>
      </c>
      <c r="L99">
        <v>98</v>
      </c>
      <c r="M99">
        <v>3.911716996038006E-2</v>
      </c>
      <c r="N99">
        <v>9.8128263281995143E-5</v>
      </c>
      <c r="O99">
        <v>98</v>
      </c>
      <c r="P99">
        <v>2.9770766381071949E-2</v>
      </c>
      <c r="Q99">
        <v>1.0303467644609493E-3</v>
      </c>
      <c r="R99">
        <v>98</v>
      </c>
      <c r="S99">
        <v>3.1295231661708389E-2</v>
      </c>
      <c r="T99">
        <v>1.03034676446095E-3</v>
      </c>
      <c r="AE99">
        <v>0.01</v>
      </c>
      <c r="AF99">
        <v>1.7813480288249628</v>
      </c>
      <c r="AG99">
        <v>1.8540049898595257</v>
      </c>
      <c r="AI99">
        <v>98</v>
      </c>
      <c r="AJ99">
        <v>0.14216856957948482</v>
      </c>
      <c r="AK99">
        <v>1</v>
      </c>
      <c r="AT99">
        <v>0.01</v>
      </c>
      <c r="AU99">
        <v>1.7813480288249628</v>
      </c>
    </row>
    <row r="100" spans="1:47" x14ac:dyDescent="0.25">
      <c r="A100" t="s">
        <v>51</v>
      </c>
      <c r="B100">
        <v>7.6</v>
      </c>
      <c r="C100">
        <v>3</v>
      </c>
      <c r="D100">
        <v>6.6</v>
      </c>
      <c r="E100">
        <v>2.1</v>
      </c>
      <c r="G100" t="s">
        <v>51</v>
      </c>
      <c r="H100" t="s">
        <v>51</v>
      </c>
      <c r="L100">
        <v>99</v>
      </c>
      <c r="M100">
        <v>3.9079977381980602E-2</v>
      </c>
      <c r="N100">
        <v>1.030346764460949E-4</v>
      </c>
      <c r="O100">
        <v>99</v>
      </c>
      <c r="P100">
        <v>2.970148288891513E-2</v>
      </c>
      <c r="Q100">
        <v>1.0818641026839968E-3</v>
      </c>
      <c r="R100">
        <v>99</v>
      </c>
      <c r="S100">
        <v>3.1213608889470439E-2</v>
      </c>
      <c r="T100">
        <v>1.0818641026839975E-3</v>
      </c>
      <c r="AE100">
        <v>0.05</v>
      </c>
      <c r="AF100">
        <v>1.3759563371840533</v>
      </c>
      <c r="AG100">
        <v>1.4991194505538559</v>
      </c>
      <c r="AI100">
        <v>99</v>
      </c>
      <c r="AJ100">
        <v>0.14205196167948958</v>
      </c>
      <c r="AK100">
        <v>1</v>
      </c>
      <c r="AT100">
        <v>0.05</v>
      </c>
      <c r="AU100">
        <v>1.3759563371840533</v>
      </c>
    </row>
    <row r="101" spans="1:47" x14ac:dyDescent="0.25">
      <c r="A101" t="s">
        <v>51</v>
      </c>
      <c r="B101">
        <v>6.4</v>
      </c>
      <c r="C101">
        <v>2.8</v>
      </c>
      <c r="D101">
        <v>5.6</v>
      </c>
      <c r="E101">
        <v>2.2000000000000002</v>
      </c>
      <c r="G101" t="s">
        <v>51</v>
      </c>
      <c r="H101" t="s">
        <v>51</v>
      </c>
      <c r="L101">
        <v>100</v>
      </c>
      <c r="M101">
        <v>3.902998438497788E-2</v>
      </c>
      <c r="N101">
        <v>1.0818641026839965E-4</v>
      </c>
      <c r="O101">
        <v>100</v>
      </c>
      <c r="P101">
        <v>2.9638860641484428E-2</v>
      </c>
      <c r="Q101">
        <v>1.1359573078181967E-3</v>
      </c>
      <c r="R101">
        <v>100</v>
      </c>
      <c r="S101">
        <v>3.1129811290623796E-2</v>
      </c>
      <c r="T101">
        <v>1.1359573078181973E-3</v>
      </c>
      <c r="AE101">
        <v>0.25000000000000006</v>
      </c>
      <c r="AF101">
        <v>3.9628386015104572E-2</v>
      </c>
      <c r="AG101">
        <v>-0.16060059736690135</v>
      </c>
      <c r="AI101">
        <v>100</v>
      </c>
      <c r="AJ101">
        <v>0.14187284936287531</v>
      </c>
      <c r="AK101">
        <v>1</v>
      </c>
      <c r="AT101">
        <v>0.25000000000000006</v>
      </c>
      <c r="AU101">
        <v>3.9628386015104572E-2</v>
      </c>
    </row>
    <row r="102" spans="1:47" x14ac:dyDescent="0.25">
      <c r="A102" t="s">
        <v>50</v>
      </c>
      <c r="B102">
        <v>5</v>
      </c>
      <c r="C102">
        <v>2</v>
      </c>
      <c r="D102">
        <v>3.5</v>
      </c>
      <c r="E102">
        <v>1</v>
      </c>
      <c r="G102" t="s">
        <v>50</v>
      </c>
      <c r="H102" t="s">
        <v>50</v>
      </c>
      <c r="L102">
        <v>101</v>
      </c>
      <c r="M102">
        <v>3.8984584674448895E-2</v>
      </c>
      <c r="N102">
        <v>1.1359573078181965E-4</v>
      </c>
      <c r="O102">
        <v>101</v>
      </c>
      <c r="P102">
        <v>2.9591787130993925E-2</v>
      </c>
      <c r="Q102">
        <v>1.1927551732091065E-3</v>
      </c>
      <c r="R102">
        <v>101</v>
      </c>
      <c r="S102">
        <v>3.1035608230867429E-2</v>
      </c>
      <c r="T102">
        <v>1.1927551732091072E-3</v>
      </c>
      <c r="AE102">
        <v>0.85000000000000053</v>
      </c>
      <c r="AF102">
        <v>-1.0097959941424843</v>
      </c>
      <c r="AG102">
        <v>-0.89459247623568672</v>
      </c>
      <c r="AI102">
        <v>101</v>
      </c>
      <c r="AJ102">
        <v>0.14162044035602661</v>
      </c>
      <c r="AK102">
        <v>1</v>
      </c>
      <c r="AT102">
        <v>0.85000000000000053</v>
      </c>
      <c r="AU102">
        <v>-1.0097959941424843</v>
      </c>
    </row>
    <row r="103" spans="1:47" x14ac:dyDescent="0.25">
      <c r="A103" t="s">
        <v>49</v>
      </c>
      <c r="B103">
        <v>4.5999999999999996</v>
      </c>
      <c r="C103">
        <v>3.6</v>
      </c>
      <c r="D103">
        <v>1</v>
      </c>
      <c r="E103">
        <v>0.2</v>
      </c>
      <c r="G103" t="s">
        <v>49</v>
      </c>
      <c r="H103" t="s">
        <v>49</v>
      </c>
      <c r="L103">
        <v>102</v>
      </c>
      <c r="M103">
        <v>3.8934092066727106E-2</v>
      </c>
      <c r="N103">
        <v>1.1927551732091064E-4</v>
      </c>
      <c r="O103">
        <v>102</v>
      </c>
      <c r="P103">
        <v>2.9506799863718715E-2</v>
      </c>
      <c r="Q103">
        <v>1.2523929318695619E-3</v>
      </c>
      <c r="R103">
        <v>102</v>
      </c>
      <c r="S103">
        <v>3.0934809123253491E-2</v>
      </c>
      <c r="T103">
        <v>1.2523929318695626E-3</v>
      </c>
      <c r="AI103">
        <v>102</v>
      </c>
      <c r="AJ103">
        <v>0.14152383630510057</v>
      </c>
      <c r="AK103">
        <v>0.25</v>
      </c>
    </row>
    <row r="104" spans="1:47" x14ac:dyDescent="0.25">
      <c r="A104" t="s">
        <v>50</v>
      </c>
      <c r="B104">
        <v>5.5</v>
      </c>
      <c r="C104">
        <v>2.6</v>
      </c>
      <c r="D104">
        <v>4.4000000000000004</v>
      </c>
      <c r="E104">
        <v>1.2</v>
      </c>
      <c r="G104" t="s">
        <v>50</v>
      </c>
      <c r="H104" t="s">
        <v>50</v>
      </c>
      <c r="L104">
        <v>103</v>
      </c>
      <c r="M104">
        <v>3.8883261169898257E-2</v>
      </c>
      <c r="N104">
        <v>1.2523929318695618E-4</v>
      </c>
      <c r="O104">
        <v>103</v>
      </c>
      <c r="P104">
        <v>2.9441196029497164E-2</v>
      </c>
      <c r="Q104">
        <v>1.31501257846304E-3</v>
      </c>
      <c r="R104">
        <v>103</v>
      </c>
      <c r="S104">
        <v>3.0840757889657001E-2</v>
      </c>
      <c r="T104">
        <v>1.3150125784630409E-3</v>
      </c>
      <c r="AI104">
        <v>103</v>
      </c>
      <c r="AJ104">
        <v>0.14107362734944653</v>
      </c>
      <c r="AK104">
        <v>1</v>
      </c>
    </row>
    <row r="105" spans="1:47" x14ac:dyDescent="0.25">
      <c r="A105" t="s">
        <v>51</v>
      </c>
      <c r="B105">
        <v>6.3</v>
      </c>
      <c r="C105">
        <v>3.3</v>
      </c>
      <c r="D105">
        <v>6</v>
      </c>
      <c r="E105">
        <v>2.5</v>
      </c>
      <c r="G105" t="s">
        <v>51</v>
      </c>
      <c r="H105" t="s">
        <v>51</v>
      </c>
      <c r="L105">
        <v>104</v>
      </c>
      <c r="M105">
        <v>3.8834617931428839E-2</v>
      </c>
      <c r="N105">
        <v>1.31501257846304E-4</v>
      </c>
      <c r="O105">
        <v>104</v>
      </c>
      <c r="P105">
        <v>2.9360286356076848E-2</v>
      </c>
      <c r="Q105">
        <v>1.3807632073861921E-3</v>
      </c>
      <c r="R105">
        <v>104</v>
      </c>
      <c r="S105">
        <v>3.0742892544278266E-2</v>
      </c>
      <c r="T105">
        <v>1.380763207386193E-3</v>
      </c>
      <c r="AI105">
        <v>104</v>
      </c>
      <c r="AJ105">
        <v>0.14032534504187635</v>
      </c>
      <c r="AK105">
        <v>1</v>
      </c>
    </row>
    <row r="106" spans="1:47" x14ac:dyDescent="0.25">
      <c r="A106" t="s">
        <v>50</v>
      </c>
      <c r="B106">
        <v>6.3</v>
      </c>
      <c r="C106">
        <v>2.2999999999999998</v>
      </c>
      <c r="D106">
        <v>4.4000000000000004</v>
      </c>
      <c r="E106">
        <v>1.3</v>
      </c>
      <c r="G106" t="s">
        <v>50</v>
      </c>
      <c r="H106" t="s">
        <v>50</v>
      </c>
      <c r="L106">
        <v>105</v>
      </c>
      <c r="M106">
        <v>3.8775964768771591E-2</v>
      </c>
      <c r="N106">
        <v>1.380763207386192E-4</v>
      </c>
      <c r="O106">
        <v>105</v>
      </c>
      <c r="P106">
        <v>2.9289664480424828E-2</v>
      </c>
      <c r="Q106">
        <v>1.4498013677555017E-3</v>
      </c>
      <c r="R106">
        <v>105</v>
      </c>
      <c r="S106">
        <v>3.0645925103450163E-2</v>
      </c>
      <c r="T106">
        <v>1.4498013677555026E-3</v>
      </c>
      <c r="AI106">
        <v>105</v>
      </c>
      <c r="AJ106">
        <v>0.13988630471393151</v>
      </c>
      <c r="AK106">
        <v>0.5</v>
      </c>
    </row>
    <row r="107" spans="1:47" x14ac:dyDescent="0.25">
      <c r="A107" t="s">
        <v>50</v>
      </c>
      <c r="B107">
        <v>5.7</v>
      </c>
      <c r="C107">
        <v>2.8</v>
      </c>
      <c r="D107">
        <v>4.5</v>
      </c>
      <c r="E107">
        <v>1.3</v>
      </c>
      <c r="G107" t="s">
        <v>50</v>
      </c>
      <c r="H107" t="s">
        <v>50</v>
      </c>
      <c r="L107">
        <v>106</v>
      </c>
      <c r="M107">
        <v>3.8719112825463267E-2</v>
      </c>
      <c r="N107">
        <v>1.4498013677555018E-4</v>
      </c>
      <c r="O107">
        <v>106</v>
      </c>
      <c r="P107">
        <v>2.9221397689465394E-2</v>
      </c>
      <c r="Q107">
        <v>1.5222914361432769E-3</v>
      </c>
      <c r="R107">
        <v>106</v>
      </c>
      <c r="S107">
        <v>3.0569742959449014E-2</v>
      </c>
      <c r="T107">
        <v>1.5222914361432778E-3</v>
      </c>
      <c r="AI107">
        <v>106</v>
      </c>
      <c r="AJ107">
        <v>0.13928718766658463</v>
      </c>
      <c r="AK107">
        <v>0.5</v>
      </c>
    </row>
    <row r="108" spans="1:47" x14ac:dyDescent="0.25">
      <c r="A108" t="s">
        <v>51</v>
      </c>
      <c r="B108">
        <v>5.6</v>
      </c>
      <c r="C108">
        <v>2.8</v>
      </c>
      <c r="D108">
        <v>4.9000000000000004</v>
      </c>
      <c r="E108">
        <v>2</v>
      </c>
      <c r="G108" t="s">
        <v>51</v>
      </c>
      <c r="H108" t="s">
        <v>51</v>
      </c>
      <c r="L108">
        <v>107</v>
      </c>
      <c r="M108">
        <v>3.8682394276915284E-2</v>
      </c>
      <c r="N108">
        <v>1.5222914361432769E-4</v>
      </c>
      <c r="O108">
        <v>107</v>
      </c>
      <c r="P108">
        <v>2.9119274368258504E-2</v>
      </c>
      <c r="Q108">
        <v>1.5984060079504408E-3</v>
      </c>
      <c r="R108">
        <v>107</v>
      </c>
      <c r="S108">
        <v>3.040571865116358E-2</v>
      </c>
      <c r="T108">
        <v>1.5984060079504417E-3</v>
      </c>
      <c r="AI108">
        <v>107</v>
      </c>
      <c r="AJ108">
        <v>0.13913770412004733</v>
      </c>
      <c r="AK108">
        <v>1</v>
      </c>
    </row>
    <row r="109" spans="1:47" x14ac:dyDescent="0.25">
      <c r="A109" t="s">
        <v>51</v>
      </c>
      <c r="B109">
        <v>7.4</v>
      </c>
      <c r="C109">
        <v>2.8</v>
      </c>
      <c r="D109">
        <v>6.1</v>
      </c>
      <c r="E109">
        <v>1.9</v>
      </c>
      <c r="G109" t="s">
        <v>51</v>
      </c>
      <c r="H109" t="s">
        <v>51</v>
      </c>
      <c r="L109">
        <v>108</v>
      </c>
      <c r="M109">
        <v>3.8600674883329765E-2</v>
      </c>
      <c r="N109">
        <v>1.5984060079504407E-4</v>
      </c>
      <c r="O109">
        <v>108</v>
      </c>
      <c r="P109">
        <v>2.9014022690186221E-2</v>
      </c>
      <c r="Q109">
        <v>1.678326308347963E-3</v>
      </c>
      <c r="R109">
        <v>108</v>
      </c>
      <c r="S109">
        <v>3.0330089832499744E-2</v>
      </c>
      <c r="T109">
        <v>1.6783263083479639E-3</v>
      </c>
      <c r="AI109">
        <v>108</v>
      </c>
      <c r="AJ109">
        <v>0.13862703152239639</v>
      </c>
      <c r="AK109">
        <v>1</v>
      </c>
    </row>
    <row r="110" spans="1:47" x14ac:dyDescent="0.25">
      <c r="A110" t="s">
        <v>50</v>
      </c>
      <c r="B110">
        <v>6</v>
      </c>
      <c r="C110">
        <v>2.9</v>
      </c>
      <c r="D110">
        <v>4.5</v>
      </c>
      <c r="E110">
        <v>1.5</v>
      </c>
      <c r="G110" t="s">
        <v>50</v>
      </c>
      <c r="H110" t="s">
        <v>50</v>
      </c>
      <c r="L110">
        <v>109</v>
      </c>
      <c r="M110">
        <v>3.8556303554676971E-2</v>
      </c>
      <c r="N110">
        <v>1.6783263083479629E-4</v>
      </c>
      <c r="O110">
        <v>109</v>
      </c>
      <c r="P110">
        <v>2.8927270627353761E-2</v>
      </c>
      <c r="Q110">
        <v>1.7622426237653612E-3</v>
      </c>
      <c r="R110">
        <v>109</v>
      </c>
      <c r="S110">
        <v>3.021185307675479E-2</v>
      </c>
      <c r="T110">
        <v>1.7622426237653621E-3</v>
      </c>
      <c r="AI110">
        <v>109</v>
      </c>
      <c r="AJ110">
        <v>0.13850380316365143</v>
      </c>
      <c r="AK110">
        <v>1</v>
      </c>
    </row>
    <row r="111" spans="1:47" x14ac:dyDescent="0.25">
      <c r="A111" t="s">
        <v>51</v>
      </c>
      <c r="B111">
        <v>7.2</v>
      </c>
      <c r="C111">
        <v>3.6</v>
      </c>
      <c r="D111">
        <v>6.1</v>
      </c>
      <c r="E111">
        <v>2.5</v>
      </c>
      <c r="G111" t="s">
        <v>51</v>
      </c>
      <c r="H111" t="s">
        <v>51</v>
      </c>
      <c r="L111">
        <v>110</v>
      </c>
      <c r="M111">
        <v>3.8486569614050122E-2</v>
      </c>
      <c r="N111">
        <v>1.7622426237653611E-4</v>
      </c>
      <c r="O111">
        <v>110</v>
      </c>
      <c r="P111">
        <v>2.8830455798661114E-2</v>
      </c>
      <c r="Q111">
        <v>1.8503547549536294E-3</v>
      </c>
      <c r="R111">
        <v>110</v>
      </c>
      <c r="S111">
        <v>3.0030670134087188E-2</v>
      </c>
      <c r="T111">
        <v>1.8503547549536302E-3</v>
      </c>
      <c r="AI111">
        <v>110</v>
      </c>
      <c r="AJ111">
        <v>0.13827639747200693</v>
      </c>
      <c r="AK111">
        <v>1</v>
      </c>
    </row>
    <row r="112" spans="1:47" x14ac:dyDescent="0.25">
      <c r="A112" t="s">
        <v>49</v>
      </c>
      <c r="B112">
        <v>5.0999999999999996</v>
      </c>
      <c r="C112">
        <v>3.7</v>
      </c>
      <c r="D112">
        <v>1.5</v>
      </c>
      <c r="E112">
        <v>0.4</v>
      </c>
      <c r="G112" t="s">
        <v>49</v>
      </c>
      <c r="H112" t="s">
        <v>49</v>
      </c>
      <c r="L112">
        <v>111</v>
      </c>
      <c r="M112">
        <v>3.8493549169855291E-2</v>
      </c>
      <c r="N112">
        <v>1.8503547549536293E-4</v>
      </c>
      <c r="O112">
        <v>111</v>
      </c>
      <c r="P112">
        <v>2.8746738701518167E-2</v>
      </c>
      <c r="Q112">
        <v>1.942872492701311E-3</v>
      </c>
      <c r="R112">
        <v>111</v>
      </c>
      <c r="S112">
        <v>2.9884582288260988E-2</v>
      </c>
      <c r="T112">
        <v>1.9428724927013118E-3</v>
      </c>
      <c r="AI112">
        <v>111</v>
      </c>
      <c r="AJ112">
        <v>0.13800452647354425</v>
      </c>
      <c r="AK112">
        <v>1</v>
      </c>
    </row>
    <row r="113" spans="1:37" x14ac:dyDescent="0.25">
      <c r="A113" t="s">
        <v>51</v>
      </c>
      <c r="B113">
        <v>6.3</v>
      </c>
      <c r="C113">
        <v>2.8</v>
      </c>
      <c r="D113">
        <v>5.0999999999999996</v>
      </c>
      <c r="E113">
        <v>1.5</v>
      </c>
      <c r="G113" t="s">
        <v>50</v>
      </c>
      <c r="H113" t="s">
        <v>50</v>
      </c>
      <c r="L113">
        <v>112</v>
      </c>
      <c r="M113">
        <v>3.847039641119622E-2</v>
      </c>
      <c r="N113">
        <v>1.8503547549536293E-5</v>
      </c>
      <c r="O113">
        <v>112</v>
      </c>
      <c r="P113">
        <v>2.8612361075231321E-2</v>
      </c>
      <c r="Q113">
        <v>2.0400161173363767E-3</v>
      </c>
      <c r="R113">
        <v>112</v>
      </c>
      <c r="S113">
        <v>2.9741114896461616E-2</v>
      </c>
      <c r="T113">
        <v>2.0400161173363776E-3</v>
      </c>
      <c r="AI113">
        <v>112</v>
      </c>
      <c r="AJ113">
        <v>0.13777557801133111</v>
      </c>
      <c r="AK113">
        <v>1</v>
      </c>
    </row>
    <row r="114" spans="1:37" x14ac:dyDescent="0.25">
      <c r="A114" t="s">
        <v>50</v>
      </c>
      <c r="B114">
        <v>5.7</v>
      </c>
      <c r="C114">
        <v>2.6</v>
      </c>
      <c r="D114">
        <v>3.5</v>
      </c>
      <c r="E114">
        <v>1</v>
      </c>
      <c r="G114" t="s">
        <v>50</v>
      </c>
      <c r="H114" t="s">
        <v>50</v>
      </c>
      <c r="L114">
        <v>113</v>
      </c>
      <c r="M114">
        <v>3.8457931272412468E-2</v>
      </c>
      <c r="N114">
        <v>1.9428724927013106E-5</v>
      </c>
      <c r="O114">
        <v>113</v>
      </c>
      <c r="P114">
        <v>2.851446685008615E-2</v>
      </c>
      <c r="Q114">
        <v>2.1420169232031958E-3</v>
      </c>
      <c r="R114">
        <v>113</v>
      </c>
      <c r="S114">
        <v>2.9586068327697689E-2</v>
      </c>
      <c r="T114">
        <v>2.1420169232031967E-3</v>
      </c>
      <c r="AI114">
        <v>113</v>
      </c>
      <c r="AJ114">
        <v>0.13753731957177684</v>
      </c>
      <c r="AK114">
        <v>1</v>
      </c>
    </row>
    <row r="115" spans="1:37" x14ac:dyDescent="0.25">
      <c r="A115" t="s">
        <v>49</v>
      </c>
      <c r="B115">
        <v>5.0999999999999996</v>
      </c>
      <c r="C115">
        <v>3.8</v>
      </c>
      <c r="D115">
        <v>1.9</v>
      </c>
      <c r="E115">
        <v>0.4</v>
      </c>
      <c r="G115" t="s">
        <v>49</v>
      </c>
      <c r="H115" t="s">
        <v>49</v>
      </c>
      <c r="L115">
        <v>114</v>
      </c>
      <c r="M115">
        <v>3.8448192468229378E-2</v>
      </c>
      <c r="N115">
        <v>2.0400161173363763E-5</v>
      </c>
      <c r="O115">
        <v>114</v>
      </c>
      <c r="P115">
        <v>2.8520048790099881E-2</v>
      </c>
      <c r="Q115">
        <v>2.2491177693633557E-3</v>
      </c>
      <c r="R115">
        <v>114</v>
      </c>
      <c r="S115">
        <v>2.9424601854515751E-2</v>
      </c>
      <c r="T115">
        <v>2.2491177693633566E-3</v>
      </c>
      <c r="AI115">
        <v>114</v>
      </c>
      <c r="AJ115">
        <v>0.13736858049096368</v>
      </c>
      <c r="AK115">
        <v>1</v>
      </c>
    </row>
    <row r="116" spans="1:37" x14ac:dyDescent="0.25">
      <c r="A116" t="s">
        <v>51</v>
      </c>
      <c r="B116">
        <v>6.7</v>
      </c>
      <c r="C116">
        <v>3.1</v>
      </c>
      <c r="D116">
        <v>5.6</v>
      </c>
      <c r="E116">
        <v>2.4</v>
      </c>
      <c r="G116" t="s">
        <v>51</v>
      </c>
      <c r="H116" t="s">
        <v>51</v>
      </c>
      <c r="L116">
        <v>115</v>
      </c>
      <c r="M116">
        <v>3.8438647736024262E-2</v>
      </c>
      <c r="N116">
        <v>2.1420169232031951E-5</v>
      </c>
      <c r="O116">
        <v>115</v>
      </c>
      <c r="P116">
        <v>2.8494532337080221E-2</v>
      </c>
      <c r="Q116">
        <v>2.2491177693633558E-4</v>
      </c>
      <c r="R116">
        <v>115</v>
      </c>
      <c r="S116">
        <v>2.9255728851071916E-2</v>
      </c>
      <c r="T116">
        <v>2.3615736578315246E-3</v>
      </c>
      <c r="AI116">
        <v>115</v>
      </c>
      <c r="AJ116">
        <v>0.13717517406080071</v>
      </c>
      <c r="AK116">
        <v>1</v>
      </c>
    </row>
    <row r="117" spans="1:37" x14ac:dyDescent="0.25">
      <c r="A117" t="s">
        <v>50</v>
      </c>
      <c r="B117">
        <v>5.0999999999999996</v>
      </c>
      <c r="C117">
        <v>2.5</v>
      </c>
      <c r="D117">
        <v>3</v>
      </c>
      <c r="E117">
        <v>1.1000000000000001</v>
      </c>
      <c r="G117" t="s">
        <v>50</v>
      </c>
      <c r="H117" t="s">
        <v>50</v>
      </c>
      <c r="L117">
        <v>116</v>
      </c>
      <c r="M117">
        <v>3.8429428444522455E-2</v>
      </c>
      <c r="N117">
        <v>2.2491177693633549E-5</v>
      </c>
      <c r="O117">
        <v>116</v>
      </c>
      <c r="P117">
        <v>2.847933329417407E-2</v>
      </c>
      <c r="Q117">
        <v>2.3615736578315238E-4</v>
      </c>
      <c r="R117">
        <v>116</v>
      </c>
      <c r="S117">
        <v>2.9089218548925877E-2</v>
      </c>
      <c r="T117">
        <v>2.4796523407231009E-3</v>
      </c>
      <c r="AI117">
        <v>116</v>
      </c>
      <c r="AJ117">
        <v>0.13700920313648074</v>
      </c>
      <c r="AK117">
        <v>0.5</v>
      </c>
    </row>
    <row r="118" spans="1:37" x14ac:dyDescent="0.25">
      <c r="A118" t="s">
        <v>49</v>
      </c>
      <c r="B118">
        <v>5</v>
      </c>
      <c r="C118">
        <v>3.3</v>
      </c>
      <c r="D118">
        <v>1.4</v>
      </c>
      <c r="E118">
        <v>0.2</v>
      </c>
      <c r="G118" t="s">
        <v>49</v>
      </c>
      <c r="H118" t="s">
        <v>49</v>
      </c>
      <c r="L118">
        <v>117</v>
      </c>
      <c r="M118">
        <v>3.8420450221033943E-2</v>
      </c>
      <c r="N118">
        <v>2.3615736578315228E-5</v>
      </c>
      <c r="O118">
        <v>117</v>
      </c>
      <c r="P118">
        <v>2.8464036251233463E-2</v>
      </c>
      <c r="Q118">
        <v>2.4796523407230998E-4</v>
      </c>
      <c r="R118">
        <v>117</v>
      </c>
      <c r="S118">
        <v>2.8909522290298171E-2</v>
      </c>
      <c r="T118">
        <v>2.6036349577592561E-3</v>
      </c>
      <c r="AI118">
        <v>117</v>
      </c>
      <c r="AJ118">
        <v>0.13682137803422934</v>
      </c>
      <c r="AK118">
        <v>1</v>
      </c>
    </row>
    <row r="119" spans="1:37" x14ac:dyDescent="0.25">
      <c r="A119" t="s">
        <v>50</v>
      </c>
      <c r="B119">
        <v>6</v>
      </c>
      <c r="C119">
        <v>2.7</v>
      </c>
      <c r="D119">
        <v>5.0999999999999996</v>
      </c>
      <c r="E119">
        <v>1.6</v>
      </c>
      <c r="G119" t="s">
        <v>51</v>
      </c>
      <c r="H119" t="s">
        <v>51</v>
      </c>
      <c r="L119">
        <v>118</v>
      </c>
      <c r="M119">
        <v>3.8411271184330069E-2</v>
      </c>
      <c r="N119">
        <v>2.479652340723099E-5</v>
      </c>
      <c r="O119">
        <v>118</v>
      </c>
      <c r="P119">
        <v>2.8448767930261357E-2</v>
      </c>
      <c r="Q119">
        <v>2.6036349577592552E-4</v>
      </c>
      <c r="R119">
        <v>118</v>
      </c>
      <c r="S119">
        <v>2.8713867532684137E-2</v>
      </c>
      <c r="T119">
        <v>2.7338167056472191E-3</v>
      </c>
      <c r="AI119">
        <v>118</v>
      </c>
      <c r="AJ119">
        <v>0.13652387691215831</v>
      </c>
      <c r="AK119">
        <v>1</v>
      </c>
    </row>
    <row r="120" spans="1:37" x14ac:dyDescent="0.25">
      <c r="A120" t="s">
        <v>51</v>
      </c>
      <c r="B120">
        <v>6.2</v>
      </c>
      <c r="C120">
        <v>2.8</v>
      </c>
      <c r="D120">
        <v>4.8</v>
      </c>
      <c r="E120">
        <v>1.8</v>
      </c>
      <c r="G120" t="s">
        <v>51</v>
      </c>
      <c r="H120" t="s">
        <v>51</v>
      </c>
      <c r="L120">
        <v>119</v>
      </c>
      <c r="M120">
        <v>3.8401493182071748E-2</v>
      </c>
      <c r="N120">
        <v>2.603634957759254E-5</v>
      </c>
      <c r="O120">
        <v>119</v>
      </c>
      <c r="P120">
        <v>2.8432273219836605E-2</v>
      </c>
      <c r="Q120">
        <v>2.7338167056472181E-4</v>
      </c>
      <c r="R120">
        <v>119</v>
      </c>
      <c r="S120">
        <v>2.8589529129660247E-2</v>
      </c>
      <c r="T120">
        <v>2.8705075409295802E-3</v>
      </c>
      <c r="AI120">
        <v>119</v>
      </c>
      <c r="AJ120">
        <v>0.13643282944559373</v>
      </c>
      <c r="AK120">
        <v>1</v>
      </c>
    </row>
    <row r="121" spans="1:37" x14ac:dyDescent="0.25">
      <c r="A121" t="s">
        <v>49</v>
      </c>
      <c r="B121">
        <v>4.4000000000000004</v>
      </c>
      <c r="C121">
        <v>3</v>
      </c>
      <c r="D121">
        <v>1.3</v>
      </c>
      <c r="E121">
        <v>0.2</v>
      </c>
      <c r="G121" t="s">
        <v>49</v>
      </c>
      <c r="H121" t="s">
        <v>49</v>
      </c>
      <c r="L121">
        <v>120</v>
      </c>
      <c r="M121">
        <v>3.839107331336658E-2</v>
      </c>
      <c r="N121">
        <v>2.7338167056472169E-5</v>
      </c>
      <c r="O121">
        <v>120</v>
      </c>
      <c r="P121">
        <v>2.8414204832869282E-2</v>
      </c>
      <c r="Q121">
        <v>2.870507540929579E-4</v>
      </c>
      <c r="R121">
        <v>120</v>
      </c>
      <c r="S121">
        <v>2.850260947201327E-2</v>
      </c>
      <c r="T121">
        <v>3.0140329179760591E-3</v>
      </c>
      <c r="AI121">
        <v>120</v>
      </c>
      <c r="AJ121">
        <v>0.13623706796719176</v>
      </c>
      <c r="AK121">
        <v>1</v>
      </c>
    </row>
    <row r="122" spans="1:37" x14ac:dyDescent="0.25">
      <c r="A122" t="s">
        <v>51</v>
      </c>
      <c r="B122">
        <v>7.3</v>
      </c>
      <c r="C122">
        <v>2.9</v>
      </c>
      <c r="D122">
        <v>6.3</v>
      </c>
      <c r="E122">
        <v>1.8</v>
      </c>
      <c r="G122" t="s">
        <v>51</v>
      </c>
      <c r="H122" t="s">
        <v>51</v>
      </c>
      <c r="L122">
        <v>121</v>
      </c>
      <c r="M122">
        <v>3.8380371452503455E-2</v>
      </c>
      <c r="N122">
        <v>2.8705075409295779E-5</v>
      </c>
      <c r="O122">
        <v>121</v>
      </c>
      <c r="P122">
        <v>2.8395091929937045E-2</v>
      </c>
      <c r="Q122">
        <v>3.0140329179760583E-4</v>
      </c>
      <c r="R122">
        <v>121</v>
      </c>
      <c r="S122">
        <v>2.8182925633524165E-2</v>
      </c>
      <c r="T122">
        <v>3.1647345638748624E-3</v>
      </c>
      <c r="AI122">
        <v>121</v>
      </c>
      <c r="AJ122">
        <v>0.13613884809642451</v>
      </c>
      <c r="AK122">
        <v>1</v>
      </c>
    </row>
    <row r="123" spans="1:37" x14ac:dyDescent="0.25">
      <c r="A123" t="s">
        <v>51</v>
      </c>
      <c r="B123">
        <v>6.9</v>
      </c>
      <c r="C123">
        <v>3.1</v>
      </c>
      <c r="D123">
        <v>5.0999999999999996</v>
      </c>
      <c r="E123">
        <v>2.2999999999999998</v>
      </c>
      <c r="G123" t="s">
        <v>51</v>
      </c>
      <c r="H123" t="s">
        <v>51</v>
      </c>
      <c r="L123">
        <v>122</v>
      </c>
      <c r="M123">
        <v>3.8369461108316003E-2</v>
      </c>
      <c r="N123">
        <v>3.0140329179760571E-5</v>
      </c>
      <c r="O123">
        <v>122</v>
      </c>
      <c r="P123">
        <v>2.8376072532444559E-2</v>
      </c>
      <c r="Q123">
        <v>3.1647345638748613E-4</v>
      </c>
      <c r="R123">
        <v>122</v>
      </c>
      <c r="S123">
        <v>2.7975578796954413E-2</v>
      </c>
      <c r="T123">
        <v>3.3229712920686055E-3</v>
      </c>
      <c r="AI123">
        <v>122</v>
      </c>
      <c r="AJ123">
        <v>0.13601341934167507</v>
      </c>
      <c r="AK123">
        <v>1</v>
      </c>
    </row>
    <row r="124" spans="1:37" x14ac:dyDescent="0.25">
      <c r="A124" t="s">
        <v>51</v>
      </c>
      <c r="B124">
        <v>6.9</v>
      </c>
      <c r="C124">
        <v>3.2</v>
      </c>
      <c r="D124">
        <v>5.7</v>
      </c>
      <c r="E124">
        <v>2.2999999999999998</v>
      </c>
      <c r="G124" t="s">
        <v>51</v>
      </c>
      <c r="H124" t="s">
        <v>51</v>
      </c>
      <c r="L124">
        <v>123</v>
      </c>
      <c r="M124">
        <v>3.8357829640485779E-2</v>
      </c>
      <c r="N124">
        <v>3.1647345638748603E-5</v>
      </c>
      <c r="O124">
        <v>123</v>
      </c>
      <c r="P124">
        <v>2.8357329790534614E-2</v>
      </c>
      <c r="Q124">
        <v>3.3229712920686044E-4</v>
      </c>
      <c r="R124">
        <v>123</v>
      </c>
      <c r="S124">
        <v>2.7694365268579078E-2</v>
      </c>
      <c r="T124">
        <v>3.489119856672036E-3</v>
      </c>
      <c r="AI124">
        <v>123</v>
      </c>
      <c r="AJ124">
        <v>0.13580762160020474</v>
      </c>
      <c r="AK124">
        <v>0.5</v>
      </c>
    </row>
    <row r="125" spans="1:37" x14ac:dyDescent="0.25">
      <c r="A125" t="s">
        <v>51</v>
      </c>
      <c r="B125">
        <v>6.7</v>
      </c>
      <c r="C125">
        <v>2.5</v>
      </c>
      <c r="D125">
        <v>5.8</v>
      </c>
      <c r="E125">
        <v>1.8</v>
      </c>
      <c r="G125" t="s">
        <v>51</v>
      </c>
      <c r="H125" t="s">
        <v>51</v>
      </c>
      <c r="L125">
        <v>124</v>
      </c>
      <c r="M125">
        <v>3.834575172497063E-2</v>
      </c>
      <c r="N125">
        <v>3.3229712920686037E-5</v>
      </c>
      <c r="O125">
        <v>124</v>
      </c>
      <c r="P125">
        <v>2.833643013307709E-2</v>
      </c>
      <c r="Q125">
        <v>3.4891198566720349E-4</v>
      </c>
      <c r="R125">
        <v>124</v>
      </c>
      <c r="S125">
        <v>2.7415960864501768E-2</v>
      </c>
      <c r="T125">
        <v>3.6635758495056378E-3</v>
      </c>
      <c r="AI125">
        <v>124</v>
      </c>
      <c r="AJ125">
        <v>0.13565283507690112</v>
      </c>
      <c r="AK125">
        <v>1</v>
      </c>
    </row>
    <row r="126" spans="1:37" x14ac:dyDescent="0.25">
      <c r="A126" t="s">
        <v>50</v>
      </c>
      <c r="B126">
        <v>5.5</v>
      </c>
      <c r="C126">
        <v>2.5</v>
      </c>
      <c r="D126">
        <v>4</v>
      </c>
      <c r="E126">
        <v>1.3</v>
      </c>
      <c r="G126" t="s">
        <v>50</v>
      </c>
      <c r="H126" t="s">
        <v>50</v>
      </c>
      <c r="L126">
        <v>125</v>
      </c>
      <c r="M126">
        <v>3.8332413594788319E-2</v>
      </c>
      <c r="N126">
        <v>3.489119856672034E-5</v>
      </c>
      <c r="O126">
        <v>125</v>
      </c>
      <c r="P126">
        <v>2.8314501774192476E-2</v>
      </c>
      <c r="Q126">
        <v>3.6635758495056367E-4</v>
      </c>
      <c r="R126">
        <v>125</v>
      </c>
      <c r="S126">
        <v>2.7092575119547612E-2</v>
      </c>
      <c r="T126">
        <v>3.8467546419809198E-3</v>
      </c>
      <c r="AI126">
        <v>125</v>
      </c>
      <c r="AJ126">
        <v>0.13550812133538759</v>
      </c>
      <c r="AK126">
        <v>1</v>
      </c>
    </row>
    <row r="127" spans="1:37" x14ac:dyDescent="0.25">
      <c r="A127" t="s">
        <v>50</v>
      </c>
      <c r="B127">
        <v>5.5</v>
      </c>
      <c r="C127">
        <v>2.4</v>
      </c>
      <c r="D127">
        <v>3.7</v>
      </c>
      <c r="E127">
        <v>1</v>
      </c>
      <c r="G127" t="s">
        <v>50</v>
      </c>
      <c r="H127" t="s">
        <v>50</v>
      </c>
      <c r="L127">
        <v>126</v>
      </c>
      <c r="M127">
        <v>3.8318873420913273E-2</v>
      </c>
      <c r="N127">
        <v>3.6635758495056359E-5</v>
      </c>
      <c r="O127">
        <v>126</v>
      </c>
      <c r="P127">
        <v>2.8292663363376429E-2</v>
      </c>
      <c r="Q127">
        <v>3.8467546419809187E-4</v>
      </c>
      <c r="R127">
        <v>126</v>
      </c>
      <c r="S127">
        <v>2.6877450226236003E-2</v>
      </c>
      <c r="T127">
        <v>4.039092374079966E-3</v>
      </c>
      <c r="AI127">
        <v>126</v>
      </c>
      <c r="AJ127">
        <v>0.13523673908182279</v>
      </c>
      <c r="AK127">
        <v>1</v>
      </c>
    </row>
    <row r="128" spans="1:37" x14ac:dyDescent="0.25">
      <c r="A128" t="s">
        <v>49</v>
      </c>
      <c r="B128">
        <v>4.8</v>
      </c>
      <c r="C128">
        <v>3</v>
      </c>
      <c r="D128">
        <v>1.4</v>
      </c>
      <c r="E128">
        <v>0.3</v>
      </c>
      <c r="G128" t="s">
        <v>49</v>
      </c>
      <c r="H128" t="s">
        <v>49</v>
      </c>
      <c r="L128">
        <v>127</v>
      </c>
      <c r="M128">
        <v>3.8304711980800425E-2</v>
      </c>
      <c r="N128">
        <v>3.8467546419809176E-5</v>
      </c>
      <c r="O128">
        <v>127</v>
      </c>
      <c r="P128">
        <v>2.8269751764849242E-2</v>
      </c>
      <c r="Q128">
        <v>4.0390923740799646E-4</v>
      </c>
      <c r="R128">
        <v>127</v>
      </c>
      <c r="S128">
        <v>2.6510506035099898E-2</v>
      </c>
      <c r="T128">
        <v>4.2410469927839645E-3</v>
      </c>
      <c r="AI128">
        <v>127</v>
      </c>
      <c r="AJ128">
        <v>0.13492758842802621</v>
      </c>
      <c r="AK128">
        <v>1</v>
      </c>
    </row>
    <row r="129" spans="1:37" x14ac:dyDescent="0.25">
      <c r="A129" t="s">
        <v>50</v>
      </c>
      <c r="B129">
        <v>6.7</v>
      </c>
      <c r="C129">
        <v>3.1</v>
      </c>
      <c r="D129">
        <v>4.4000000000000004</v>
      </c>
      <c r="E129">
        <v>1.4</v>
      </c>
      <c r="G129" t="s">
        <v>50</v>
      </c>
      <c r="H129" t="s">
        <v>50</v>
      </c>
      <c r="L129">
        <v>128</v>
      </c>
      <c r="M129">
        <v>3.8290079063348963E-2</v>
      </c>
      <c r="N129">
        <v>4.0390923740799636E-5</v>
      </c>
      <c r="O129">
        <v>128</v>
      </c>
      <c r="P129">
        <v>2.8248097803809803E-2</v>
      </c>
      <c r="Q129">
        <v>4.2410469927839627E-4</v>
      </c>
      <c r="R129">
        <v>128</v>
      </c>
      <c r="S129">
        <v>2.6221753591362352E-2</v>
      </c>
      <c r="T129">
        <v>4.453099342423163E-3</v>
      </c>
      <c r="AI129">
        <v>128</v>
      </c>
      <c r="AJ129">
        <v>0.13457261717386232</v>
      </c>
      <c r="AK129">
        <v>0.5</v>
      </c>
    </row>
    <row r="130" spans="1:37" x14ac:dyDescent="0.25">
      <c r="A130" t="s">
        <v>49</v>
      </c>
      <c r="B130">
        <v>5.0999999999999996</v>
      </c>
      <c r="C130">
        <v>3.4</v>
      </c>
      <c r="D130">
        <v>1.5</v>
      </c>
      <c r="E130">
        <v>0.2</v>
      </c>
      <c r="G130" t="s">
        <v>49</v>
      </c>
      <c r="H130" t="s">
        <v>49</v>
      </c>
      <c r="L130">
        <v>129</v>
      </c>
      <c r="M130">
        <v>3.8274864978885784E-2</v>
      </c>
      <c r="N130">
        <v>4.2410469927839618E-5</v>
      </c>
      <c r="O130">
        <v>129</v>
      </c>
      <c r="P130">
        <v>2.8221402693036128E-2</v>
      </c>
      <c r="Q130">
        <v>4.4530993424231612E-4</v>
      </c>
      <c r="R130">
        <v>129</v>
      </c>
      <c r="S130">
        <v>2.5854342126029533E-2</v>
      </c>
      <c r="T130">
        <v>4.6757543095443214E-3</v>
      </c>
      <c r="AI130">
        <v>129</v>
      </c>
      <c r="AJ130">
        <v>0.13442690868583249</v>
      </c>
      <c r="AK130">
        <v>1</v>
      </c>
    </row>
    <row r="131" spans="1:37" x14ac:dyDescent="0.25">
      <c r="A131" t="s">
        <v>50</v>
      </c>
      <c r="B131">
        <v>6.1</v>
      </c>
      <c r="C131">
        <v>2.8</v>
      </c>
      <c r="D131">
        <v>4</v>
      </c>
      <c r="E131">
        <v>1.3</v>
      </c>
      <c r="G131" t="s">
        <v>50</v>
      </c>
      <c r="H131" t="s">
        <v>50</v>
      </c>
      <c r="L131">
        <v>130</v>
      </c>
      <c r="M131">
        <v>3.8258151951106739E-2</v>
      </c>
      <c r="N131">
        <v>4.4530993424231598E-5</v>
      </c>
      <c r="O131">
        <v>130</v>
      </c>
      <c r="P131">
        <v>2.8196542840665448E-2</v>
      </c>
      <c r="Q131">
        <v>4.6757543095443194E-4</v>
      </c>
      <c r="R131">
        <v>130</v>
      </c>
      <c r="S131">
        <v>2.5443683482735874E-2</v>
      </c>
      <c r="T131">
        <v>4.909542025021538E-3</v>
      </c>
      <c r="AI131">
        <v>130</v>
      </c>
      <c r="AJ131">
        <v>0.13360100075201772</v>
      </c>
      <c r="AK131">
        <v>1</v>
      </c>
    </row>
    <row r="132" spans="1:37" x14ac:dyDescent="0.25">
      <c r="A132" t="s">
        <v>51</v>
      </c>
      <c r="B132">
        <v>6.2</v>
      </c>
      <c r="C132">
        <v>3.4</v>
      </c>
      <c r="D132">
        <v>5.4</v>
      </c>
      <c r="E132">
        <v>2.2999999999999998</v>
      </c>
      <c r="G132" t="s">
        <v>51</v>
      </c>
      <c r="H132" t="s">
        <v>51</v>
      </c>
      <c r="L132">
        <v>131</v>
      </c>
      <c r="M132">
        <v>3.8241189915100907E-2</v>
      </c>
      <c r="N132">
        <v>4.6757543095443183E-5</v>
      </c>
      <c r="O132">
        <v>131</v>
      </c>
      <c r="P132">
        <v>2.8166689333815911E-2</v>
      </c>
      <c r="Q132">
        <v>4.9095420250215354E-4</v>
      </c>
      <c r="R132">
        <v>131</v>
      </c>
      <c r="S132">
        <v>2.518616808138802E-2</v>
      </c>
      <c r="T132">
        <v>5.155019126272615E-3</v>
      </c>
      <c r="AI132">
        <v>131</v>
      </c>
      <c r="AJ132">
        <v>0.13335506130680841</v>
      </c>
      <c r="AK132">
        <v>1</v>
      </c>
    </row>
    <row r="133" spans="1:37" x14ac:dyDescent="0.25">
      <c r="A133" t="s">
        <v>51</v>
      </c>
      <c r="B133">
        <v>6.8</v>
      </c>
      <c r="C133">
        <v>3</v>
      </c>
      <c r="D133">
        <v>5.5</v>
      </c>
      <c r="E133">
        <v>2.1</v>
      </c>
      <c r="G133" t="s">
        <v>51</v>
      </c>
      <c r="H133" t="s">
        <v>51</v>
      </c>
      <c r="L133">
        <v>132</v>
      </c>
      <c r="M133">
        <v>3.8223767882779411E-2</v>
      </c>
      <c r="N133">
        <v>4.9095420250215348E-5</v>
      </c>
      <c r="O133">
        <v>132</v>
      </c>
      <c r="P133">
        <v>2.8135285710116243E-2</v>
      </c>
      <c r="Q133">
        <v>5.1550191262726122E-4</v>
      </c>
      <c r="R133">
        <v>132</v>
      </c>
      <c r="S133">
        <v>2.4667018859467593E-2</v>
      </c>
      <c r="T133">
        <v>5.4127700825862459E-3</v>
      </c>
      <c r="AI133">
        <v>132</v>
      </c>
      <c r="AJ133">
        <v>0.13313695764453903</v>
      </c>
      <c r="AK133">
        <v>1</v>
      </c>
    </row>
    <row r="134" spans="1:37" x14ac:dyDescent="0.25">
      <c r="A134" t="s">
        <v>50</v>
      </c>
      <c r="B134">
        <v>5.6</v>
      </c>
      <c r="C134">
        <v>3</v>
      </c>
      <c r="D134">
        <v>4.5</v>
      </c>
      <c r="E134">
        <v>1.5</v>
      </c>
      <c r="G134" t="s">
        <v>50</v>
      </c>
      <c r="H134" t="s">
        <v>50</v>
      </c>
      <c r="L134">
        <v>133</v>
      </c>
      <c r="M134">
        <v>3.8204696534470818E-2</v>
      </c>
      <c r="N134">
        <v>5.1550191262726115E-5</v>
      </c>
      <c r="O134">
        <v>133</v>
      </c>
      <c r="P134">
        <v>2.8104840307800239E-2</v>
      </c>
      <c r="Q134">
        <v>5.4127700825862431E-4</v>
      </c>
      <c r="R134">
        <v>133</v>
      </c>
      <c r="S134">
        <v>2.4270898457229136E-2</v>
      </c>
      <c r="T134">
        <v>5.6834085867155581E-3</v>
      </c>
      <c r="AI134">
        <v>133</v>
      </c>
      <c r="AJ134">
        <v>0.13288385931308258</v>
      </c>
      <c r="AK134">
        <v>0.5</v>
      </c>
    </row>
    <row r="135" spans="1:37" x14ac:dyDescent="0.25">
      <c r="A135" t="s">
        <v>50</v>
      </c>
      <c r="B135">
        <v>6.7</v>
      </c>
      <c r="C135">
        <v>3</v>
      </c>
      <c r="D135">
        <v>5</v>
      </c>
      <c r="E135">
        <v>1.7</v>
      </c>
      <c r="G135" t="s">
        <v>50</v>
      </c>
      <c r="H135" t="s">
        <v>50</v>
      </c>
      <c r="L135">
        <v>134</v>
      </c>
      <c r="M135">
        <v>3.8186017209744669E-2</v>
      </c>
      <c r="N135">
        <v>5.4127700825862423E-5</v>
      </c>
      <c r="O135">
        <v>134</v>
      </c>
      <c r="P135">
        <v>2.8072800901137909E-2</v>
      </c>
      <c r="Q135">
        <v>5.6834085867155559E-4</v>
      </c>
      <c r="R135">
        <v>134</v>
      </c>
      <c r="S135">
        <v>2.3807730331204365E-2</v>
      </c>
      <c r="T135">
        <v>5.9675790160513362E-3</v>
      </c>
      <c r="AI135">
        <v>134</v>
      </c>
      <c r="AJ135">
        <v>0.13265015271290587</v>
      </c>
      <c r="AK135">
        <v>1</v>
      </c>
    </row>
    <row r="136" spans="1:37" x14ac:dyDescent="0.25">
      <c r="A136" t="s">
        <v>51</v>
      </c>
      <c r="B136">
        <v>6.4</v>
      </c>
      <c r="C136">
        <v>2.8</v>
      </c>
      <c r="D136">
        <v>5.6</v>
      </c>
      <c r="E136">
        <v>2.1</v>
      </c>
      <c r="G136" t="s">
        <v>51</v>
      </c>
      <c r="H136" t="s">
        <v>51</v>
      </c>
      <c r="L136">
        <v>135</v>
      </c>
      <c r="M136">
        <v>3.8165486690594427E-2</v>
      </c>
      <c r="N136">
        <v>5.6834085867155547E-5</v>
      </c>
      <c r="O136">
        <v>135</v>
      </c>
      <c r="P136">
        <v>2.8036950896268269E-2</v>
      </c>
      <c r="Q136">
        <v>5.9675790160513339E-4</v>
      </c>
      <c r="R136">
        <v>135</v>
      </c>
      <c r="S136">
        <v>2.3352707910655274E-2</v>
      </c>
      <c r="T136">
        <v>6.2659579668539033E-3</v>
      </c>
      <c r="AI136">
        <v>135</v>
      </c>
      <c r="AJ136">
        <v>0.13252895265633705</v>
      </c>
      <c r="AK136">
        <v>1</v>
      </c>
    </row>
    <row r="137" spans="1:37" x14ac:dyDescent="0.25">
      <c r="A137" t="s">
        <v>50</v>
      </c>
      <c r="B137">
        <v>5.9</v>
      </c>
      <c r="C137">
        <v>3</v>
      </c>
      <c r="D137">
        <v>4.2</v>
      </c>
      <c r="E137">
        <v>1.5</v>
      </c>
      <c r="G137" t="s">
        <v>50</v>
      </c>
      <c r="H137" t="s">
        <v>50</v>
      </c>
      <c r="L137">
        <v>136</v>
      </c>
      <c r="M137">
        <v>3.8146854790151785E-2</v>
      </c>
      <c r="N137">
        <v>5.9675790160513328E-5</v>
      </c>
      <c r="O137">
        <v>136</v>
      </c>
      <c r="P137">
        <v>2.8000166170297922E-2</v>
      </c>
      <c r="Q137">
        <v>6.2659579668539005E-4</v>
      </c>
      <c r="R137">
        <v>136</v>
      </c>
      <c r="S137">
        <v>2.3161033105984032E-2</v>
      </c>
      <c r="T137">
        <v>6.5792558651965984E-3</v>
      </c>
      <c r="AI137">
        <v>136</v>
      </c>
      <c r="AJ137">
        <v>0.13246976700010588</v>
      </c>
      <c r="AK137">
        <v>1</v>
      </c>
    </row>
    <row r="138" spans="1:37" x14ac:dyDescent="0.25">
      <c r="A138" t="s">
        <v>51</v>
      </c>
      <c r="B138">
        <v>7.7</v>
      </c>
      <c r="C138">
        <v>2.8</v>
      </c>
      <c r="D138">
        <v>6.7</v>
      </c>
      <c r="E138">
        <v>2</v>
      </c>
      <c r="G138" t="s">
        <v>51</v>
      </c>
      <c r="H138" t="s">
        <v>51</v>
      </c>
      <c r="L138">
        <v>137</v>
      </c>
      <c r="M138">
        <v>3.8122193318064053E-2</v>
      </c>
      <c r="N138">
        <v>6.2659579668538997E-5</v>
      </c>
      <c r="O138">
        <v>137</v>
      </c>
      <c r="P138">
        <v>2.796198895184069E-2</v>
      </c>
      <c r="Q138">
        <v>6.5792558651965962E-4</v>
      </c>
      <c r="R138">
        <v>137</v>
      </c>
      <c r="S138">
        <v>2.2423097886297157E-2</v>
      </c>
      <c r="T138">
        <v>6.908218658456429E-3</v>
      </c>
      <c r="AI138">
        <v>137</v>
      </c>
      <c r="AJ138">
        <v>0.13243653111898596</v>
      </c>
      <c r="AK138">
        <v>1</v>
      </c>
    </row>
    <row r="139" spans="1:37" x14ac:dyDescent="0.25">
      <c r="A139" t="s">
        <v>49</v>
      </c>
      <c r="B139">
        <v>5.2</v>
      </c>
      <c r="C139">
        <v>3.5</v>
      </c>
      <c r="D139">
        <v>1.5</v>
      </c>
      <c r="E139">
        <v>0.2</v>
      </c>
      <c r="G139" t="s">
        <v>49</v>
      </c>
      <c r="H139" t="s">
        <v>49</v>
      </c>
      <c r="L139">
        <v>138</v>
      </c>
      <c r="M139">
        <v>3.8101033069020511E-2</v>
      </c>
      <c r="N139">
        <v>6.5792558651965951E-5</v>
      </c>
      <c r="O139">
        <v>138</v>
      </c>
      <c r="P139">
        <v>2.7923583611132549E-2</v>
      </c>
      <c r="Q139">
        <v>6.9082186584564268E-4</v>
      </c>
      <c r="R139">
        <v>138</v>
      </c>
      <c r="S139">
        <v>2.2272886458772713E-2</v>
      </c>
      <c r="T139">
        <v>7.2536295913792504E-3</v>
      </c>
      <c r="AI139">
        <v>138</v>
      </c>
      <c r="AJ139">
        <v>0.13241508260680354</v>
      </c>
      <c r="AK139">
        <v>1</v>
      </c>
    </row>
    <row r="140" spans="1:37" x14ac:dyDescent="0.25">
      <c r="A140" t="s">
        <v>50</v>
      </c>
      <c r="B140">
        <v>6.6</v>
      </c>
      <c r="C140">
        <v>3</v>
      </c>
      <c r="D140">
        <v>4.4000000000000004</v>
      </c>
      <c r="E140">
        <v>1.4</v>
      </c>
      <c r="G140" t="s">
        <v>50</v>
      </c>
      <c r="H140" t="s">
        <v>50</v>
      </c>
      <c r="L140">
        <v>139</v>
      </c>
      <c r="M140">
        <v>3.8072703897875211E-2</v>
      </c>
      <c r="N140">
        <v>6.9082186584564246E-5</v>
      </c>
      <c r="O140">
        <v>139</v>
      </c>
      <c r="P140">
        <v>2.7881390534414057E-2</v>
      </c>
      <c r="Q140">
        <v>7.253629591379248E-4</v>
      </c>
      <c r="R140">
        <v>139</v>
      </c>
      <c r="S140">
        <v>2.1486942186668388E-2</v>
      </c>
      <c r="T140">
        <v>7.6163110709482132E-3</v>
      </c>
      <c r="AI140">
        <v>139</v>
      </c>
      <c r="AJ140">
        <v>0.1323828824547989</v>
      </c>
      <c r="AK140">
        <v>1</v>
      </c>
    </row>
    <row r="141" spans="1:37" x14ac:dyDescent="0.25">
      <c r="A141" t="s">
        <v>50</v>
      </c>
      <c r="B141">
        <v>5.6</v>
      </c>
      <c r="C141">
        <v>3</v>
      </c>
      <c r="D141">
        <v>4.0999999999999996</v>
      </c>
      <c r="E141">
        <v>1.3</v>
      </c>
      <c r="G141" t="s">
        <v>50</v>
      </c>
      <c r="H141" t="s">
        <v>50</v>
      </c>
      <c r="L141">
        <v>140</v>
      </c>
      <c r="M141">
        <v>3.8046951002834048E-2</v>
      </c>
      <c r="N141">
        <v>7.2536295913792464E-5</v>
      </c>
      <c r="O141">
        <v>140</v>
      </c>
      <c r="P141">
        <v>2.7844462282207945E-2</v>
      </c>
      <c r="Q141">
        <v>7.616311070948211E-4</v>
      </c>
      <c r="R141">
        <v>140</v>
      </c>
      <c r="S141">
        <v>2.0753728963856032E-2</v>
      </c>
      <c r="T141">
        <v>7.9971266244956239E-3</v>
      </c>
      <c r="AI141">
        <v>140</v>
      </c>
      <c r="AJ141">
        <v>0.13230879068969154</v>
      </c>
      <c r="AK141">
        <v>1</v>
      </c>
    </row>
    <row r="142" spans="1:37" x14ac:dyDescent="0.25">
      <c r="A142" t="s">
        <v>51</v>
      </c>
      <c r="B142">
        <v>5.8</v>
      </c>
      <c r="C142">
        <v>2.7</v>
      </c>
      <c r="D142">
        <v>5.0999999999999996</v>
      </c>
      <c r="E142">
        <v>1.9</v>
      </c>
      <c r="G142" t="s">
        <v>51</v>
      </c>
      <c r="H142" t="s">
        <v>51</v>
      </c>
      <c r="L142">
        <v>141</v>
      </c>
      <c r="M142">
        <v>3.8022619741534001E-2</v>
      </c>
      <c r="N142">
        <v>7.6163110709482091E-5</v>
      </c>
      <c r="O142">
        <v>141</v>
      </c>
      <c r="P142">
        <v>2.7798167277862298E-2</v>
      </c>
      <c r="Q142">
        <v>7.9971266244956217E-4</v>
      </c>
      <c r="R142">
        <v>141</v>
      </c>
      <c r="S142">
        <v>2.0914763576611782E-2</v>
      </c>
      <c r="T142">
        <v>8.3969829557204046E-3</v>
      </c>
      <c r="AI142">
        <v>141</v>
      </c>
      <c r="AJ142">
        <v>0.13213886430606878</v>
      </c>
      <c r="AK142">
        <v>1</v>
      </c>
    </row>
    <row r="143" spans="1:37" x14ac:dyDescent="0.25">
      <c r="A143" t="s">
        <v>50</v>
      </c>
      <c r="B143">
        <v>7</v>
      </c>
      <c r="C143">
        <v>3.2</v>
      </c>
      <c r="D143">
        <v>4.7</v>
      </c>
      <c r="E143">
        <v>1.4</v>
      </c>
      <c r="G143" t="s">
        <v>50</v>
      </c>
      <c r="H143" t="s">
        <v>50</v>
      </c>
      <c r="L143">
        <v>142</v>
      </c>
      <c r="M143">
        <v>3.7992310712117804E-2</v>
      </c>
      <c r="N143">
        <v>7.9971266244956201E-5</v>
      </c>
      <c r="O143">
        <v>142</v>
      </c>
      <c r="P143">
        <v>2.7759403121441685E-2</v>
      </c>
      <c r="Q143">
        <v>8.3969829557204031E-4</v>
      </c>
      <c r="R143">
        <v>142</v>
      </c>
      <c r="S143">
        <v>2.0701393890012552E-2</v>
      </c>
      <c r="T143">
        <v>8.3969829557204053E-4</v>
      </c>
      <c r="AI143">
        <v>142</v>
      </c>
      <c r="AJ143">
        <v>0.13178798033970318</v>
      </c>
      <c r="AK143">
        <v>1</v>
      </c>
    </row>
    <row r="144" spans="1:37" x14ac:dyDescent="0.25">
      <c r="A144" t="s">
        <v>51</v>
      </c>
      <c r="B144">
        <v>7.7</v>
      </c>
      <c r="C144">
        <v>3.8</v>
      </c>
      <c r="D144">
        <v>6.7</v>
      </c>
      <c r="E144">
        <v>2.2000000000000002</v>
      </c>
      <c r="G144" t="s">
        <v>51</v>
      </c>
      <c r="H144" t="s">
        <v>51</v>
      </c>
      <c r="L144">
        <v>143</v>
      </c>
      <c r="M144">
        <v>3.7967275023377309E-2</v>
      </c>
      <c r="N144">
        <v>8.3969829557204012E-5</v>
      </c>
      <c r="O144">
        <v>143</v>
      </c>
      <c r="P144">
        <v>2.7710529831341438E-2</v>
      </c>
      <c r="Q144">
        <v>8.8168321035064236E-4</v>
      </c>
      <c r="R144">
        <v>143</v>
      </c>
      <c r="S144">
        <v>2.0660652463057261E-2</v>
      </c>
      <c r="T144">
        <v>8.8168321035064258E-4</v>
      </c>
      <c r="AI144">
        <v>143</v>
      </c>
      <c r="AJ144">
        <v>0.13122554466832603</v>
      </c>
      <c r="AK144">
        <v>1</v>
      </c>
    </row>
    <row r="145" spans="1:37" x14ac:dyDescent="0.25">
      <c r="A145" t="s">
        <v>49</v>
      </c>
      <c r="B145">
        <v>5</v>
      </c>
      <c r="C145">
        <v>3</v>
      </c>
      <c r="D145">
        <v>1.6</v>
      </c>
      <c r="E145">
        <v>0.2</v>
      </c>
      <c r="G145" t="s">
        <v>49</v>
      </c>
      <c r="H145" t="s">
        <v>49</v>
      </c>
      <c r="L145">
        <v>144</v>
      </c>
      <c r="M145">
        <v>3.793398781465919E-2</v>
      </c>
      <c r="N145">
        <v>8.8168321035064215E-5</v>
      </c>
      <c r="O145">
        <v>144</v>
      </c>
      <c r="P145">
        <v>2.7652906939906255E-2</v>
      </c>
      <c r="Q145">
        <v>9.2576737086817447E-4</v>
      </c>
      <c r="R145">
        <v>144</v>
      </c>
      <c r="S145">
        <v>2.057817523213764E-2</v>
      </c>
      <c r="T145">
        <v>9.257673708681748E-4</v>
      </c>
      <c r="AI145">
        <v>144</v>
      </c>
      <c r="AJ145">
        <v>0.13024633668411165</v>
      </c>
      <c r="AK145">
        <v>1</v>
      </c>
    </row>
    <row r="146" spans="1:37" x14ac:dyDescent="0.25">
      <c r="A146" t="s">
        <v>50</v>
      </c>
      <c r="B146">
        <v>6.8</v>
      </c>
      <c r="C146">
        <v>2.8</v>
      </c>
      <c r="D146">
        <v>4.8</v>
      </c>
      <c r="E146">
        <v>1.4</v>
      </c>
      <c r="G146" t="s">
        <v>50</v>
      </c>
      <c r="H146" t="s">
        <v>50</v>
      </c>
      <c r="L146">
        <v>145</v>
      </c>
      <c r="M146">
        <v>3.7901046039332136E-2</v>
      </c>
      <c r="N146">
        <v>9.2576737086817433E-5</v>
      </c>
      <c r="O146">
        <v>145</v>
      </c>
      <c r="P146">
        <v>2.7595685317967616E-2</v>
      </c>
      <c r="Q146">
        <v>9.7205573941158327E-4</v>
      </c>
      <c r="R146">
        <v>145</v>
      </c>
      <c r="S146">
        <v>2.0507869463616407E-2</v>
      </c>
      <c r="T146">
        <v>9.720557394115836E-4</v>
      </c>
      <c r="AI146">
        <v>145</v>
      </c>
      <c r="AJ146">
        <v>0.12914965374667239</v>
      </c>
      <c r="AK146">
        <v>0.5</v>
      </c>
    </row>
    <row r="147" spans="1:37" x14ac:dyDescent="0.25">
      <c r="A147" t="s">
        <v>49</v>
      </c>
      <c r="B147">
        <v>5.5</v>
      </c>
      <c r="C147">
        <v>3.5</v>
      </c>
      <c r="D147">
        <v>1.3</v>
      </c>
      <c r="E147">
        <v>0.2</v>
      </c>
      <c r="G147" t="s">
        <v>49</v>
      </c>
      <c r="H147" t="s">
        <v>49</v>
      </c>
      <c r="L147">
        <v>146</v>
      </c>
      <c r="M147">
        <v>3.7873486811772751E-2</v>
      </c>
      <c r="N147">
        <v>9.7205573941158314E-5</v>
      </c>
      <c r="O147">
        <v>146</v>
      </c>
      <c r="P147">
        <v>2.7550576435705007E-2</v>
      </c>
      <c r="Q147">
        <v>1.0206585263821625E-3</v>
      </c>
      <c r="R147">
        <v>146</v>
      </c>
      <c r="S147">
        <v>2.0434821152708057E-2</v>
      </c>
      <c r="T147">
        <v>1.0206585263821629E-3</v>
      </c>
      <c r="AI147">
        <v>146</v>
      </c>
      <c r="AJ147">
        <v>0.12876740521273261</v>
      </c>
      <c r="AK147">
        <v>1</v>
      </c>
    </row>
    <row r="148" spans="1:37" x14ac:dyDescent="0.25">
      <c r="A148" t="s">
        <v>50</v>
      </c>
      <c r="B148">
        <v>5.6</v>
      </c>
      <c r="C148">
        <v>2.5</v>
      </c>
      <c r="D148">
        <v>3.9</v>
      </c>
      <c r="E148">
        <v>1.1000000000000001</v>
      </c>
      <c r="G148" t="s">
        <v>50</v>
      </c>
      <c r="H148" t="s">
        <v>50</v>
      </c>
      <c r="L148">
        <v>147</v>
      </c>
      <c r="M148">
        <v>3.7831102943652307E-2</v>
      </c>
      <c r="N148">
        <v>1.0206585263821624E-4</v>
      </c>
      <c r="O148">
        <v>147</v>
      </c>
      <c r="P148">
        <v>2.7472320672698457E-2</v>
      </c>
      <c r="Q148">
        <v>1.0716914527012706E-3</v>
      </c>
      <c r="R148">
        <v>147</v>
      </c>
      <c r="S148">
        <v>2.035691616325502E-2</v>
      </c>
      <c r="T148">
        <v>1.0716914527012711E-3</v>
      </c>
      <c r="AI148">
        <v>147</v>
      </c>
      <c r="AJ148">
        <v>0.12855475755158352</v>
      </c>
      <c r="AK148">
        <v>1</v>
      </c>
    </row>
    <row r="149" spans="1:37" x14ac:dyDescent="0.25">
      <c r="A149" t="s">
        <v>51</v>
      </c>
      <c r="B149">
        <v>6</v>
      </c>
      <c r="C149">
        <v>3</v>
      </c>
      <c r="D149">
        <v>4.8</v>
      </c>
      <c r="E149">
        <v>1.8</v>
      </c>
      <c r="G149" t="s">
        <v>51</v>
      </c>
      <c r="H149" t="s">
        <v>51</v>
      </c>
      <c r="L149">
        <v>148</v>
      </c>
      <c r="M149">
        <v>3.7796475280106663E-2</v>
      </c>
      <c r="N149">
        <v>1.0716914527012705E-4</v>
      </c>
      <c r="O149">
        <v>148</v>
      </c>
      <c r="P149">
        <v>2.7405578539959514E-2</v>
      </c>
      <c r="Q149">
        <v>1.1252760253363343E-3</v>
      </c>
      <c r="R149">
        <v>148</v>
      </c>
      <c r="S149">
        <v>2.0274085491569987E-2</v>
      </c>
      <c r="T149">
        <v>1.1252760253363347E-3</v>
      </c>
      <c r="AI149">
        <v>148</v>
      </c>
      <c r="AJ149">
        <v>0.1283635996529601</v>
      </c>
      <c r="AK149">
        <v>1</v>
      </c>
    </row>
    <row r="150" spans="1:37" x14ac:dyDescent="0.25">
      <c r="A150" t="s">
        <v>51</v>
      </c>
      <c r="B150">
        <v>6.3</v>
      </c>
      <c r="C150">
        <v>2.5</v>
      </c>
      <c r="D150">
        <v>5</v>
      </c>
      <c r="E150">
        <v>1.9</v>
      </c>
      <c r="G150" t="s">
        <v>51</v>
      </c>
      <c r="H150" t="s">
        <v>51</v>
      </c>
      <c r="L150">
        <v>149</v>
      </c>
      <c r="M150">
        <v>3.7756189817562361E-2</v>
      </c>
      <c r="N150">
        <v>1.1252760253363341E-4</v>
      </c>
      <c r="O150">
        <v>149</v>
      </c>
      <c r="P150">
        <v>2.7330904374175232E-2</v>
      </c>
      <c r="Q150">
        <v>1.1815398266031511E-3</v>
      </c>
      <c r="R150">
        <v>149</v>
      </c>
      <c r="S150">
        <v>2.019111194300777E-2</v>
      </c>
      <c r="T150">
        <v>1.1815398266031515E-3</v>
      </c>
      <c r="AI150">
        <v>149</v>
      </c>
      <c r="AJ150">
        <v>0.12807134897686473</v>
      </c>
      <c r="AK150">
        <v>1</v>
      </c>
    </row>
    <row r="151" spans="1:37" x14ac:dyDescent="0.25">
      <c r="A151" t="s">
        <v>49</v>
      </c>
      <c r="B151">
        <v>4.8</v>
      </c>
      <c r="C151">
        <v>3.1</v>
      </c>
      <c r="D151">
        <v>1.6</v>
      </c>
      <c r="E151">
        <v>0.2</v>
      </c>
      <c r="G151" t="s">
        <v>49</v>
      </c>
      <c r="H151" t="s">
        <v>49</v>
      </c>
      <c r="L151">
        <v>150</v>
      </c>
      <c r="M151">
        <v>3.7730394269007803E-2</v>
      </c>
      <c r="N151">
        <v>1.1815398266031509E-4</v>
      </c>
      <c r="O151">
        <v>150</v>
      </c>
      <c r="P151">
        <v>2.7281003848313022E-2</v>
      </c>
      <c r="Q151">
        <v>1.2406168179333087E-3</v>
      </c>
      <c r="R151">
        <v>150</v>
      </c>
      <c r="S151">
        <v>2.0102253084131761E-2</v>
      </c>
      <c r="T151">
        <v>1.2406168179333091E-3</v>
      </c>
      <c r="AI151">
        <v>150</v>
      </c>
      <c r="AJ151">
        <v>0.12780228610112987</v>
      </c>
      <c r="AK151">
        <v>1</v>
      </c>
    </row>
    <row r="152" spans="1:37" x14ac:dyDescent="0.25">
      <c r="L152">
        <v>151</v>
      </c>
      <c r="M152">
        <v>3.7674909609547384E-2</v>
      </c>
      <c r="N152">
        <v>1.2406168179333085E-4</v>
      </c>
      <c r="O152">
        <v>151</v>
      </c>
      <c r="P152">
        <v>2.7187226591700406E-2</v>
      </c>
      <c r="Q152">
        <v>1.3026476588299742E-3</v>
      </c>
      <c r="R152">
        <v>151</v>
      </c>
      <c r="S152">
        <v>2.0003195312453391E-2</v>
      </c>
      <c r="T152">
        <v>1.3026476588299746E-3</v>
      </c>
      <c r="AI152">
        <v>151</v>
      </c>
      <c r="AJ152">
        <v>0.12758966251199549</v>
      </c>
      <c r="AK152">
        <v>1</v>
      </c>
    </row>
    <row r="153" spans="1:37" x14ac:dyDescent="0.25">
      <c r="L153">
        <v>152</v>
      </c>
      <c r="M153">
        <v>3.7635230990356816E-2</v>
      </c>
      <c r="N153">
        <v>1.302647658829974E-4</v>
      </c>
      <c r="O153">
        <v>152</v>
      </c>
      <c r="P153">
        <v>2.7114595561778563E-2</v>
      </c>
      <c r="Q153">
        <v>1.3677800417714729E-3</v>
      </c>
      <c r="R153">
        <v>152</v>
      </c>
      <c r="S153">
        <v>1.9907335506117518E-2</v>
      </c>
      <c r="T153">
        <v>1.3677800417714733E-3</v>
      </c>
      <c r="AI153">
        <v>152</v>
      </c>
      <c r="AJ153">
        <v>0.12735574195721108</v>
      </c>
      <c r="AK153">
        <v>0.5</v>
      </c>
    </row>
    <row r="154" spans="1:37" x14ac:dyDescent="0.25">
      <c r="L154">
        <v>153</v>
      </c>
      <c r="M154">
        <v>3.758540609663371E-2</v>
      </c>
      <c r="N154">
        <v>1.3677800417714729E-4</v>
      </c>
      <c r="O154">
        <v>153</v>
      </c>
      <c r="P154">
        <v>2.7027263271178451E-2</v>
      </c>
      <c r="Q154">
        <v>1.4361690438600466E-3</v>
      </c>
      <c r="R154">
        <v>153</v>
      </c>
      <c r="S154">
        <v>1.9820449450012927E-2</v>
      </c>
      <c r="T154">
        <v>1.436169043860047E-3</v>
      </c>
      <c r="AI154">
        <v>153</v>
      </c>
      <c r="AJ154">
        <v>0.12723216151855007</v>
      </c>
      <c r="AK154">
        <v>1</v>
      </c>
    </row>
    <row r="155" spans="1:37" x14ac:dyDescent="0.25">
      <c r="L155">
        <v>154</v>
      </c>
      <c r="M155">
        <v>3.7549652364819525E-2</v>
      </c>
      <c r="N155">
        <v>1.4361690438600465E-4</v>
      </c>
      <c r="O155">
        <v>154</v>
      </c>
      <c r="P155">
        <v>2.6938873835231823E-2</v>
      </c>
      <c r="Q155">
        <v>1.5079774960530491E-3</v>
      </c>
      <c r="R155">
        <v>154</v>
      </c>
      <c r="S155">
        <v>1.9702455764587727E-2</v>
      </c>
      <c r="T155">
        <v>1.5079774960530495E-3</v>
      </c>
      <c r="AI155">
        <v>154</v>
      </c>
      <c r="AJ155">
        <v>0.12714886799269587</v>
      </c>
      <c r="AK155">
        <v>1</v>
      </c>
    </row>
    <row r="156" spans="1:37" x14ac:dyDescent="0.25">
      <c r="L156">
        <v>155</v>
      </c>
      <c r="M156">
        <v>3.7488615864654504E-2</v>
      </c>
      <c r="N156">
        <v>1.5079774960530487E-4</v>
      </c>
      <c r="O156">
        <v>155</v>
      </c>
      <c r="P156">
        <v>2.6869608855036031E-2</v>
      </c>
      <c r="Q156">
        <v>1.5833763708557017E-3</v>
      </c>
      <c r="R156">
        <v>155</v>
      </c>
      <c r="S156">
        <v>1.9596151499653394E-2</v>
      </c>
      <c r="T156">
        <v>1.5833763708557021E-3</v>
      </c>
      <c r="AI156">
        <v>155</v>
      </c>
      <c r="AJ156">
        <v>0.12705777322259595</v>
      </c>
      <c r="AK156">
        <v>1</v>
      </c>
    </row>
    <row r="157" spans="1:37" x14ac:dyDescent="0.25">
      <c r="L157">
        <v>156</v>
      </c>
      <c r="M157">
        <v>3.7444378275232656E-2</v>
      </c>
      <c r="N157">
        <v>1.5833763708557013E-4</v>
      </c>
      <c r="O157">
        <v>156</v>
      </c>
      <c r="P157">
        <v>2.6719944587049543E-2</v>
      </c>
      <c r="Q157">
        <v>1.6625451893984868E-3</v>
      </c>
      <c r="R157">
        <v>156</v>
      </c>
      <c r="S157">
        <v>1.9488600166220865E-2</v>
      </c>
      <c r="T157">
        <v>1.6625451893984872E-3</v>
      </c>
      <c r="AI157">
        <v>156</v>
      </c>
      <c r="AJ157">
        <v>0.1269499263367336</v>
      </c>
      <c r="AK157">
        <v>1</v>
      </c>
    </row>
    <row r="158" spans="1:37" x14ac:dyDescent="0.25">
      <c r="L158">
        <v>157</v>
      </c>
      <c r="M158">
        <v>3.7384254546432211E-2</v>
      </c>
      <c r="N158">
        <v>1.6625451893984865E-4</v>
      </c>
      <c r="O158">
        <v>157</v>
      </c>
      <c r="P158">
        <v>2.663894306854293E-2</v>
      </c>
      <c r="Q158">
        <v>1.7456724488684112E-3</v>
      </c>
      <c r="R158">
        <v>157</v>
      </c>
      <c r="S158">
        <v>1.9409647248064339E-2</v>
      </c>
      <c r="T158">
        <v>1.7456724488684116E-3</v>
      </c>
      <c r="AI158">
        <v>157</v>
      </c>
      <c r="AJ158">
        <v>0.12682395231558258</v>
      </c>
      <c r="AK158">
        <v>1</v>
      </c>
    </row>
    <row r="159" spans="1:37" x14ac:dyDescent="0.25">
      <c r="L159">
        <v>158</v>
      </c>
      <c r="M159">
        <v>3.7333518905734546E-2</v>
      </c>
      <c r="N159">
        <v>1.745672448868411E-4</v>
      </c>
      <c r="O159">
        <v>158</v>
      </c>
      <c r="P159">
        <v>2.6496091125300623E-2</v>
      </c>
      <c r="Q159">
        <v>1.8329560713118318E-3</v>
      </c>
      <c r="R159">
        <v>158</v>
      </c>
      <c r="S159">
        <v>1.9306257785082302E-2</v>
      </c>
      <c r="T159">
        <v>1.8329560713118323E-3</v>
      </c>
      <c r="AI159">
        <v>158</v>
      </c>
      <c r="AJ159">
        <v>0.1267050787933072</v>
      </c>
      <c r="AK159">
        <v>1</v>
      </c>
    </row>
    <row r="160" spans="1:37" x14ac:dyDescent="0.25">
      <c r="L160">
        <v>159</v>
      </c>
      <c r="M160">
        <v>3.7303781426966297E-2</v>
      </c>
      <c r="N160">
        <v>1.8329560713118315E-4</v>
      </c>
      <c r="O160">
        <v>159</v>
      </c>
      <c r="P160">
        <v>2.6384252145119375E-2</v>
      </c>
      <c r="Q160">
        <v>1.9246038748774235E-3</v>
      </c>
      <c r="R160">
        <v>159</v>
      </c>
      <c r="S160">
        <v>1.91215491560821E-2</v>
      </c>
      <c r="T160">
        <v>1.924603874877424E-3</v>
      </c>
      <c r="AI160">
        <v>159</v>
      </c>
      <c r="AJ160">
        <v>0.12667413814509582</v>
      </c>
      <c r="AK160">
        <v>0.5</v>
      </c>
    </row>
    <row r="161" spans="12:37" x14ac:dyDescent="0.25">
      <c r="L161">
        <v>160</v>
      </c>
      <c r="M161">
        <v>3.7217279123736874E-2</v>
      </c>
      <c r="N161">
        <v>1.9246038748774232E-4</v>
      </c>
      <c r="O161">
        <v>160</v>
      </c>
      <c r="P161">
        <v>2.627429323534718E-2</v>
      </c>
      <c r="Q161">
        <v>2.0208340686212948E-3</v>
      </c>
      <c r="R161">
        <v>160</v>
      </c>
      <c r="S161">
        <v>1.8986858909491321E-2</v>
      </c>
      <c r="T161">
        <v>2.0208340686212953E-3</v>
      </c>
      <c r="AI161">
        <v>160</v>
      </c>
      <c r="AJ161">
        <v>0.12664046647833857</v>
      </c>
      <c r="AK161">
        <v>1</v>
      </c>
    </row>
    <row r="162" spans="12:37" x14ac:dyDescent="0.25">
      <c r="L162">
        <v>161</v>
      </c>
      <c r="M162">
        <v>3.7149734442705078E-2</v>
      </c>
      <c r="N162">
        <v>2.0208340686212945E-4</v>
      </c>
      <c r="O162">
        <v>161</v>
      </c>
      <c r="P162">
        <v>2.6173846376047159E-2</v>
      </c>
      <c r="Q162">
        <v>2.1218757720523596E-3</v>
      </c>
      <c r="R162">
        <v>161</v>
      </c>
      <c r="S162">
        <v>1.8876831022320663E-2</v>
      </c>
      <c r="T162">
        <v>2.12187577205236E-3</v>
      </c>
      <c r="AI162">
        <v>161</v>
      </c>
      <c r="AJ162">
        <v>0.12660994047778873</v>
      </c>
      <c r="AK162">
        <v>1</v>
      </c>
    </row>
    <row r="163" spans="12:37" x14ac:dyDescent="0.25">
      <c r="L163">
        <v>162</v>
      </c>
      <c r="M163">
        <v>3.7144314430902138E-2</v>
      </c>
      <c r="N163">
        <v>2.1218757720523594E-4</v>
      </c>
      <c r="O163">
        <v>162</v>
      </c>
      <c r="P163">
        <v>2.6065270795828644E-2</v>
      </c>
      <c r="Q163">
        <v>2.2279695606549775E-3</v>
      </c>
      <c r="R163">
        <v>162</v>
      </c>
      <c r="S163">
        <v>1.8712789129504977E-2</v>
      </c>
      <c r="T163">
        <v>2.227969560654978E-3</v>
      </c>
      <c r="AI163">
        <v>162</v>
      </c>
      <c r="AJ163">
        <v>0.12657669537322808</v>
      </c>
      <c r="AK163">
        <v>1</v>
      </c>
    </row>
    <row r="164" spans="12:37" x14ac:dyDescent="0.25">
      <c r="L164">
        <v>163</v>
      </c>
      <c r="M164">
        <v>3.7022912651749035E-2</v>
      </c>
      <c r="N164">
        <v>2.2279695606549775E-4</v>
      </c>
      <c r="O164">
        <v>163</v>
      </c>
      <c r="P164">
        <v>2.5907133182123111E-2</v>
      </c>
      <c r="Q164">
        <v>2.3393680386877263E-3</v>
      </c>
      <c r="R164">
        <v>163</v>
      </c>
      <c r="S164">
        <v>1.8558457881959055E-2</v>
      </c>
      <c r="T164">
        <v>2.3393680386877272E-3</v>
      </c>
      <c r="AI164">
        <v>163</v>
      </c>
      <c r="AJ164">
        <v>0.12652897693024134</v>
      </c>
      <c r="AK164">
        <v>1</v>
      </c>
    </row>
    <row r="165" spans="12:37" x14ac:dyDescent="0.25">
      <c r="L165">
        <v>164</v>
      </c>
      <c r="M165">
        <v>3.6964928276319406E-2</v>
      </c>
      <c r="N165">
        <v>2.3393680386877265E-4</v>
      </c>
      <c r="O165">
        <v>164</v>
      </c>
      <c r="P165">
        <v>2.5757694625238726E-2</v>
      </c>
      <c r="Q165">
        <v>2.4563364406221125E-3</v>
      </c>
      <c r="R165">
        <v>164</v>
      </c>
      <c r="S165">
        <v>1.8424166605806262E-2</v>
      </c>
      <c r="T165">
        <v>2.4563364406221138E-3</v>
      </c>
      <c r="AI165">
        <v>164</v>
      </c>
      <c r="AJ165">
        <v>0.12648220265128379</v>
      </c>
      <c r="AK165">
        <v>1</v>
      </c>
    </row>
    <row r="166" spans="12:37" x14ac:dyDescent="0.25">
      <c r="L166">
        <v>165</v>
      </c>
      <c r="M166">
        <v>3.7027323579835361E-2</v>
      </c>
      <c r="N166">
        <v>2.4563364406221126E-4</v>
      </c>
      <c r="O166">
        <v>165</v>
      </c>
      <c r="P166">
        <v>2.559535617992174E-2</v>
      </c>
      <c r="Q166">
        <v>2.5791532626532184E-3</v>
      </c>
      <c r="R166">
        <v>165</v>
      </c>
      <c r="S166">
        <v>1.8268615021999331E-2</v>
      </c>
      <c r="T166">
        <v>2.5791532626532197E-3</v>
      </c>
      <c r="AI166">
        <v>165</v>
      </c>
      <c r="AJ166">
        <v>0.1263977419006086</v>
      </c>
      <c r="AK166">
        <v>1</v>
      </c>
    </row>
    <row r="167" spans="12:37" x14ac:dyDescent="0.25">
      <c r="L167">
        <v>166</v>
      </c>
      <c r="M167">
        <v>3.6945299911769071E-2</v>
      </c>
      <c r="N167">
        <v>2.4563364406221129E-5</v>
      </c>
      <c r="O167">
        <v>166</v>
      </c>
      <c r="P167">
        <v>2.5729302774872943E-2</v>
      </c>
      <c r="Q167">
        <v>2.7081109257858795E-3</v>
      </c>
      <c r="R167">
        <v>166</v>
      </c>
      <c r="S167">
        <v>1.8087344019489172E-2</v>
      </c>
      <c r="T167">
        <v>2.7081109257858808E-3</v>
      </c>
      <c r="AI167">
        <v>166</v>
      </c>
      <c r="AJ167">
        <v>0.1262647526553618</v>
      </c>
      <c r="AK167">
        <v>1</v>
      </c>
    </row>
    <row r="168" spans="12:37" x14ac:dyDescent="0.25">
      <c r="L168">
        <v>167</v>
      </c>
      <c r="M168">
        <v>3.6933313849217955E-2</v>
      </c>
      <c r="N168">
        <v>2.5791532626532188E-5</v>
      </c>
      <c r="O168">
        <v>167</v>
      </c>
      <c r="P168">
        <v>2.5566060818864991E-2</v>
      </c>
      <c r="Q168">
        <v>2.7081109257858795E-4</v>
      </c>
      <c r="R168">
        <v>167</v>
      </c>
      <c r="S168">
        <v>1.7922443623897506E-2</v>
      </c>
      <c r="T168">
        <v>2.8435164720751749E-3</v>
      </c>
      <c r="AI168">
        <v>167</v>
      </c>
      <c r="AJ168">
        <v>0.1260283487709189</v>
      </c>
      <c r="AK168">
        <v>1</v>
      </c>
    </row>
    <row r="169" spans="12:37" x14ac:dyDescent="0.25">
      <c r="L169">
        <v>168</v>
      </c>
      <c r="M169">
        <v>3.6923263301506658E-2</v>
      </c>
      <c r="N169">
        <v>2.70811092578588E-5</v>
      </c>
      <c r="O169">
        <v>168</v>
      </c>
      <c r="P169">
        <v>2.5544930349880514E-2</v>
      </c>
      <c r="Q169">
        <v>2.8435164720751736E-4</v>
      </c>
      <c r="R169">
        <v>168</v>
      </c>
      <c r="S169">
        <v>1.7763089670480358E-2</v>
      </c>
      <c r="T169">
        <v>2.9856922956789339E-3</v>
      </c>
      <c r="AI169">
        <v>168</v>
      </c>
      <c r="AJ169">
        <v>0.12558157907229012</v>
      </c>
      <c r="AK169">
        <v>1</v>
      </c>
    </row>
    <row r="170" spans="12:37" x14ac:dyDescent="0.25">
      <c r="L170">
        <v>169</v>
      </c>
      <c r="M170">
        <v>3.691440876823996E-2</v>
      </c>
      <c r="N170">
        <v>2.8435164720751743E-5</v>
      </c>
      <c r="O170">
        <v>169</v>
      </c>
      <c r="P170">
        <v>2.5524989387201758E-2</v>
      </c>
      <c r="Q170">
        <v>2.9856922956789323E-4</v>
      </c>
      <c r="R170">
        <v>169</v>
      </c>
      <c r="S170">
        <v>1.7584927157687134E-2</v>
      </c>
      <c r="T170">
        <v>3.1349769104628807E-3</v>
      </c>
      <c r="AI170">
        <v>169</v>
      </c>
      <c r="AJ170">
        <v>0.12452639230652859</v>
      </c>
      <c r="AK170">
        <v>1</v>
      </c>
    </row>
    <row r="171" spans="12:37" x14ac:dyDescent="0.25">
      <c r="L171">
        <v>170</v>
      </c>
      <c r="M171">
        <v>3.6905425258882053E-2</v>
      </c>
      <c r="N171">
        <v>2.9856922956789331E-5</v>
      </c>
      <c r="O171">
        <v>170</v>
      </c>
      <c r="P171">
        <v>2.5505015004445176E-2</v>
      </c>
      <c r="Q171">
        <v>3.1349769104628788E-4</v>
      </c>
      <c r="R171">
        <v>170</v>
      </c>
      <c r="S171">
        <v>1.740602301438E-2</v>
      </c>
      <c r="T171">
        <v>3.2917257559860248E-3</v>
      </c>
      <c r="AI171">
        <v>170</v>
      </c>
      <c r="AJ171">
        <v>0.12362068802061263</v>
      </c>
      <c r="AK171">
        <v>0.5</v>
      </c>
    </row>
    <row r="172" spans="12:37" x14ac:dyDescent="0.25">
      <c r="L172">
        <v>171</v>
      </c>
      <c r="M172">
        <v>3.6895603259127815E-2</v>
      </c>
      <c r="N172">
        <v>3.1349769104628801E-5</v>
      </c>
      <c r="O172">
        <v>171</v>
      </c>
      <c r="P172">
        <v>2.5483745155868816E-2</v>
      </c>
      <c r="Q172">
        <v>3.2917257559860228E-4</v>
      </c>
      <c r="R172">
        <v>171</v>
      </c>
      <c r="S172">
        <v>1.7234056234037422E-2</v>
      </c>
      <c r="T172">
        <v>3.4563120437853261E-3</v>
      </c>
      <c r="AI172">
        <v>171</v>
      </c>
      <c r="AJ172">
        <v>0.12323580545142374</v>
      </c>
      <c r="AK172">
        <v>0.5</v>
      </c>
    </row>
    <row r="173" spans="12:37" x14ac:dyDescent="0.25">
      <c r="L173">
        <v>172</v>
      </c>
      <c r="M173">
        <v>3.6885809123223486E-2</v>
      </c>
      <c r="N173">
        <v>3.2917257559860243E-5</v>
      </c>
      <c r="O173">
        <v>172</v>
      </c>
      <c r="P173">
        <v>2.5460866947866256E-2</v>
      </c>
      <c r="Q173">
        <v>3.4563120437853243E-4</v>
      </c>
      <c r="R173">
        <v>172</v>
      </c>
      <c r="S173">
        <v>1.7042851492685942E-2</v>
      </c>
      <c r="T173">
        <v>3.6291276459745926E-3</v>
      </c>
      <c r="AI173">
        <v>172</v>
      </c>
      <c r="AJ173">
        <v>0.12220147124600417</v>
      </c>
      <c r="AK173">
        <v>1</v>
      </c>
    </row>
    <row r="174" spans="12:37" x14ac:dyDescent="0.25">
      <c r="L174">
        <v>173</v>
      </c>
      <c r="M174">
        <v>3.6875751293007485E-2</v>
      </c>
      <c r="N174">
        <v>3.4563120437853254E-5</v>
      </c>
      <c r="O174">
        <v>173</v>
      </c>
      <c r="P174">
        <v>2.5437805560370518E-2</v>
      </c>
      <c r="Q174">
        <v>3.6291276459745909E-4</v>
      </c>
      <c r="R174">
        <v>173</v>
      </c>
      <c r="S174">
        <v>1.6861347024696025E-2</v>
      </c>
      <c r="T174">
        <v>3.8105840282733226E-3</v>
      </c>
      <c r="AI174">
        <v>173</v>
      </c>
      <c r="AJ174">
        <v>0.12195952137771184</v>
      </c>
      <c r="AK174">
        <v>0.5</v>
      </c>
    </row>
    <row r="175" spans="12:37" x14ac:dyDescent="0.25">
      <c r="L175">
        <v>174</v>
      </c>
      <c r="M175">
        <v>3.6865050941295892E-2</v>
      </c>
      <c r="N175">
        <v>3.629127645974592E-5</v>
      </c>
      <c r="O175">
        <v>174</v>
      </c>
      <c r="P175">
        <v>2.5415477521503676E-2</v>
      </c>
      <c r="Q175">
        <v>3.8105840282733207E-4</v>
      </c>
      <c r="R175">
        <v>174</v>
      </c>
      <c r="S175">
        <v>1.6673111205447701E-2</v>
      </c>
      <c r="T175">
        <v>4.0011132296869888E-3</v>
      </c>
      <c r="AI175">
        <v>174</v>
      </c>
      <c r="AJ175">
        <v>0.12140121812422336</v>
      </c>
      <c r="AK175">
        <v>1</v>
      </c>
    </row>
    <row r="176" spans="12:37" x14ac:dyDescent="0.25">
      <c r="L176">
        <v>175</v>
      </c>
      <c r="M176">
        <v>3.6854103030323757E-2</v>
      </c>
      <c r="N176">
        <v>3.8105840282733214E-5</v>
      </c>
      <c r="O176">
        <v>175</v>
      </c>
      <c r="P176">
        <v>2.5389395918821108E-2</v>
      </c>
      <c r="Q176">
        <v>4.0011132296869869E-4</v>
      </c>
      <c r="R176">
        <v>175</v>
      </c>
      <c r="S176">
        <v>1.6493401970643973E-2</v>
      </c>
      <c r="T176">
        <v>4.201168891171338E-3</v>
      </c>
      <c r="AI176">
        <v>175</v>
      </c>
      <c r="AJ176">
        <v>0.12108073165639831</v>
      </c>
      <c r="AK176">
        <v>1</v>
      </c>
    </row>
    <row r="177" spans="12:37" x14ac:dyDescent="0.25">
      <c r="L177">
        <v>176</v>
      </c>
      <c r="M177">
        <v>3.6842248988584299E-2</v>
      </c>
      <c r="N177">
        <v>4.0011132296869877E-5</v>
      </c>
      <c r="O177">
        <v>176</v>
      </c>
      <c r="P177">
        <v>2.5362897201320612E-2</v>
      </c>
      <c r="Q177">
        <v>4.2011688911713365E-4</v>
      </c>
      <c r="R177">
        <v>176</v>
      </c>
      <c r="S177">
        <v>1.6286590375868642E-2</v>
      </c>
      <c r="T177">
        <v>4.411227335729905E-3</v>
      </c>
      <c r="AI177">
        <v>176</v>
      </c>
      <c r="AJ177">
        <v>0.12078533732249475</v>
      </c>
      <c r="AK177">
        <v>1</v>
      </c>
    </row>
    <row r="178" spans="12:37" x14ac:dyDescent="0.25">
      <c r="L178">
        <v>177</v>
      </c>
      <c r="M178">
        <v>3.6830321526940886E-2</v>
      </c>
      <c r="N178">
        <v>4.2011688911713376E-5</v>
      </c>
      <c r="O178">
        <v>177</v>
      </c>
      <c r="P178">
        <v>2.5334335688944082E-2</v>
      </c>
      <c r="Q178">
        <v>4.4112273357299034E-4</v>
      </c>
      <c r="R178">
        <v>177</v>
      </c>
      <c r="S178">
        <v>1.6088743742739067E-2</v>
      </c>
      <c r="T178">
        <v>4.6317887025164005E-3</v>
      </c>
      <c r="AI178">
        <v>177</v>
      </c>
      <c r="AJ178">
        <v>0.12039642824046398</v>
      </c>
      <c r="AK178">
        <v>1</v>
      </c>
    </row>
    <row r="179" spans="12:37" x14ac:dyDescent="0.25">
      <c r="L179">
        <v>178</v>
      </c>
      <c r="M179">
        <v>3.6817268162187743E-2</v>
      </c>
      <c r="N179">
        <v>4.4112273357299043E-5</v>
      </c>
      <c r="O179">
        <v>178</v>
      </c>
      <c r="P179">
        <v>2.5303786019533352E-2</v>
      </c>
      <c r="Q179">
        <v>4.6317887025163986E-4</v>
      </c>
      <c r="R179">
        <v>178</v>
      </c>
      <c r="S179">
        <v>1.5888356197951065E-2</v>
      </c>
      <c r="T179">
        <v>4.8633781376422203E-3</v>
      </c>
      <c r="AI179">
        <v>178</v>
      </c>
      <c r="AJ179">
        <v>0.11995241382935826</v>
      </c>
      <c r="AK179">
        <v>1</v>
      </c>
    </row>
    <row r="180" spans="12:37" x14ac:dyDescent="0.25">
      <c r="L180">
        <v>179</v>
      </c>
      <c r="M180">
        <v>3.6806811754000343E-2</v>
      </c>
      <c r="N180">
        <v>4.6317887025163997E-5</v>
      </c>
      <c r="O180">
        <v>179</v>
      </c>
      <c r="P180">
        <v>2.5271331156126529E-2</v>
      </c>
      <c r="Q180">
        <v>4.863378137642219E-4</v>
      </c>
      <c r="R180">
        <v>179</v>
      </c>
      <c r="S180">
        <v>1.5762507098075598E-2</v>
      </c>
      <c r="T180">
        <v>5.1065470445243316E-3</v>
      </c>
      <c r="AI180">
        <v>179</v>
      </c>
      <c r="AJ180">
        <v>0.11974300232418859</v>
      </c>
      <c r="AK180">
        <v>1</v>
      </c>
    </row>
    <row r="181" spans="12:37" x14ac:dyDescent="0.25">
      <c r="L181">
        <v>180</v>
      </c>
      <c r="M181">
        <v>3.6789848198337742E-2</v>
      </c>
      <c r="N181">
        <v>4.8633781376422197E-5</v>
      </c>
      <c r="O181">
        <v>180</v>
      </c>
      <c r="P181">
        <v>2.5236620554634638E-2</v>
      </c>
      <c r="Q181">
        <v>5.1065470445243305E-4</v>
      </c>
      <c r="R181">
        <v>180</v>
      </c>
      <c r="S181">
        <v>1.5659500881065758E-2</v>
      </c>
      <c r="T181">
        <v>5.3618743967505482E-3</v>
      </c>
      <c r="AI181">
        <v>180</v>
      </c>
      <c r="AJ181">
        <v>0.11962117394139582</v>
      </c>
      <c r="AK181">
        <v>1</v>
      </c>
    </row>
    <row r="182" spans="12:37" x14ac:dyDescent="0.25">
      <c r="L182">
        <v>181</v>
      </c>
      <c r="M182">
        <v>3.6775193936163353E-2</v>
      </c>
      <c r="N182">
        <v>5.1065470445243308E-5</v>
      </c>
      <c r="O182">
        <v>181</v>
      </c>
      <c r="P182">
        <v>2.5201990427023483E-2</v>
      </c>
      <c r="Q182">
        <v>5.3618743967505475E-4</v>
      </c>
      <c r="R182">
        <v>181</v>
      </c>
      <c r="S182">
        <v>1.5299308036766945E-2</v>
      </c>
      <c r="T182">
        <v>5.629968116588076E-3</v>
      </c>
      <c r="AI182">
        <v>181</v>
      </c>
      <c r="AJ182">
        <v>0.11948350253779422</v>
      </c>
      <c r="AK182">
        <v>1</v>
      </c>
    </row>
    <row r="183" spans="12:37" x14ac:dyDescent="0.25">
      <c r="L183">
        <v>182</v>
      </c>
      <c r="M183">
        <v>3.6759810259946506E-2</v>
      </c>
      <c r="N183">
        <v>5.3618743967505474E-5</v>
      </c>
      <c r="O183">
        <v>182</v>
      </c>
      <c r="P183">
        <v>2.516048709265524E-2</v>
      </c>
      <c r="Q183">
        <v>5.6299681165880751E-4</v>
      </c>
      <c r="R183">
        <v>182</v>
      </c>
      <c r="S183">
        <v>1.5165607678041695E-2</v>
      </c>
      <c r="T183">
        <v>5.9114665224174797E-3</v>
      </c>
      <c r="AI183">
        <v>182</v>
      </c>
      <c r="AJ183">
        <v>0.11939019234138255</v>
      </c>
      <c r="AK183">
        <v>0.5</v>
      </c>
    </row>
    <row r="184" spans="12:37" x14ac:dyDescent="0.25">
      <c r="L184">
        <v>183</v>
      </c>
      <c r="M184">
        <v>3.6747552328956205E-2</v>
      </c>
      <c r="N184">
        <v>5.6299681165880751E-5</v>
      </c>
      <c r="O184">
        <v>183</v>
      </c>
      <c r="P184">
        <v>2.5124765811137591E-2</v>
      </c>
      <c r="Q184">
        <v>5.9114665224174788E-4</v>
      </c>
      <c r="R184">
        <v>183</v>
      </c>
      <c r="S184">
        <v>1.4974128213999632E-2</v>
      </c>
      <c r="T184">
        <v>6.2070398485383543E-3</v>
      </c>
      <c r="AI184">
        <v>183</v>
      </c>
      <c r="AJ184">
        <v>0.11916912997471533</v>
      </c>
      <c r="AK184">
        <v>1</v>
      </c>
    </row>
    <row r="185" spans="12:37" x14ac:dyDescent="0.25">
      <c r="L185">
        <v>184</v>
      </c>
      <c r="M185">
        <v>3.6727457035665531E-2</v>
      </c>
      <c r="N185">
        <v>5.9114665224174794E-5</v>
      </c>
      <c r="O185">
        <v>184</v>
      </c>
      <c r="P185">
        <v>2.5085757096357682E-2</v>
      </c>
      <c r="Q185">
        <v>6.2070398485383532E-4</v>
      </c>
      <c r="R185">
        <v>184</v>
      </c>
      <c r="S185">
        <v>1.490006515534976E-2</v>
      </c>
      <c r="T185">
        <v>6.5173918409652722E-3</v>
      </c>
      <c r="AI185">
        <v>184</v>
      </c>
      <c r="AJ185">
        <v>0.11868385778587638</v>
      </c>
      <c r="AK185">
        <v>1</v>
      </c>
    </row>
    <row r="186" spans="12:37" x14ac:dyDescent="0.25">
      <c r="L186">
        <v>185</v>
      </c>
      <c r="M186">
        <v>3.6709536434889507E-2</v>
      </c>
      <c r="N186">
        <v>6.2070398485383532E-5</v>
      </c>
      <c r="O186">
        <v>185</v>
      </c>
      <c r="P186">
        <v>2.5043869583918771E-2</v>
      </c>
      <c r="Q186">
        <v>6.5173918409652711E-4</v>
      </c>
      <c r="R186">
        <v>185</v>
      </c>
      <c r="S186">
        <v>1.4572996371960282E-2</v>
      </c>
      <c r="T186">
        <v>6.8432614330135363E-3</v>
      </c>
      <c r="AI186">
        <v>185</v>
      </c>
      <c r="AJ186">
        <v>0.11789966478981811</v>
      </c>
      <c r="AK186">
        <v>1</v>
      </c>
    </row>
    <row r="187" spans="12:37" x14ac:dyDescent="0.25">
      <c r="L187">
        <v>186</v>
      </c>
      <c r="M187">
        <v>3.669093497243088E-2</v>
      </c>
      <c r="N187">
        <v>6.5173918409652711E-5</v>
      </c>
      <c r="O187">
        <v>186</v>
      </c>
      <c r="P187">
        <v>2.5000587932564829E-2</v>
      </c>
      <c r="Q187">
        <v>6.843261433013535E-4</v>
      </c>
      <c r="R187">
        <v>186</v>
      </c>
      <c r="S187">
        <v>1.4646232853447346E-2</v>
      </c>
      <c r="T187">
        <v>7.1854245046642133E-3</v>
      </c>
      <c r="AI187">
        <v>186</v>
      </c>
      <c r="AJ187">
        <v>0.11731559667034343</v>
      </c>
      <c r="AK187">
        <v>0.25</v>
      </c>
    </row>
    <row r="188" spans="12:37" x14ac:dyDescent="0.25">
      <c r="L188">
        <v>187</v>
      </c>
      <c r="M188">
        <v>3.6673753206906655E-2</v>
      </c>
      <c r="N188">
        <v>6.8432614330135344E-5</v>
      </c>
      <c r="O188">
        <v>187</v>
      </c>
      <c r="P188">
        <v>2.4962189437599733E-2</v>
      </c>
      <c r="Q188">
        <v>7.1854245046642118E-4</v>
      </c>
      <c r="R188">
        <v>187</v>
      </c>
      <c r="S188">
        <v>1.4578243997205169E-2</v>
      </c>
      <c r="T188">
        <v>7.185424504664214E-4</v>
      </c>
      <c r="AI188">
        <v>187</v>
      </c>
      <c r="AJ188">
        <v>0.11632428272979403</v>
      </c>
      <c r="AK188">
        <v>1</v>
      </c>
    </row>
    <row r="189" spans="12:37" x14ac:dyDescent="0.25">
      <c r="L189">
        <v>188</v>
      </c>
      <c r="M189">
        <v>3.6652114560337415E-2</v>
      </c>
      <c r="N189">
        <v>7.185424504664211E-5</v>
      </c>
      <c r="O189">
        <v>188</v>
      </c>
      <c r="P189">
        <v>2.4913820821748339E-2</v>
      </c>
      <c r="Q189">
        <v>7.5446957298974226E-4</v>
      </c>
      <c r="R189">
        <v>188</v>
      </c>
      <c r="S189">
        <v>1.4553529659338118E-2</v>
      </c>
      <c r="T189">
        <v>7.1854245046642137E-5</v>
      </c>
      <c r="AI189">
        <v>188</v>
      </c>
      <c r="AJ189">
        <v>0.11564612059996064</v>
      </c>
      <c r="AK189">
        <v>0.5</v>
      </c>
    </row>
    <row r="190" spans="12:37" x14ac:dyDescent="0.25">
      <c r="L190">
        <v>189</v>
      </c>
      <c r="M190">
        <v>3.6631499468774489E-2</v>
      </c>
      <c r="N190">
        <v>7.5446957298974218E-5</v>
      </c>
      <c r="O190">
        <v>189</v>
      </c>
      <c r="P190">
        <v>2.4863783490868679E-2</v>
      </c>
      <c r="Q190">
        <v>7.9219305163922941E-4</v>
      </c>
      <c r="R190">
        <v>189</v>
      </c>
      <c r="S190">
        <v>1.4529146497295874E-2</v>
      </c>
      <c r="T190">
        <v>7.5446957298974245E-5</v>
      </c>
      <c r="AI190">
        <v>189</v>
      </c>
      <c r="AJ190">
        <v>0.11442714122267268</v>
      </c>
      <c r="AK190">
        <v>1</v>
      </c>
    </row>
    <row r="191" spans="12:37" x14ac:dyDescent="0.25">
      <c r="L191">
        <v>190</v>
      </c>
      <c r="M191">
        <v>3.6608829863324116E-2</v>
      </c>
      <c r="N191">
        <v>7.9219305163922928E-5</v>
      </c>
      <c r="O191">
        <v>190</v>
      </c>
      <c r="P191">
        <v>2.4812298689313422E-2</v>
      </c>
      <c r="Q191">
        <v>8.3180270422119089E-4</v>
      </c>
      <c r="R191">
        <v>190</v>
      </c>
      <c r="S191">
        <v>1.4514367781008479E-2</v>
      </c>
      <c r="T191">
        <v>7.9219305163922955E-5</v>
      </c>
      <c r="AI191">
        <v>190</v>
      </c>
      <c r="AJ191">
        <v>0.11379408192723364</v>
      </c>
      <c r="AK191">
        <v>1</v>
      </c>
    </row>
    <row r="192" spans="12:37" x14ac:dyDescent="0.25">
      <c r="L192">
        <v>191</v>
      </c>
      <c r="M192">
        <v>3.6585617150451055E-2</v>
      </c>
      <c r="N192">
        <v>8.3180270422119078E-5</v>
      </c>
      <c r="O192">
        <v>191</v>
      </c>
      <c r="P192">
        <v>2.4778302250972509E-2</v>
      </c>
      <c r="Q192">
        <v>8.7339283943225045E-4</v>
      </c>
      <c r="R192">
        <v>191</v>
      </c>
      <c r="S192">
        <v>1.4507393833714823E-2</v>
      </c>
      <c r="T192">
        <v>8.3180270422119105E-5</v>
      </c>
      <c r="AI192">
        <v>191</v>
      </c>
      <c r="AJ192">
        <v>0.11300047007159916</v>
      </c>
      <c r="AK192">
        <v>1</v>
      </c>
    </row>
    <row r="193" spans="12:37" x14ac:dyDescent="0.25">
      <c r="L193">
        <v>192</v>
      </c>
      <c r="M193">
        <v>3.6564210789688648E-2</v>
      </c>
      <c r="N193">
        <v>8.7339283943225037E-5</v>
      </c>
      <c r="O193">
        <v>192</v>
      </c>
      <c r="P193">
        <v>2.4709720929987557E-2</v>
      </c>
      <c r="Q193">
        <v>9.1706248140386302E-4</v>
      </c>
      <c r="R193">
        <v>192</v>
      </c>
      <c r="S193">
        <v>1.4504951198532144E-2</v>
      </c>
      <c r="T193">
        <v>8.7339283943225064E-5</v>
      </c>
      <c r="AI193">
        <v>192</v>
      </c>
      <c r="AJ193">
        <v>0.11186101910218793</v>
      </c>
      <c r="AK193">
        <v>0.5</v>
      </c>
    </row>
    <row r="194" spans="12:37" x14ac:dyDescent="0.25">
      <c r="L194">
        <v>193</v>
      </c>
      <c r="M194">
        <v>3.6538922178511117E-2</v>
      </c>
      <c r="N194">
        <v>9.1706248140386296E-5</v>
      </c>
      <c r="O194">
        <v>193</v>
      </c>
      <c r="P194">
        <v>2.4652414026454364E-2</v>
      </c>
      <c r="Q194">
        <v>9.6291560547405626E-4</v>
      </c>
      <c r="R194">
        <v>193</v>
      </c>
      <c r="S194">
        <v>1.4502423404338726E-2</v>
      </c>
      <c r="T194">
        <v>9.1706248140386323E-5</v>
      </c>
      <c r="AI194">
        <v>193</v>
      </c>
      <c r="AJ194">
        <v>0.11038415741695305</v>
      </c>
      <c r="AK194">
        <v>0.5</v>
      </c>
    </row>
    <row r="195" spans="12:37" x14ac:dyDescent="0.25">
      <c r="L195">
        <v>194</v>
      </c>
      <c r="M195">
        <v>3.65114761580543E-2</v>
      </c>
      <c r="N195">
        <v>9.6291560547405615E-5</v>
      </c>
      <c r="O195">
        <v>194</v>
      </c>
      <c r="P195">
        <v>2.4595768612840248E-2</v>
      </c>
      <c r="Q195">
        <v>1.0110613857477592E-3</v>
      </c>
      <c r="R195">
        <v>194</v>
      </c>
      <c r="S195">
        <v>1.4499290096241266E-2</v>
      </c>
      <c r="T195">
        <v>9.6291560547405642E-5</v>
      </c>
      <c r="AI195">
        <v>194</v>
      </c>
      <c r="AJ195">
        <v>0.1095289887693749</v>
      </c>
      <c r="AK195">
        <v>0.125</v>
      </c>
    </row>
    <row r="196" spans="12:37" x14ac:dyDescent="0.25">
      <c r="L196">
        <v>195</v>
      </c>
      <c r="M196">
        <v>3.6483544515557728E-2</v>
      </c>
      <c r="N196">
        <v>1.011061385747759E-4</v>
      </c>
      <c r="O196">
        <v>195</v>
      </c>
      <c r="P196">
        <v>2.4533075108381933E-2</v>
      </c>
      <c r="Q196">
        <v>1.0616144550351472E-3</v>
      </c>
      <c r="R196">
        <v>195</v>
      </c>
      <c r="S196">
        <v>1.4496234534068109E-2</v>
      </c>
      <c r="T196">
        <v>1.0110613857477593E-4</v>
      </c>
      <c r="AI196">
        <v>195</v>
      </c>
      <c r="AJ196">
        <v>0.10761259670615997</v>
      </c>
      <c r="AK196">
        <v>1</v>
      </c>
    </row>
    <row r="197" spans="12:37" x14ac:dyDescent="0.25">
      <c r="L197">
        <v>196</v>
      </c>
      <c r="M197">
        <v>3.647306383307166E-2</v>
      </c>
      <c r="N197">
        <v>1.061614455035147E-4</v>
      </c>
      <c r="O197">
        <v>196</v>
      </c>
      <c r="P197">
        <v>2.4462597630116458E-2</v>
      </c>
      <c r="Q197">
        <v>1.1146951777869045E-3</v>
      </c>
      <c r="R197">
        <v>196</v>
      </c>
      <c r="S197">
        <v>1.4492588179466321E-2</v>
      </c>
      <c r="T197">
        <v>1.0616144550351472E-4</v>
      </c>
      <c r="AI197">
        <v>196</v>
      </c>
      <c r="AJ197">
        <v>0.10587998465722374</v>
      </c>
      <c r="AK197">
        <v>1</v>
      </c>
    </row>
    <row r="198" spans="12:37" x14ac:dyDescent="0.25">
      <c r="L198">
        <v>197</v>
      </c>
      <c r="M198">
        <v>3.6429309500638093E-2</v>
      </c>
      <c r="N198">
        <v>1.1146951777869043E-4</v>
      </c>
      <c r="O198">
        <v>197</v>
      </c>
      <c r="P198">
        <v>2.4394004011399902E-2</v>
      </c>
      <c r="Q198">
        <v>1.1704299366762498E-3</v>
      </c>
      <c r="R198">
        <v>197</v>
      </c>
      <c r="S198">
        <v>1.4489092313909298E-2</v>
      </c>
      <c r="T198">
        <v>1.1146951777869046E-4</v>
      </c>
      <c r="AI198">
        <v>197</v>
      </c>
      <c r="AJ198">
        <v>0.10555513875856895</v>
      </c>
      <c r="AK198">
        <v>1</v>
      </c>
    </row>
    <row r="199" spans="12:37" x14ac:dyDescent="0.25">
      <c r="L199">
        <v>198</v>
      </c>
      <c r="M199">
        <v>3.6396447347270926E-2</v>
      </c>
      <c r="N199">
        <v>1.1704299366762496E-4</v>
      </c>
      <c r="O199">
        <v>198</v>
      </c>
      <c r="P199">
        <v>2.432739132073676E-2</v>
      </c>
      <c r="Q199">
        <v>1.2289514335100623E-3</v>
      </c>
      <c r="R199">
        <v>198</v>
      </c>
      <c r="S199">
        <v>1.4485873621956979E-2</v>
      </c>
      <c r="T199">
        <v>1.1704299366762498E-4</v>
      </c>
      <c r="AI199">
        <v>198</v>
      </c>
      <c r="AJ199">
        <v>0.1054045444778417</v>
      </c>
      <c r="AK199">
        <v>0.5</v>
      </c>
    </row>
    <row r="200" spans="12:37" x14ac:dyDescent="0.25">
      <c r="L200">
        <v>199</v>
      </c>
      <c r="M200">
        <v>3.6362306402825076E-2</v>
      </c>
      <c r="N200">
        <v>1.228951433510062E-4</v>
      </c>
      <c r="O200">
        <v>199</v>
      </c>
      <c r="P200">
        <v>2.4250478111413565E-2</v>
      </c>
      <c r="Q200">
        <v>1.2903990051855655E-3</v>
      </c>
      <c r="R200">
        <v>199</v>
      </c>
      <c r="S200">
        <v>1.4482135515231174E-2</v>
      </c>
      <c r="T200">
        <v>1.2289514335100623E-4</v>
      </c>
      <c r="AI200">
        <v>199</v>
      </c>
      <c r="AJ200">
        <v>0.10507416577475041</v>
      </c>
      <c r="AK200">
        <v>1</v>
      </c>
    </row>
    <row r="201" spans="12:37" x14ac:dyDescent="0.25">
      <c r="L201">
        <v>200</v>
      </c>
      <c r="M201">
        <v>3.6331141913618081E-2</v>
      </c>
      <c r="N201">
        <v>1.2903990051855652E-4</v>
      </c>
      <c r="O201">
        <v>200</v>
      </c>
      <c r="P201">
        <v>2.41826303413928E-2</v>
      </c>
      <c r="Q201">
        <v>1.3549189554448438E-3</v>
      </c>
      <c r="R201">
        <v>200</v>
      </c>
      <c r="S201">
        <v>1.4478291236452886E-2</v>
      </c>
      <c r="T201">
        <v>1.2903990051855654E-4</v>
      </c>
      <c r="AI201">
        <v>200</v>
      </c>
      <c r="AJ201">
        <v>0.10393724144722466</v>
      </c>
      <c r="AK201">
        <v>1</v>
      </c>
    </row>
    <row r="202" spans="12:37" x14ac:dyDescent="0.25">
      <c r="L202">
        <v>201</v>
      </c>
      <c r="M202">
        <v>3.6293991369033982E-2</v>
      </c>
      <c r="N202">
        <v>1.3549189554448433E-4</v>
      </c>
      <c r="O202">
        <v>201</v>
      </c>
      <c r="P202">
        <v>2.4164688336874303E-2</v>
      </c>
      <c r="Q202">
        <v>1.4226649032170861E-3</v>
      </c>
      <c r="R202">
        <v>201</v>
      </c>
      <c r="S202">
        <v>1.4474332673835067E-2</v>
      </c>
      <c r="T202">
        <v>1.3549189554448439E-4</v>
      </c>
      <c r="AI202">
        <v>201</v>
      </c>
      <c r="AJ202">
        <v>0.10096215118198333</v>
      </c>
      <c r="AK202">
        <v>1</v>
      </c>
    </row>
    <row r="203" spans="12:37" x14ac:dyDescent="0.25">
      <c r="L203">
        <v>202</v>
      </c>
      <c r="M203">
        <v>3.6264613372737307E-2</v>
      </c>
      <c r="N203">
        <v>1.4226649032170855E-4</v>
      </c>
      <c r="O203">
        <v>202</v>
      </c>
      <c r="P203">
        <v>2.401534382304997E-2</v>
      </c>
      <c r="Q203">
        <v>1.4937981483779405E-3</v>
      </c>
      <c r="R203">
        <v>202</v>
      </c>
      <c r="S203">
        <v>1.4470275751365939E-2</v>
      </c>
      <c r="T203">
        <v>1.4226649032170861E-4</v>
      </c>
      <c r="AI203">
        <v>202</v>
      </c>
      <c r="AJ203">
        <v>9.7692453661681319E-2</v>
      </c>
      <c r="AK203">
        <v>1</v>
      </c>
    </row>
    <row r="204" spans="12:37" x14ac:dyDescent="0.25">
      <c r="L204">
        <v>203</v>
      </c>
      <c r="M204">
        <v>3.6267294491319359E-2</v>
      </c>
      <c r="N204">
        <v>1.4937981483779399E-4</v>
      </c>
      <c r="O204">
        <v>203</v>
      </c>
      <c r="P204">
        <v>2.3935156424357989E-2</v>
      </c>
      <c r="Q204">
        <v>1.5684880557968377E-3</v>
      </c>
      <c r="R204">
        <v>203</v>
      </c>
      <c r="S204">
        <v>1.4466303096760417E-2</v>
      </c>
      <c r="T204">
        <v>1.4937981483779405E-4</v>
      </c>
      <c r="AI204">
        <v>203</v>
      </c>
      <c r="AJ204">
        <v>9.3899580532902885E-2</v>
      </c>
      <c r="AK204">
        <v>1</v>
      </c>
    </row>
    <row r="205" spans="12:37" x14ac:dyDescent="0.25">
      <c r="L205">
        <v>204</v>
      </c>
      <c r="M205">
        <v>3.6257647463529677E-2</v>
      </c>
      <c r="N205">
        <v>1.49379814837794E-5</v>
      </c>
      <c r="O205">
        <v>204</v>
      </c>
      <c r="P205">
        <v>2.3837313689243734E-2</v>
      </c>
      <c r="Q205">
        <v>1.6469124585866796E-3</v>
      </c>
      <c r="R205">
        <v>204</v>
      </c>
      <c r="S205">
        <v>1.4461531283926011E-2</v>
      </c>
      <c r="T205">
        <v>1.5684880557968376E-4</v>
      </c>
      <c r="AI205">
        <v>204</v>
      </c>
      <c r="AJ205">
        <v>9.0347227785168863E-2</v>
      </c>
      <c r="AK205">
        <v>1</v>
      </c>
    </row>
    <row r="206" spans="12:37" x14ac:dyDescent="0.25">
      <c r="L206">
        <v>205</v>
      </c>
      <c r="M206">
        <v>3.625196602313463E-2</v>
      </c>
      <c r="N206">
        <v>1.568488055796837E-5</v>
      </c>
      <c r="O206">
        <v>205</v>
      </c>
      <c r="P206">
        <v>2.3735500653071246E-2</v>
      </c>
      <c r="Q206">
        <v>1.7292580815160138E-3</v>
      </c>
      <c r="R206">
        <v>205</v>
      </c>
      <c r="S206">
        <v>1.445701553915724E-2</v>
      </c>
      <c r="T206">
        <v>1.6469124585866796E-4</v>
      </c>
      <c r="AI206">
        <v>205</v>
      </c>
      <c r="AJ206">
        <v>8.9294802907500567E-2</v>
      </c>
      <c r="AK206">
        <v>0.125</v>
      </c>
    </row>
    <row r="207" spans="12:37" x14ac:dyDescent="0.25">
      <c r="L207">
        <v>206</v>
      </c>
      <c r="M207">
        <v>3.6246956432519913E-2</v>
      </c>
      <c r="N207">
        <v>1.6469124585866788E-5</v>
      </c>
      <c r="O207">
        <v>206</v>
      </c>
      <c r="P207">
        <v>2.3648498240301834E-2</v>
      </c>
      <c r="Q207">
        <v>1.8157209855918146E-3</v>
      </c>
      <c r="R207">
        <v>206</v>
      </c>
      <c r="S207">
        <v>1.4452342287622466E-2</v>
      </c>
      <c r="T207">
        <v>1.7292580815160137E-4</v>
      </c>
      <c r="AI207">
        <v>206</v>
      </c>
      <c r="AJ207">
        <v>8.5445890526150467E-2</v>
      </c>
      <c r="AK207">
        <v>1</v>
      </c>
    </row>
    <row r="208" spans="12:37" x14ac:dyDescent="0.25">
      <c r="L208">
        <v>207</v>
      </c>
      <c r="M208">
        <v>3.6241880075269385E-2</v>
      </c>
      <c r="N208">
        <v>1.7292580815160127E-5</v>
      </c>
      <c r="O208">
        <v>207</v>
      </c>
      <c r="P208">
        <v>2.3581417387380253E-2</v>
      </c>
      <c r="Q208">
        <v>1.9065070348714055E-3</v>
      </c>
      <c r="R208">
        <v>207</v>
      </c>
      <c r="S208">
        <v>1.4447137282642479E-2</v>
      </c>
      <c r="T208">
        <v>1.8157209855918145E-4</v>
      </c>
      <c r="AI208">
        <v>207</v>
      </c>
      <c r="AJ208">
        <v>7.8015865911070806E-2</v>
      </c>
      <c r="AK208">
        <v>1</v>
      </c>
    </row>
    <row r="209" spans="12:37" x14ac:dyDescent="0.25">
      <c r="L209">
        <v>208</v>
      </c>
      <c r="M209">
        <v>3.6236972551505757E-2</v>
      </c>
      <c r="N209">
        <v>1.8157209855918134E-5</v>
      </c>
      <c r="O209">
        <v>208</v>
      </c>
      <c r="P209">
        <v>2.3477565120883604E-2</v>
      </c>
      <c r="Q209">
        <v>2.001832386614976E-3</v>
      </c>
      <c r="R209">
        <v>208</v>
      </c>
      <c r="S209">
        <v>1.4441802988181053E-2</v>
      </c>
      <c r="T209">
        <v>1.9065070348714053E-4</v>
      </c>
      <c r="AI209">
        <v>208</v>
      </c>
      <c r="AJ209">
        <v>7.5672668408779536E-2</v>
      </c>
      <c r="AK209">
        <v>0.25</v>
      </c>
    </row>
    <row r="210" spans="12:37" x14ac:dyDescent="0.25">
      <c r="L210">
        <v>209</v>
      </c>
      <c r="M210">
        <v>3.6232180393814324E-2</v>
      </c>
      <c r="N210">
        <v>1.9065070348714041E-5</v>
      </c>
      <c r="O210">
        <v>209</v>
      </c>
      <c r="P210">
        <v>2.3340722707471086E-2</v>
      </c>
      <c r="Q210">
        <v>2.1019240059457251E-3</v>
      </c>
      <c r="R210">
        <v>209</v>
      </c>
      <c r="S210">
        <v>1.4436183316983292E-2</v>
      </c>
      <c r="T210">
        <v>2.0018323866149756E-4</v>
      </c>
      <c r="AI210">
        <v>209</v>
      </c>
      <c r="AJ210">
        <v>6.8542000466876779E-2</v>
      </c>
      <c r="AK210">
        <v>1</v>
      </c>
    </row>
    <row r="211" spans="12:37" x14ac:dyDescent="0.25">
      <c r="L211">
        <v>210</v>
      </c>
      <c r="M211">
        <v>3.6227200812404721E-2</v>
      </c>
      <c r="N211">
        <v>2.0018323866149743E-5</v>
      </c>
      <c r="O211">
        <v>210</v>
      </c>
      <c r="P211">
        <v>2.3224410064175853E-2</v>
      </c>
      <c r="Q211">
        <v>2.2070202062430115E-3</v>
      </c>
      <c r="R211">
        <v>210</v>
      </c>
      <c r="S211">
        <v>1.4430662586527006E-2</v>
      </c>
      <c r="T211">
        <v>2.1019240059457246E-4</v>
      </c>
      <c r="AI211">
        <v>210</v>
      </c>
      <c r="AJ211">
        <v>6.0667119515954646E-2</v>
      </c>
      <c r="AK211">
        <v>0.5</v>
      </c>
    </row>
    <row r="212" spans="12:37" x14ac:dyDescent="0.25">
      <c r="L212">
        <v>211</v>
      </c>
      <c r="M212">
        <v>3.622186387110133E-2</v>
      </c>
      <c r="N212">
        <v>2.101924005945723E-5</v>
      </c>
      <c r="O212">
        <v>211</v>
      </c>
      <c r="P212">
        <v>2.3181904922362159E-2</v>
      </c>
      <c r="Q212">
        <v>2.3173712165551622E-3</v>
      </c>
      <c r="R212">
        <v>211</v>
      </c>
      <c r="S212">
        <v>1.4424147822059398E-2</v>
      </c>
      <c r="T212">
        <v>2.207020206243011E-4</v>
      </c>
      <c r="AI212">
        <v>211</v>
      </c>
      <c r="AJ212">
        <v>5.7963481237582111E-2</v>
      </c>
      <c r="AK212">
        <v>1</v>
      </c>
    </row>
    <row r="213" spans="12:37" x14ac:dyDescent="0.25">
      <c r="L213">
        <v>212</v>
      </c>
      <c r="M213">
        <v>3.6216332076538758E-2</v>
      </c>
      <c r="N213">
        <v>2.2070202062430092E-5</v>
      </c>
      <c r="O213">
        <v>212</v>
      </c>
      <c r="P213">
        <v>2.3000388823475864E-2</v>
      </c>
      <c r="Q213">
        <v>2.4332397773829204E-3</v>
      </c>
      <c r="R213">
        <v>212</v>
      </c>
      <c r="S213">
        <v>1.4418452628140987E-2</v>
      </c>
      <c r="T213">
        <v>2.3173712165551615E-4</v>
      </c>
      <c r="AI213">
        <v>212</v>
      </c>
      <c r="AJ213">
        <v>5.0249829513253623E-2</v>
      </c>
      <c r="AK213">
        <v>0.25</v>
      </c>
    </row>
    <row r="214" spans="12:37" x14ac:dyDescent="0.25">
      <c r="L214">
        <v>213</v>
      </c>
      <c r="M214">
        <v>3.6210534620604487E-2</v>
      </c>
      <c r="N214">
        <v>2.3173712165551598E-5</v>
      </c>
      <c r="O214">
        <v>213</v>
      </c>
      <c r="P214">
        <v>2.3092496712024287E-2</v>
      </c>
      <c r="Q214">
        <v>2.5549017662520666E-3</v>
      </c>
      <c r="R214">
        <v>213</v>
      </c>
      <c r="S214">
        <v>1.4411160055329778E-2</v>
      </c>
      <c r="T214">
        <v>2.4332397773829198E-4</v>
      </c>
      <c r="AI214">
        <v>213</v>
      </c>
      <c r="AJ214">
        <v>4.4984153735757662E-2</v>
      </c>
      <c r="AK214">
        <v>1</v>
      </c>
    </row>
    <row r="215" spans="12:37" x14ac:dyDescent="0.25">
      <c r="L215">
        <v>214</v>
      </c>
      <c r="M215">
        <v>3.6204469881085381E-2</v>
      </c>
      <c r="N215">
        <v>2.4332397773829178E-5</v>
      </c>
      <c r="O215">
        <v>214</v>
      </c>
      <c r="P215">
        <v>2.2976571840421282E-2</v>
      </c>
      <c r="Q215">
        <v>2.5549017662520668E-4</v>
      </c>
      <c r="R215">
        <v>214</v>
      </c>
      <c r="S215">
        <v>1.4403309017516694E-2</v>
      </c>
      <c r="T215">
        <v>2.5549017662520658E-4</v>
      </c>
      <c r="AI215">
        <v>214</v>
      </c>
      <c r="AJ215">
        <v>4.3519939867540443E-2</v>
      </c>
      <c r="AK215">
        <v>1</v>
      </c>
    </row>
    <row r="216" spans="12:37" x14ac:dyDescent="0.25">
      <c r="L216">
        <v>215</v>
      </c>
      <c r="M216">
        <v>3.6198197593010108E-2</v>
      </c>
      <c r="N216">
        <v>2.5549017662520639E-5</v>
      </c>
      <c r="O216">
        <v>215</v>
      </c>
      <c r="P216">
        <v>2.2961229884065588E-2</v>
      </c>
      <c r="Q216">
        <v>2.6826468545646702E-4</v>
      </c>
      <c r="R216">
        <v>215</v>
      </c>
      <c r="S216">
        <v>1.4396098889991969E-2</v>
      </c>
      <c r="T216">
        <v>2.6826468545646691E-4</v>
      </c>
      <c r="AI216">
        <v>215</v>
      </c>
      <c r="AJ216">
        <v>4.2888897369090039E-2</v>
      </c>
      <c r="AK216">
        <v>1</v>
      </c>
    </row>
    <row r="217" spans="12:37" x14ac:dyDescent="0.25">
      <c r="L217">
        <v>216</v>
      </c>
      <c r="M217">
        <v>3.6191591844708992E-2</v>
      </c>
      <c r="N217">
        <v>2.6826468545646672E-5</v>
      </c>
      <c r="O217">
        <v>216</v>
      </c>
      <c r="P217">
        <v>2.2944192034689097E-2</v>
      </c>
      <c r="Q217">
        <v>2.8167791972929037E-4</v>
      </c>
      <c r="R217">
        <v>216</v>
      </c>
      <c r="S217">
        <v>1.4387591772777182E-2</v>
      </c>
      <c r="T217">
        <v>2.8167791972929027E-4</v>
      </c>
      <c r="AI217">
        <v>216</v>
      </c>
      <c r="AJ217">
        <v>4.2135704999526534E-2</v>
      </c>
      <c r="AK217">
        <v>1</v>
      </c>
    </row>
    <row r="218" spans="12:37" x14ac:dyDescent="0.25">
      <c r="L218">
        <v>217</v>
      </c>
      <c r="M218">
        <v>3.6184503653716428E-2</v>
      </c>
      <c r="N218">
        <v>2.8167791972929006E-5</v>
      </c>
      <c r="O218">
        <v>217</v>
      </c>
      <c r="P218">
        <v>2.2928034176707499E-2</v>
      </c>
      <c r="Q218">
        <v>2.9576181571575489E-4</v>
      </c>
      <c r="R218">
        <v>217</v>
      </c>
      <c r="S218">
        <v>1.437909027313357E-2</v>
      </c>
      <c r="T218">
        <v>2.9576181571575478E-4</v>
      </c>
      <c r="AI218">
        <v>217</v>
      </c>
      <c r="AJ218">
        <v>4.1821601672813513E-2</v>
      </c>
      <c r="AK218">
        <v>1</v>
      </c>
    </row>
    <row r="219" spans="12:37" x14ac:dyDescent="0.25">
      <c r="L219">
        <v>218</v>
      </c>
      <c r="M219">
        <v>3.6177114382854238E-2</v>
      </c>
      <c r="N219">
        <v>2.9576181571575459E-5</v>
      </c>
      <c r="O219">
        <v>218</v>
      </c>
      <c r="P219">
        <v>2.2910168677804883E-2</v>
      </c>
      <c r="Q219">
        <v>3.1054990650154264E-4</v>
      </c>
      <c r="R219">
        <v>218</v>
      </c>
      <c r="S219">
        <v>1.4370656780726071E-2</v>
      </c>
      <c r="T219">
        <v>3.1054990650154253E-4</v>
      </c>
      <c r="AI219">
        <v>218</v>
      </c>
      <c r="AJ219">
        <v>4.168550577232575E-2</v>
      </c>
      <c r="AK219">
        <v>1</v>
      </c>
    </row>
    <row r="220" spans="12:37" x14ac:dyDescent="0.25">
      <c r="L220">
        <v>219</v>
      </c>
      <c r="M220">
        <v>3.616944731908802E-2</v>
      </c>
      <c r="N220">
        <v>3.1054990650154233E-5</v>
      </c>
      <c r="O220">
        <v>219</v>
      </c>
      <c r="P220">
        <v>2.2893097726084544E-2</v>
      </c>
      <c r="Q220">
        <v>3.260774018266198E-4</v>
      </c>
      <c r="R220">
        <v>219</v>
      </c>
      <c r="S220">
        <v>1.4360942137075469E-2</v>
      </c>
      <c r="T220">
        <v>3.260774018266197E-4</v>
      </c>
      <c r="AI220">
        <v>219</v>
      </c>
      <c r="AJ220">
        <v>4.1407465249338138E-2</v>
      </c>
      <c r="AK220">
        <v>1</v>
      </c>
    </row>
    <row r="221" spans="12:37" x14ac:dyDescent="0.25">
      <c r="L221">
        <v>220</v>
      </c>
      <c r="M221">
        <v>3.6161832179765943E-2</v>
      </c>
      <c r="N221">
        <v>3.2607740182661943E-5</v>
      </c>
      <c r="O221">
        <v>220</v>
      </c>
      <c r="P221">
        <v>2.2873781325315878E-2</v>
      </c>
      <c r="Q221">
        <v>3.4238127191795083E-4</v>
      </c>
      <c r="R221">
        <v>220</v>
      </c>
      <c r="S221">
        <v>1.4352839081839297E-2</v>
      </c>
      <c r="T221">
        <v>3.4238127191795072E-4</v>
      </c>
      <c r="AI221">
        <v>220</v>
      </c>
      <c r="AJ221">
        <v>4.1340216431140178E-2</v>
      </c>
      <c r="AK221">
        <v>1</v>
      </c>
    </row>
    <row r="222" spans="12:37" x14ac:dyDescent="0.25">
      <c r="L222">
        <v>221</v>
      </c>
      <c r="M222">
        <v>3.6153262946919708E-2</v>
      </c>
      <c r="N222">
        <v>3.423812719179504E-5</v>
      </c>
      <c r="O222">
        <v>221</v>
      </c>
      <c r="P222">
        <v>2.2852770731974427E-2</v>
      </c>
      <c r="Q222">
        <v>3.5950033551384838E-4</v>
      </c>
      <c r="R222">
        <v>221</v>
      </c>
      <c r="S222">
        <v>1.4342450255215156E-2</v>
      </c>
      <c r="T222">
        <v>3.5950033551384827E-4</v>
      </c>
      <c r="AI222">
        <v>221</v>
      </c>
      <c r="AJ222">
        <v>4.1329635041250472E-2</v>
      </c>
      <c r="AK222">
        <v>1</v>
      </c>
    </row>
    <row r="223" spans="12:37" x14ac:dyDescent="0.25">
      <c r="L223">
        <v>222</v>
      </c>
      <c r="M223">
        <v>3.6144668570457616E-2</v>
      </c>
      <c r="N223">
        <v>3.5950033551384794E-5</v>
      </c>
      <c r="O223">
        <v>222</v>
      </c>
      <c r="P223">
        <v>2.2831403433207907E-2</v>
      </c>
      <c r="Q223">
        <v>3.774753522895408E-4</v>
      </c>
      <c r="R223">
        <v>222</v>
      </c>
      <c r="S223">
        <v>1.4330594792121171E-2</v>
      </c>
      <c r="T223">
        <v>3.7747535228954069E-4</v>
      </c>
      <c r="AI223">
        <v>222</v>
      </c>
      <c r="AJ223">
        <v>4.1326929603927649E-2</v>
      </c>
      <c r="AK223">
        <v>1</v>
      </c>
    </row>
    <row r="224" spans="12:37" x14ac:dyDescent="0.25">
      <c r="L224">
        <v>223</v>
      </c>
      <c r="M224">
        <v>3.6135694004228947E-2</v>
      </c>
      <c r="N224">
        <v>3.7747535228954035E-5</v>
      </c>
      <c r="O224">
        <v>223</v>
      </c>
      <c r="P224">
        <v>2.2808927723709387E-2</v>
      </c>
      <c r="Q224">
        <v>3.9634911990401786E-4</v>
      </c>
      <c r="R224">
        <v>223</v>
      </c>
      <c r="S224">
        <v>1.4319578530312689E-2</v>
      </c>
      <c r="T224">
        <v>3.9634911990401775E-4</v>
      </c>
      <c r="AI224">
        <v>223</v>
      </c>
      <c r="AJ224">
        <v>4.1325124337634481E-2</v>
      </c>
      <c r="AK224">
        <v>1</v>
      </c>
    </row>
    <row r="225" spans="12:37" x14ac:dyDescent="0.25">
      <c r="L225">
        <v>224</v>
      </c>
      <c r="M225">
        <v>3.6125335978449018E-2</v>
      </c>
      <c r="N225">
        <v>3.9634911990401736E-5</v>
      </c>
      <c r="O225">
        <v>224</v>
      </c>
      <c r="P225">
        <v>2.2787118802256701E-2</v>
      </c>
      <c r="Q225">
        <v>4.1616657589921876E-4</v>
      </c>
      <c r="R225">
        <v>224</v>
      </c>
      <c r="S225">
        <v>1.4308197025953439E-2</v>
      </c>
      <c r="T225">
        <v>4.1616657589921865E-4</v>
      </c>
      <c r="AI225">
        <v>224</v>
      </c>
      <c r="AJ225">
        <v>4.132404931873003E-2</v>
      </c>
      <c r="AK225">
        <v>1</v>
      </c>
    </row>
    <row r="226" spans="12:37" x14ac:dyDescent="0.25">
      <c r="L226">
        <v>225</v>
      </c>
      <c r="M226">
        <v>3.6115680294230665E-2</v>
      </c>
      <c r="N226">
        <v>4.1616657589921822E-5</v>
      </c>
      <c r="O226">
        <v>225</v>
      </c>
      <c r="P226">
        <v>2.2761033666386658E-2</v>
      </c>
      <c r="Q226">
        <v>4.3697490469417973E-4</v>
      </c>
      <c r="R226">
        <v>225</v>
      </c>
      <c r="S226">
        <v>1.4295616940471363E-2</v>
      </c>
      <c r="T226">
        <v>4.3697490469417962E-4</v>
      </c>
      <c r="AI226">
        <v>225</v>
      </c>
      <c r="AJ226">
        <v>4.1323538213228941E-2</v>
      </c>
      <c r="AK226">
        <v>1</v>
      </c>
    </row>
    <row r="227" spans="12:37" x14ac:dyDescent="0.25">
      <c r="L227">
        <v>226</v>
      </c>
      <c r="M227">
        <v>3.610595763762272E-2</v>
      </c>
      <c r="N227">
        <v>4.3697490469417913E-5</v>
      </c>
      <c r="O227">
        <v>226</v>
      </c>
      <c r="P227">
        <v>2.2737184287706644E-2</v>
      </c>
      <c r="Q227">
        <v>4.5882364992888872E-4</v>
      </c>
      <c r="R227">
        <v>226</v>
      </c>
      <c r="S227">
        <v>1.4283042883354496E-2</v>
      </c>
      <c r="T227">
        <v>4.5882364992888862E-4</v>
      </c>
      <c r="AI227">
        <v>226</v>
      </c>
      <c r="AJ227">
        <v>4.1323240258463553E-2</v>
      </c>
      <c r="AK227">
        <v>1</v>
      </c>
    </row>
    <row r="228" spans="12:37" x14ac:dyDescent="0.25">
      <c r="L228">
        <v>227</v>
      </c>
      <c r="M228">
        <v>3.6093726222533713E-2</v>
      </c>
      <c r="N228">
        <v>4.588236499288881E-5</v>
      </c>
      <c r="O228">
        <v>227</v>
      </c>
      <c r="P228">
        <v>2.2706257206634165E-2</v>
      </c>
      <c r="Q228">
        <v>4.8176483242533318E-4</v>
      </c>
      <c r="R228">
        <v>227</v>
      </c>
      <c r="S228">
        <v>1.4269754911104392E-2</v>
      </c>
      <c r="T228">
        <v>4.8176483242533307E-4</v>
      </c>
      <c r="AI228">
        <v>227</v>
      </c>
      <c r="AJ228">
        <v>4.1322628588534693E-2</v>
      </c>
      <c r="AK228">
        <v>1</v>
      </c>
    </row>
    <row r="229" spans="12:37" x14ac:dyDescent="0.25">
      <c r="L229">
        <v>228</v>
      </c>
      <c r="M229">
        <v>3.6082065927385949E-2</v>
      </c>
      <c r="N229">
        <v>4.817648324253325E-5</v>
      </c>
      <c r="O229">
        <v>228</v>
      </c>
      <c r="P229">
        <v>2.2675509854225586E-2</v>
      </c>
      <c r="Q229">
        <v>5.0585307404659981E-4</v>
      </c>
      <c r="R229">
        <v>228</v>
      </c>
      <c r="S229">
        <v>1.4257129668726986E-2</v>
      </c>
      <c r="T229">
        <v>5.058530740465997E-4</v>
      </c>
      <c r="AI229">
        <v>228</v>
      </c>
      <c r="AJ229">
        <v>4.1321129090917147E-2</v>
      </c>
      <c r="AK229">
        <v>1</v>
      </c>
    </row>
    <row r="230" spans="12:37" x14ac:dyDescent="0.25">
      <c r="L230">
        <v>229</v>
      </c>
      <c r="M230">
        <v>3.6075049038334417E-2</v>
      </c>
      <c r="N230">
        <v>5.0585307404659912E-5</v>
      </c>
      <c r="O230">
        <v>229</v>
      </c>
      <c r="P230">
        <v>2.2641540559230445E-2</v>
      </c>
      <c r="Q230">
        <v>5.3114572774892981E-4</v>
      </c>
      <c r="R230">
        <v>229</v>
      </c>
      <c r="S230">
        <v>1.4241403505344523E-2</v>
      </c>
      <c r="T230">
        <v>5.3114572774892971E-4</v>
      </c>
      <c r="AI230">
        <v>229</v>
      </c>
      <c r="AJ230">
        <v>4.1317232819589753E-2</v>
      </c>
      <c r="AK230">
        <v>1</v>
      </c>
    </row>
    <row r="231" spans="12:37" x14ac:dyDescent="0.25">
      <c r="L231">
        <v>230</v>
      </c>
      <c r="M231">
        <v>3.6057883864872062E-2</v>
      </c>
      <c r="N231">
        <v>5.3114572774892911E-5</v>
      </c>
      <c r="O231">
        <v>230</v>
      </c>
      <c r="P231">
        <v>2.2609819090842375E-2</v>
      </c>
      <c r="Q231">
        <v>5.5770301413637631E-4</v>
      </c>
      <c r="R231">
        <v>230</v>
      </c>
      <c r="S231">
        <v>1.4226720494608778E-2</v>
      </c>
      <c r="T231">
        <v>5.577030141363762E-4</v>
      </c>
      <c r="AI231">
        <v>230</v>
      </c>
      <c r="AJ231">
        <v>4.1307405659759211E-2</v>
      </c>
      <c r="AK231">
        <v>1</v>
      </c>
    </row>
    <row r="232" spans="12:37" x14ac:dyDescent="0.25">
      <c r="L232">
        <v>231</v>
      </c>
      <c r="M232">
        <v>3.60517595712588E-2</v>
      </c>
      <c r="N232">
        <v>5.5770301413637562E-5</v>
      </c>
      <c r="O232">
        <v>231</v>
      </c>
      <c r="P232">
        <v>2.2573190445654992E-2</v>
      </c>
      <c r="Q232">
        <v>5.8558816484319514E-4</v>
      </c>
      <c r="R232">
        <v>231</v>
      </c>
      <c r="S232">
        <v>1.4210507927608081E-2</v>
      </c>
      <c r="T232">
        <v>5.8558816484319503E-4</v>
      </c>
      <c r="AI232">
        <v>231</v>
      </c>
      <c r="AJ232">
        <v>4.1283657349148503E-2</v>
      </c>
      <c r="AK232">
        <v>1</v>
      </c>
    </row>
    <row r="233" spans="12:37" x14ac:dyDescent="0.25">
      <c r="L233">
        <v>232</v>
      </c>
      <c r="M233">
        <v>3.6030924742092199E-2</v>
      </c>
      <c r="N233">
        <v>5.8558816484319442E-5</v>
      </c>
      <c r="O233">
        <v>232</v>
      </c>
      <c r="P233">
        <v>2.2534891391130525E-2</v>
      </c>
      <c r="Q233">
        <v>6.1486757308535495E-4</v>
      </c>
      <c r="R233">
        <v>232</v>
      </c>
      <c r="S233">
        <v>1.4199291255890482E-2</v>
      </c>
      <c r="T233">
        <v>6.1486757308535484E-4</v>
      </c>
      <c r="AI233">
        <v>232</v>
      </c>
      <c r="AJ233">
        <v>4.1240399273588767E-2</v>
      </c>
      <c r="AK233">
        <v>1</v>
      </c>
    </row>
    <row r="234" spans="12:37" x14ac:dyDescent="0.25">
      <c r="L234">
        <v>233</v>
      </c>
      <c r="M234">
        <v>3.6019065755405359E-2</v>
      </c>
      <c r="N234">
        <v>6.1486757308535422E-5</v>
      </c>
      <c r="O234">
        <v>233</v>
      </c>
      <c r="P234">
        <v>2.2500571861192743E-2</v>
      </c>
      <c r="Q234">
        <v>6.4561095173962268E-4</v>
      </c>
      <c r="R234">
        <v>233</v>
      </c>
      <c r="S234">
        <v>1.417633200996969E-2</v>
      </c>
      <c r="T234">
        <v>6.4561095173962257E-4</v>
      </c>
      <c r="AI234">
        <v>233</v>
      </c>
      <c r="AJ234">
        <v>4.1188678687795841E-2</v>
      </c>
      <c r="AK234">
        <v>1</v>
      </c>
    </row>
    <row r="235" spans="12:37" x14ac:dyDescent="0.25">
      <c r="L235">
        <v>234</v>
      </c>
      <c r="M235">
        <v>3.6000298670130826E-2</v>
      </c>
      <c r="N235">
        <v>6.4561095173962197E-5</v>
      </c>
      <c r="O235">
        <v>234</v>
      </c>
      <c r="P235">
        <v>2.2458337750707467E-2</v>
      </c>
      <c r="Q235">
        <v>6.7789149932660385E-4</v>
      </c>
      <c r="R235">
        <v>234</v>
      </c>
      <c r="S235">
        <v>1.4165379738557126E-2</v>
      </c>
      <c r="T235">
        <v>6.7789149932660374E-4</v>
      </c>
      <c r="AI235">
        <v>234</v>
      </c>
      <c r="AJ235">
        <v>4.1104735208980329E-2</v>
      </c>
      <c r="AK235">
        <v>1</v>
      </c>
    </row>
    <row r="236" spans="12:37" x14ac:dyDescent="0.25">
      <c r="L236">
        <v>235</v>
      </c>
      <c r="M236">
        <v>3.5984336489725814E-2</v>
      </c>
      <c r="N236">
        <v>6.7789149932660306E-5</v>
      </c>
      <c r="O236">
        <v>235</v>
      </c>
      <c r="P236">
        <v>2.2422277792292652E-2</v>
      </c>
      <c r="Q236">
        <v>7.1178607429293406E-4</v>
      </c>
      <c r="R236">
        <v>235</v>
      </c>
      <c r="S236">
        <v>1.4138527773095495E-2</v>
      </c>
      <c r="T236">
        <v>7.1178607429293395E-4</v>
      </c>
      <c r="AI236">
        <v>235</v>
      </c>
      <c r="AJ236">
        <v>4.1077071296033454E-2</v>
      </c>
      <c r="AK236">
        <v>1</v>
      </c>
    </row>
    <row r="237" spans="12:37" x14ac:dyDescent="0.25">
      <c r="L237">
        <v>236</v>
      </c>
      <c r="M237">
        <v>3.5967607339434313E-2</v>
      </c>
      <c r="N237">
        <v>7.1178607429293322E-5</v>
      </c>
      <c r="O237">
        <v>236</v>
      </c>
      <c r="P237">
        <v>2.2383657684752166E-2</v>
      </c>
      <c r="Q237">
        <v>7.4737537800758074E-4</v>
      </c>
      <c r="R237">
        <v>236</v>
      </c>
      <c r="S237">
        <v>1.4122215052823281E-2</v>
      </c>
      <c r="T237">
        <v>7.4737537800758063E-4</v>
      </c>
      <c r="AI237">
        <v>236</v>
      </c>
      <c r="AJ237">
        <v>4.1068307038213563E-2</v>
      </c>
      <c r="AK237">
        <v>1</v>
      </c>
    </row>
    <row r="238" spans="12:37" x14ac:dyDescent="0.25">
      <c r="L238">
        <v>237</v>
      </c>
      <c r="M238">
        <v>3.5950644420461322E-2</v>
      </c>
      <c r="N238">
        <v>7.4737537800757987E-5</v>
      </c>
      <c r="O238">
        <v>237</v>
      </c>
      <c r="P238">
        <v>2.2336138478257495E-2</v>
      </c>
      <c r="Q238">
        <v>7.8474414690795984E-4</v>
      </c>
      <c r="R238">
        <v>237</v>
      </c>
      <c r="S238">
        <v>1.4100251246790584E-2</v>
      </c>
      <c r="T238">
        <v>7.8474414690795974E-4</v>
      </c>
      <c r="AI238">
        <v>237</v>
      </c>
      <c r="AJ238">
        <v>4.1053443340750527E-2</v>
      </c>
      <c r="AK238">
        <v>1</v>
      </c>
    </row>
    <row r="239" spans="12:37" x14ac:dyDescent="0.25">
      <c r="L239">
        <v>238</v>
      </c>
      <c r="M239">
        <v>3.5934478915851706E-2</v>
      </c>
      <c r="N239">
        <v>7.8474414690795884E-5</v>
      </c>
      <c r="O239">
        <v>238</v>
      </c>
      <c r="P239">
        <v>2.2305244231160298E-2</v>
      </c>
      <c r="Q239">
        <v>8.2398135425335787E-4</v>
      </c>
      <c r="R239">
        <v>238</v>
      </c>
      <c r="S239">
        <v>1.4076761934605881E-2</v>
      </c>
      <c r="T239">
        <v>8.2398135425335777E-4</v>
      </c>
      <c r="AI239">
        <v>238</v>
      </c>
      <c r="AJ239">
        <v>4.1041660302854298E-2</v>
      </c>
      <c r="AK239">
        <v>1</v>
      </c>
    </row>
    <row r="240" spans="12:37" x14ac:dyDescent="0.25">
      <c r="L240">
        <v>239</v>
      </c>
      <c r="M240">
        <v>3.5920756126663421E-2</v>
      </c>
      <c r="N240">
        <v>8.2398135425335679E-5</v>
      </c>
      <c r="O240">
        <v>239</v>
      </c>
      <c r="P240">
        <v>2.2247115181587746E-2</v>
      </c>
      <c r="Q240">
        <v>8.6518042196602582E-4</v>
      </c>
      <c r="R240">
        <v>239</v>
      </c>
      <c r="S240">
        <v>1.4062326912238344E-2</v>
      </c>
      <c r="T240">
        <v>8.6518042196602571E-4</v>
      </c>
      <c r="AI240">
        <v>239</v>
      </c>
      <c r="AJ240">
        <v>4.1028926741989415E-2</v>
      </c>
      <c r="AK240">
        <v>0.5</v>
      </c>
    </row>
    <row r="241" spans="12:37" x14ac:dyDescent="0.25">
      <c r="L241">
        <v>240</v>
      </c>
      <c r="M241">
        <v>3.5893913873957503E-2</v>
      </c>
      <c r="N241">
        <v>8.6518042196602468E-5</v>
      </c>
      <c r="O241">
        <v>240</v>
      </c>
      <c r="P241">
        <v>2.2221582863567055E-2</v>
      </c>
      <c r="Q241">
        <v>9.0843944306432712E-4</v>
      </c>
      <c r="R241">
        <v>240</v>
      </c>
      <c r="S241">
        <v>1.4032482041846366E-2</v>
      </c>
      <c r="T241">
        <v>9.0843944306432702E-4</v>
      </c>
      <c r="AI241">
        <v>240</v>
      </c>
      <c r="AJ241">
        <v>4.1021444679617727E-2</v>
      </c>
      <c r="AK241">
        <v>1</v>
      </c>
    </row>
    <row r="242" spans="12:37" x14ac:dyDescent="0.25">
      <c r="L242">
        <v>241</v>
      </c>
      <c r="M242">
        <v>3.5895970496575502E-2</v>
      </c>
      <c r="N242">
        <v>9.0843944306432593E-5</v>
      </c>
      <c r="O242">
        <v>241</v>
      </c>
      <c r="P242">
        <v>2.2166946738440774E-2</v>
      </c>
      <c r="Q242">
        <v>9.5386141521754347E-4</v>
      </c>
      <c r="R242">
        <v>241</v>
      </c>
      <c r="S242">
        <v>1.4011094441951262E-2</v>
      </c>
      <c r="T242">
        <v>9.5386141521754337E-4</v>
      </c>
      <c r="AI242">
        <v>241</v>
      </c>
      <c r="AJ242">
        <v>4.1017707814627179E-2</v>
      </c>
      <c r="AK242">
        <v>1</v>
      </c>
    </row>
    <row r="243" spans="12:37" x14ac:dyDescent="0.25">
      <c r="L243">
        <v>242</v>
      </c>
      <c r="M243">
        <v>3.5891753126457024E-2</v>
      </c>
      <c r="N243">
        <v>9.084394430643259E-6</v>
      </c>
      <c r="O243">
        <v>242</v>
      </c>
      <c r="P243">
        <v>2.2111356189272558E-2</v>
      </c>
      <c r="Q243">
        <v>1.0015544859784207E-3</v>
      </c>
      <c r="R243">
        <v>242</v>
      </c>
      <c r="S243">
        <v>1.4022487286427925E-2</v>
      </c>
      <c r="T243">
        <v>1.0015544859784205E-3</v>
      </c>
      <c r="AI243">
        <v>242</v>
      </c>
      <c r="AJ243">
        <v>4.1014814793878779E-2</v>
      </c>
      <c r="AK243">
        <v>1</v>
      </c>
    </row>
    <row r="244" spans="12:37" x14ac:dyDescent="0.25">
      <c r="L244">
        <v>243</v>
      </c>
      <c r="M244">
        <v>3.5889511256486921E-2</v>
      </c>
      <c r="N244">
        <v>9.5386141521754223E-6</v>
      </c>
      <c r="O244">
        <v>243</v>
      </c>
      <c r="P244">
        <v>2.2081904056697705E-2</v>
      </c>
      <c r="Q244">
        <v>1.0516322102773418E-3</v>
      </c>
      <c r="R244">
        <v>243</v>
      </c>
      <c r="S244">
        <v>1.4003032611793973E-2</v>
      </c>
      <c r="T244">
        <v>1.0015544859784205E-4</v>
      </c>
      <c r="AI244">
        <v>243</v>
      </c>
      <c r="AJ244">
        <v>4.1012741140782995E-2</v>
      </c>
      <c r="AK244">
        <v>1</v>
      </c>
    </row>
    <row r="245" spans="12:37" x14ac:dyDescent="0.25">
      <c r="L245">
        <v>244</v>
      </c>
      <c r="M245">
        <v>3.5887282359427529E-2</v>
      </c>
      <c r="N245">
        <v>1.0015544859784194E-5</v>
      </c>
      <c r="O245">
        <v>244</v>
      </c>
      <c r="P245">
        <v>2.2005686634234304E-2</v>
      </c>
      <c r="Q245">
        <v>1.104213820791209E-3</v>
      </c>
      <c r="R245">
        <v>244</v>
      </c>
      <c r="S245">
        <v>1.399960716388552E-2</v>
      </c>
      <c r="T245">
        <v>1.0516322102773416E-4</v>
      </c>
      <c r="AI245">
        <v>244</v>
      </c>
      <c r="AJ245">
        <v>4.1012145926449868E-2</v>
      </c>
      <c r="AK245">
        <v>1</v>
      </c>
    </row>
    <row r="246" spans="12:37" x14ac:dyDescent="0.25">
      <c r="L246">
        <v>245</v>
      </c>
      <c r="M246">
        <v>3.5884797516210411E-2</v>
      </c>
      <c r="N246">
        <v>1.0516322102773404E-5</v>
      </c>
      <c r="O246">
        <v>245</v>
      </c>
      <c r="P246">
        <v>2.1954050201957429E-2</v>
      </c>
      <c r="Q246">
        <v>1.1594245118307694E-3</v>
      </c>
      <c r="R246">
        <v>245</v>
      </c>
      <c r="S246">
        <v>1.3996466554584412E-2</v>
      </c>
      <c r="T246">
        <v>1.1042138207912087E-4</v>
      </c>
      <c r="AI246">
        <v>245</v>
      </c>
      <c r="AJ246">
        <v>4.1011238207337902E-2</v>
      </c>
      <c r="AK246">
        <v>1</v>
      </c>
    </row>
    <row r="247" spans="12:37" x14ac:dyDescent="0.25">
      <c r="L247">
        <v>246</v>
      </c>
      <c r="M247">
        <v>3.5882297664929154E-2</v>
      </c>
      <c r="N247">
        <v>1.1042138207912075E-5</v>
      </c>
      <c r="O247">
        <v>246</v>
      </c>
      <c r="P247">
        <v>2.1889280874400424E-2</v>
      </c>
      <c r="Q247">
        <v>1.2173957374223079E-3</v>
      </c>
      <c r="R247">
        <v>246</v>
      </c>
      <c r="S247">
        <v>1.3993313575679981E-2</v>
      </c>
      <c r="T247">
        <v>1.1594245118307692E-4</v>
      </c>
      <c r="AI247">
        <v>246</v>
      </c>
      <c r="AJ247">
        <v>4.1010336038090622E-2</v>
      </c>
      <c r="AK247">
        <v>1</v>
      </c>
    </row>
    <row r="248" spans="12:37" x14ac:dyDescent="0.25">
      <c r="O248">
        <v>247</v>
      </c>
      <c r="P248">
        <v>2.1805651011999373E-2</v>
      </c>
      <c r="Q248">
        <v>1.2782655242934233E-3</v>
      </c>
      <c r="R248">
        <v>247</v>
      </c>
      <c r="S248">
        <v>1.3989734693627869E-2</v>
      </c>
      <c r="T248">
        <v>1.2173957374223078E-4</v>
      </c>
      <c r="AI248">
        <v>247</v>
      </c>
      <c r="AJ248">
        <v>4.1006401503201145E-2</v>
      </c>
      <c r="AK248">
        <v>1</v>
      </c>
    </row>
    <row r="249" spans="12:37" x14ac:dyDescent="0.25">
      <c r="O249">
        <v>248</v>
      </c>
      <c r="P249">
        <v>2.1729619103823393E-2</v>
      </c>
      <c r="Q249">
        <v>1.3421788005080946E-3</v>
      </c>
      <c r="R249">
        <v>248</v>
      </c>
      <c r="S249">
        <v>1.3986301731647834E-2</v>
      </c>
      <c r="T249">
        <v>1.2782655242934231E-4</v>
      </c>
      <c r="AI249">
        <v>248</v>
      </c>
      <c r="AJ249">
        <v>4.0998131840764902E-2</v>
      </c>
      <c r="AK249">
        <v>1</v>
      </c>
    </row>
    <row r="250" spans="12:37" x14ac:dyDescent="0.25">
      <c r="O250">
        <v>249</v>
      </c>
      <c r="P250">
        <v>2.1666027159288202E-2</v>
      </c>
      <c r="Q250">
        <v>1.4092877405334993E-3</v>
      </c>
      <c r="R250">
        <v>249</v>
      </c>
      <c r="S250">
        <v>1.3982759808394238E-2</v>
      </c>
      <c r="T250">
        <v>1.3421788005080944E-4</v>
      </c>
      <c r="AI250">
        <v>249</v>
      </c>
      <c r="AJ250">
        <v>4.0975271758831908E-2</v>
      </c>
      <c r="AK250">
        <v>1</v>
      </c>
    </row>
    <row r="251" spans="12:37" x14ac:dyDescent="0.25">
      <c r="O251">
        <v>250</v>
      </c>
      <c r="P251">
        <v>2.1605733056303669E-2</v>
      </c>
      <c r="Q251">
        <v>1.4797521275601742E-3</v>
      </c>
      <c r="R251">
        <v>250</v>
      </c>
      <c r="S251">
        <v>1.3978676056767029E-2</v>
      </c>
      <c r="T251">
        <v>1.4092877405334992E-4</v>
      </c>
      <c r="AI251">
        <v>250</v>
      </c>
      <c r="AJ251">
        <v>4.0907822091594659E-2</v>
      </c>
      <c r="AK251">
        <v>1</v>
      </c>
    </row>
    <row r="252" spans="12:37" x14ac:dyDescent="0.25">
      <c r="O252">
        <v>251</v>
      </c>
      <c r="P252">
        <v>2.1503704624453942E-2</v>
      </c>
      <c r="Q252">
        <v>1.553739733938183E-3</v>
      </c>
      <c r="R252">
        <v>251</v>
      </c>
      <c r="S252">
        <v>1.3974459835859241E-2</v>
      </c>
      <c r="T252">
        <v>1.4797521275601743E-4</v>
      </c>
      <c r="AI252">
        <v>251</v>
      </c>
      <c r="AJ252">
        <v>4.0893679356038777E-2</v>
      </c>
      <c r="AK252">
        <v>0.125</v>
      </c>
    </row>
    <row r="253" spans="12:37" x14ac:dyDescent="0.25">
      <c r="O253">
        <v>252</v>
      </c>
      <c r="P253">
        <v>2.1417450193380261E-2</v>
      </c>
      <c r="Q253">
        <v>1.6314267206350922E-3</v>
      </c>
      <c r="R253">
        <v>252</v>
      </c>
      <c r="S253">
        <v>1.3970136091724978E-2</v>
      </c>
      <c r="T253">
        <v>1.5537397339381831E-4</v>
      </c>
      <c r="AI253">
        <v>252</v>
      </c>
      <c r="AJ253">
        <v>4.0792857056748684E-2</v>
      </c>
      <c r="AK253">
        <v>1</v>
      </c>
    </row>
    <row r="254" spans="12:37" x14ac:dyDescent="0.25">
      <c r="O254">
        <v>253</v>
      </c>
      <c r="P254">
        <v>2.1313070697208968E-2</v>
      </c>
      <c r="Q254">
        <v>1.7129980566668469E-3</v>
      </c>
      <c r="R254">
        <v>253</v>
      </c>
      <c r="S254">
        <v>1.3965560676731383E-2</v>
      </c>
      <c r="T254">
        <v>1.6314267206350925E-4</v>
      </c>
      <c r="AI254">
        <v>253</v>
      </c>
      <c r="AJ254">
        <v>4.0543682526386897E-2</v>
      </c>
      <c r="AK254">
        <v>1</v>
      </c>
    </row>
    <row r="255" spans="12:37" x14ac:dyDescent="0.25">
      <c r="O255">
        <v>254</v>
      </c>
      <c r="P255">
        <v>2.127958921203996E-2</v>
      </c>
      <c r="Q255">
        <v>1.7986479595001894E-3</v>
      </c>
      <c r="R255">
        <v>254</v>
      </c>
      <c r="S255">
        <v>1.3960713386293771E-2</v>
      </c>
      <c r="T255">
        <v>1.7129980566668471E-4</v>
      </c>
      <c r="AI255">
        <v>254</v>
      </c>
      <c r="AJ255">
        <v>4.0190085590106089E-2</v>
      </c>
      <c r="AK255">
        <v>0.25</v>
      </c>
    </row>
    <row r="256" spans="12:37" x14ac:dyDescent="0.25">
      <c r="O256">
        <v>255</v>
      </c>
      <c r="P256">
        <v>2.1127524038427433E-2</v>
      </c>
      <c r="Q256">
        <v>1.8885803574751989E-3</v>
      </c>
      <c r="R256">
        <v>255</v>
      </c>
      <c r="S256">
        <v>1.3955706851802297E-2</v>
      </c>
      <c r="T256">
        <v>1.7986479595001896E-4</v>
      </c>
      <c r="AI256">
        <v>255</v>
      </c>
      <c r="AJ256">
        <v>4.0077574616492778E-2</v>
      </c>
      <c r="AK256">
        <v>0.125</v>
      </c>
    </row>
    <row r="257" spans="15:37" x14ac:dyDescent="0.25">
      <c r="O257">
        <v>256</v>
      </c>
      <c r="P257">
        <v>2.1061161376355404E-2</v>
      </c>
      <c r="Q257">
        <v>1.9830093753489589E-3</v>
      </c>
      <c r="R257">
        <v>256</v>
      </c>
      <c r="S257">
        <v>1.3950551977421701E-2</v>
      </c>
      <c r="T257">
        <v>1.8885803574751991E-4</v>
      </c>
      <c r="AI257">
        <v>256</v>
      </c>
      <c r="AJ257">
        <v>3.9940233309476693E-2</v>
      </c>
      <c r="AK257">
        <v>0.125</v>
      </c>
    </row>
    <row r="258" spans="15:37" x14ac:dyDescent="0.25">
      <c r="O258">
        <v>257</v>
      </c>
      <c r="P258">
        <v>2.095262226821942E-2</v>
      </c>
      <c r="Q258">
        <v>2.0821598441164071E-3</v>
      </c>
      <c r="R258">
        <v>257</v>
      </c>
      <c r="S258">
        <v>1.3944943557234539E-2</v>
      </c>
      <c r="T258">
        <v>1.983009375348959E-4</v>
      </c>
      <c r="AI258">
        <v>257</v>
      </c>
      <c r="AJ258">
        <v>3.9639835847231471E-2</v>
      </c>
      <c r="AK258">
        <v>1</v>
      </c>
    </row>
    <row r="259" spans="15:37" x14ac:dyDescent="0.25">
      <c r="O259">
        <v>258</v>
      </c>
      <c r="P259">
        <v>2.0840330105354857E-2</v>
      </c>
      <c r="Q259">
        <v>2.1862678363222276E-3</v>
      </c>
      <c r="R259">
        <v>258</v>
      </c>
      <c r="S259">
        <v>1.393945688021324E-2</v>
      </c>
      <c r="T259">
        <v>2.082159844116407E-4</v>
      </c>
      <c r="AI259">
        <v>258</v>
      </c>
      <c r="AJ259">
        <v>3.9441259114094004E-2</v>
      </c>
      <c r="AK259">
        <v>0.5</v>
      </c>
    </row>
    <row r="260" spans="15:37" x14ac:dyDescent="0.25">
      <c r="O260">
        <v>259</v>
      </c>
      <c r="P260">
        <v>2.074964972303105E-2</v>
      </c>
      <c r="Q260">
        <v>2.295581228138339E-3</v>
      </c>
      <c r="R260">
        <v>259</v>
      </c>
      <c r="S260">
        <v>1.3934889592842205E-2</v>
      </c>
      <c r="T260">
        <v>2.1862678363222275E-4</v>
      </c>
      <c r="AI260">
        <v>259</v>
      </c>
      <c r="AJ260">
        <v>3.9047726647724559E-2</v>
      </c>
      <c r="AK260">
        <v>1</v>
      </c>
    </row>
    <row r="261" spans="15:37" x14ac:dyDescent="0.25">
      <c r="O261">
        <v>260</v>
      </c>
      <c r="P261">
        <v>2.0643744651940348E-2</v>
      </c>
      <c r="Q261">
        <v>2.4103602895452561E-3</v>
      </c>
      <c r="R261">
        <v>260</v>
      </c>
      <c r="S261">
        <v>1.3927143746732741E-2</v>
      </c>
      <c r="T261">
        <v>2.295581228138339E-4</v>
      </c>
      <c r="AI261">
        <v>260</v>
      </c>
      <c r="AJ261">
        <v>3.8865417292052722E-2</v>
      </c>
      <c r="AK261">
        <v>1</v>
      </c>
    </row>
    <row r="262" spans="15:37" x14ac:dyDescent="0.25">
      <c r="O262">
        <v>261</v>
      </c>
      <c r="P262">
        <v>2.0558369072080109E-2</v>
      </c>
      <c r="Q262">
        <v>2.5308783040225188E-3</v>
      </c>
      <c r="R262">
        <v>261</v>
      </c>
      <c r="S262">
        <v>1.3921781559258897E-2</v>
      </c>
      <c r="T262">
        <v>2.410360289545256E-4</v>
      </c>
      <c r="AI262">
        <v>261</v>
      </c>
      <c r="AJ262">
        <v>3.869283247424915E-2</v>
      </c>
      <c r="AK262">
        <v>0.5</v>
      </c>
    </row>
    <row r="263" spans="15:37" x14ac:dyDescent="0.25">
      <c r="O263">
        <v>262</v>
      </c>
      <c r="P263">
        <v>2.0461735576500103E-2</v>
      </c>
      <c r="Q263">
        <v>2.6574222192236449E-3</v>
      </c>
      <c r="R263">
        <v>262</v>
      </c>
      <c r="S263">
        <v>1.3913849832427825E-2</v>
      </c>
      <c r="T263">
        <v>2.5308783040225188E-4</v>
      </c>
      <c r="AI263">
        <v>262</v>
      </c>
      <c r="AJ263">
        <v>3.8648830687075496E-2</v>
      </c>
      <c r="AK263">
        <v>1</v>
      </c>
    </row>
    <row r="264" spans="15:37" x14ac:dyDescent="0.25">
      <c r="O264">
        <v>263</v>
      </c>
      <c r="P264">
        <v>2.0304730301430887E-2</v>
      </c>
      <c r="Q264">
        <v>2.7902933301848271E-3</v>
      </c>
      <c r="R264">
        <v>263</v>
      </c>
      <c r="S264">
        <v>1.3906541506419672E-2</v>
      </c>
      <c r="T264">
        <v>2.6574222192236451E-4</v>
      </c>
      <c r="AI264">
        <v>263</v>
      </c>
      <c r="AJ264">
        <v>3.8617042083145939E-2</v>
      </c>
      <c r="AK264">
        <v>1</v>
      </c>
    </row>
    <row r="265" spans="15:37" x14ac:dyDescent="0.25">
      <c r="O265">
        <v>264</v>
      </c>
      <c r="P265">
        <v>2.0262187718906831E-2</v>
      </c>
      <c r="Q265">
        <v>2.9298079966940684E-3</v>
      </c>
      <c r="R265">
        <v>264</v>
      </c>
      <c r="S265">
        <v>1.3899029586348165E-2</v>
      </c>
      <c r="T265">
        <v>2.7902933301848277E-4</v>
      </c>
      <c r="AI265">
        <v>264</v>
      </c>
      <c r="AJ265">
        <v>3.8602944746417643E-2</v>
      </c>
      <c r="AK265">
        <v>1</v>
      </c>
    </row>
    <row r="266" spans="15:37" x14ac:dyDescent="0.25">
      <c r="O266">
        <v>265</v>
      </c>
      <c r="P266">
        <v>2.0021502043282353E-2</v>
      </c>
      <c r="Q266">
        <v>3.0762983965287719E-3</v>
      </c>
      <c r="R266">
        <v>265</v>
      </c>
      <c r="S266">
        <v>1.3890941999046048E-2</v>
      </c>
      <c r="T266">
        <v>2.9298079966940695E-4</v>
      </c>
      <c r="AI266">
        <v>265</v>
      </c>
      <c r="AJ266">
        <v>3.8601489714753495E-2</v>
      </c>
      <c r="AK266">
        <v>1</v>
      </c>
    </row>
    <row r="267" spans="15:37" x14ac:dyDescent="0.25">
      <c r="O267">
        <v>266</v>
      </c>
      <c r="P267">
        <v>1.9904801280449476E-2</v>
      </c>
      <c r="Q267">
        <v>3.2301133163552109E-3</v>
      </c>
      <c r="R267">
        <v>266</v>
      </c>
      <c r="S267">
        <v>1.3882544004286776E-2</v>
      </c>
      <c r="T267">
        <v>3.076298396528773E-4</v>
      </c>
      <c r="AI267">
        <v>266</v>
      </c>
      <c r="AJ267">
        <v>3.8599820130858789E-2</v>
      </c>
      <c r="AK267">
        <v>1</v>
      </c>
    </row>
    <row r="268" spans="15:37" x14ac:dyDescent="0.25">
      <c r="O268">
        <v>267</v>
      </c>
      <c r="P268">
        <v>1.9760274692360556E-2</v>
      </c>
      <c r="Q268">
        <v>3.3916189821729717E-3</v>
      </c>
      <c r="R268">
        <v>267</v>
      </c>
      <c r="S268">
        <v>1.3873497811418979E-2</v>
      </c>
      <c r="T268">
        <v>3.2301133163552118E-4</v>
      </c>
      <c r="AI268">
        <v>267</v>
      </c>
      <c r="AJ268">
        <v>3.859691860374443E-2</v>
      </c>
      <c r="AK268">
        <v>1</v>
      </c>
    </row>
    <row r="269" spans="15:37" x14ac:dyDescent="0.25">
      <c r="O269">
        <v>268</v>
      </c>
      <c r="P269">
        <v>2.032337800278608E-2</v>
      </c>
      <c r="Q269">
        <v>3.5611999312816205E-3</v>
      </c>
      <c r="R269">
        <v>268</v>
      </c>
      <c r="S269">
        <v>1.386415466364491E-2</v>
      </c>
      <c r="T269">
        <v>3.3916189821729724E-4</v>
      </c>
      <c r="AI269">
        <v>268</v>
      </c>
      <c r="AJ269">
        <v>3.8588372978918879E-2</v>
      </c>
      <c r="AK269">
        <v>1</v>
      </c>
    </row>
    <row r="270" spans="15:37" x14ac:dyDescent="0.25">
      <c r="O270">
        <v>269</v>
      </c>
      <c r="P270">
        <v>1.9741452917297571E-2</v>
      </c>
      <c r="Q270">
        <v>3.5611999312816207E-4</v>
      </c>
      <c r="R270">
        <v>269</v>
      </c>
      <c r="S270">
        <v>1.3854729707512923E-2</v>
      </c>
      <c r="T270">
        <v>3.5611999312816213E-4</v>
      </c>
      <c r="AI270">
        <v>269</v>
      </c>
      <c r="AJ270">
        <v>3.8571262720614306E-2</v>
      </c>
      <c r="AK270">
        <v>1</v>
      </c>
    </row>
    <row r="271" spans="15:37" x14ac:dyDescent="0.25">
      <c r="O271">
        <v>270</v>
      </c>
      <c r="P271">
        <v>1.9726077421029015E-2</v>
      </c>
      <c r="Q271">
        <v>3.7392599278457021E-4</v>
      </c>
      <c r="R271">
        <v>270</v>
      </c>
      <c r="S271">
        <v>1.3844792624690612E-2</v>
      </c>
      <c r="T271">
        <v>3.7392599278457026E-4</v>
      </c>
      <c r="AI271">
        <v>270</v>
      </c>
      <c r="AJ271">
        <v>3.8546293722631235E-2</v>
      </c>
      <c r="AK271">
        <v>1</v>
      </c>
    </row>
    <row r="272" spans="15:37" x14ac:dyDescent="0.25">
      <c r="O272">
        <v>271</v>
      </c>
      <c r="P272">
        <v>1.9710421794536727E-2</v>
      </c>
      <c r="Q272">
        <v>3.9262229242379874E-4</v>
      </c>
      <c r="R272">
        <v>271</v>
      </c>
      <c r="S272">
        <v>1.383474054016034E-2</v>
      </c>
      <c r="T272">
        <v>3.9262229242379879E-4</v>
      </c>
      <c r="AI272">
        <v>271</v>
      </c>
      <c r="AJ272">
        <v>3.8512131114098333E-2</v>
      </c>
      <c r="AK272">
        <v>1</v>
      </c>
    </row>
    <row r="273" spans="15:37" x14ac:dyDescent="0.25">
      <c r="O273">
        <v>272</v>
      </c>
      <c r="P273">
        <v>1.9690951927728344E-2</v>
      </c>
      <c r="Q273">
        <v>4.1225340704498871E-4</v>
      </c>
      <c r="R273">
        <v>272</v>
      </c>
      <c r="S273">
        <v>1.3824692467416567E-2</v>
      </c>
      <c r="T273">
        <v>4.1225340704498876E-4</v>
      </c>
      <c r="AI273">
        <v>272</v>
      </c>
      <c r="AJ273">
        <v>3.8467847760274863E-2</v>
      </c>
      <c r="AK273">
        <v>1</v>
      </c>
    </row>
    <row r="274" spans="15:37" x14ac:dyDescent="0.25">
      <c r="O274">
        <v>273</v>
      </c>
      <c r="P274">
        <v>1.967148084787021E-2</v>
      </c>
      <c r="Q274">
        <v>4.3286607739723815E-4</v>
      </c>
      <c r="R274">
        <v>273</v>
      </c>
      <c r="S274">
        <v>1.381137696392478E-2</v>
      </c>
      <c r="T274">
        <v>4.3286607739723821E-4</v>
      </c>
      <c r="AI274">
        <v>273</v>
      </c>
      <c r="AJ274">
        <v>3.8464142712645213E-2</v>
      </c>
      <c r="AK274">
        <v>1</v>
      </c>
    </row>
    <row r="275" spans="15:37" x14ac:dyDescent="0.25">
      <c r="O275">
        <v>274</v>
      </c>
      <c r="P275">
        <v>1.9649499481234158E-2</v>
      </c>
      <c r="Q275">
        <v>4.5450938126710011E-4</v>
      </c>
      <c r="R275">
        <v>274</v>
      </c>
      <c r="S275">
        <v>1.3802659038280148E-2</v>
      </c>
      <c r="T275">
        <v>4.5450938126710016E-4</v>
      </c>
      <c r="AI275">
        <v>274</v>
      </c>
      <c r="AJ275">
        <v>3.845496918817265E-2</v>
      </c>
      <c r="AK275">
        <v>1</v>
      </c>
    </row>
    <row r="276" spans="15:37" x14ac:dyDescent="0.25">
      <c r="O276">
        <v>275</v>
      </c>
      <c r="P276">
        <v>1.962565214442381E-2</v>
      </c>
      <c r="Q276">
        <v>4.7723485033045513E-4</v>
      </c>
      <c r="R276">
        <v>275</v>
      </c>
      <c r="S276">
        <v>1.3787608457653382E-2</v>
      </c>
      <c r="T276">
        <v>4.7723485033045518E-4</v>
      </c>
      <c r="AI276">
        <v>275</v>
      </c>
      <c r="AJ276">
        <v>3.8449900254949008E-2</v>
      </c>
      <c r="AK276">
        <v>1</v>
      </c>
    </row>
    <row r="277" spans="15:37" x14ac:dyDescent="0.25">
      <c r="O277">
        <v>276</v>
      </c>
      <c r="P277">
        <v>1.9601797295044104E-2</v>
      </c>
      <c r="Q277">
        <v>5.0109659284697792E-4</v>
      </c>
      <c r="R277">
        <v>276</v>
      </c>
      <c r="S277">
        <v>1.3773442671651667E-2</v>
      </c>
      <c r="T277">
        <v>5.0109659284697792E-4</v>
      </c>
      <c r="AI277">
        <v>276</v>
      </c>
      <c r="AJ277">
        <v>3.8444943570265303E-2</v>
      </c>
      <c r="AK277">
        <v>1</v>
      </c>
    </row>
    <row r="278" spans="15:37" x14ac:dyDescent="0.25">
      <c r="O278">
        <v>277</v>
      </c>
      <c r="P278">
        <v>1.9574755545518366E-2</v>
      </c>
      <c r="Q278">
        <v>5.2615142248932682E-4</v>
      </c>
      <c r="R278">
        <v>277</v>
      </c>
      <c r="S278">
        <v>1.376150724238012E-2</v>
      </c>
      <c r="T278">
        <v>5.2615142248932682E-4</v>
      </c>
      <c r="AI278">
        <v>277</v>
      </c>
      <c r="AJ278">
        <v>3.8443030829592141E-2</v>
      </c>
      <c r="AK278">
        <v>1</v>
      </c>
    </row>
    <row r="279" spans="15:37" x14ac:dyDescent="0.25">
      <c r="O279">
        <v>278</v>
      </c>
      <c r="P279">
        <v>1.9550074586719146E-2</v>
      </c>
      <c r="Q279">
        <v>5.5245899361379316E-4</v>
      </c>
      <c r="R279">
        <v>278</v>
      </c>
      <c r="S279">
        <v>1.3744841392758561E-2</v>
      </c>
      <c r="T279">
        <v>5.5245899361379316E-4</v>
      </c>
      <c r="AI279">
        <v>278</v>
      </c>
      <c r="AJ279">
        <v>3.8439742875512883E-2</v>
      </c>
      <c r="AK279">
        <v>1</v>
      </c>
    </row>
    <row r="280" spans="15:37" x14ac:dyDescent="0.25">
      <c r="O280">
        <v>279</v>
      </c>
      <c r="P280">
        <v>1.9523440751056068E-2</v>
      </c>
      <c r="Q280">
        <v>5.8008194329448287E-4</v>
      </c>
      <c r="R280">
        <v>279</v>
      </c>
      <c r="S280">
        <v>1.3730127197203602E-2</v>
      </c>
      <c r="T280">
        <v>5.8008194329448287E-4</v>
      </c>
      <c r="AI280">
        <v>279</v>
      </c>
      <c r="AJ280">
        <v>3.843454296341451E-2</v>
      </c>
      <c r="AK280">
        <v>1</v>
      </c>
    </row>
    <row r="281" spans="15:37" x14ac:dyDescent="0.25">
      <c r="O281">
        <v>280</v>
      </c>
      <c r="P281">
        <v>1.9491643714637456E-2</v>
      </c>
      <c r="Q281">
        <v>6.0908604045920706E-4</v>
      </c>
      <c r="R281">
        <v>280</v>
      </c>
      <c r="S281">
        <v>1.3713472089844535E-2</v>
      </c>
      <c r="T281">
        <v>6.0908604045920706E-4</v>
      </c>
      <c r="AI281">
        <v>280</v>
      </c>
      <c r="AJ281">
        <v>3.842343986625571E-2</v>
      </c>
      <c r="AK281">
        <v>1</v>
      </c>
    </row>
    <row r="282" spans="15:37" x14ac:dyDescent="0.25">
      <c r="O282">
        <v>281</v>
      </c>
      <c r="P282">
        <v>1.9457737507277816E-2</v>
      </c>
      <c r="Q282">
        <v>6.3954034248216748E-4</v>
      </c>
      <c r="R282">
        <v>281</v>
      </c>
      <c r="S282">
        <v>1.3696536095036354E-2</v>
      </c>
      <c r="T282">
        <v>6.3954034248216748E-4</v>
      </c>
      <c r="AI282">
        <v>281</v>
      </c>
      <c r="AJ282">
        <v>3.8389527598262391E-2</v>
      </c>
      <c r="AK282">
        <v>1</v>
      </c>
    </row>
    <row r="283" spans="15:37" x14ac:dyDescent="0.25">
      <c r="O283">
        <v>282</v>
      </c>
      <c r="P283">
        <v>1.9422712466864094E-2</v>
      </c>
      <c r="Q283">
        <v>6.7151735960627591E-4</v>
      </c>
      <c r="R283">
        <v>282</v>
      </c>
      <c r="S283">
        <v>1.367881976099619E-2</v>
      </c>
      <c r="T283">
        <v>6.7151735960627591E-4</v>
      </c>
      <c r="AI283">
        <v>282</v>
      </c>
      <c r="AJ283">
        <v>3.8377308766051492E-2</v>
      </c>
      <c r="AK283">
        <v>0.25</v>
      </c>
    </row>
    <row r="284" spans="15:37" x14ac:dyDescent="0.25">
      <c r="O284">
        <v>283</v>
      </c>
      <c r="P284">
        <v>1.9401830965815114E-2</v>
      </c>
      <c r="Q284">
        <v>7.0509322758658972E-4</v>
      </c>
      <c r="R284">
        <v>283</v>
      </c>
      <c r="S284">
        <v>1.3661341045036577E-2</v>
      </c>
      <c r="T284">
        <v>7.0509322758658972E-4</v>
      </c>
      <c r="AI284">
        <v>283</v>
      </c>
      <c r="AJ284">
        <v>3.8340025020936037E-2</v>
      </c>
      <c r="AK284">
        <v>0.25</v>
      </c>
    </row>
    <row r="285" spans="15:37" x14ac:dyDescent="0.25">
      <c r="O285">
        <v>284</v>
      </c>
      <c r="P285">
        <v>1.9357826253154454E-2</v>
      </c>
      <c r="Q285">
        <v>7.4034788896591925E-4</v>
      </c>
      <c r="R285">
        <v>284</v>
      </c>
      <c r="S285">
        <v>1.3642312826812815E-2</v>
      </c>
      <c r="T285">
        <v>7.4034788896591925E-4</v>
      </c>
      <c r="AI285">
        <v>284</v>
      </c>
      <c r="AJ285">
        <v>3.8208334620092765E-2</v>
      </c>
      <c r="AK285">
        <v>1</v>
      </c>
    </row>
    <row r="286" spans="15:37" x14ac:dyDescent="0.25">
      <c r="O286">
        <v>285</v>
      </c>
      <c r="P286">
        <v>1.9313666728751722E-2</v>
      </c>
      <c r="Q286">
        <v>7.773652834142153E-4</v>
      </c>
      <c r="R286">
        <v>285</v>
      </c>
      <c r="S286">
        <v>1.3622914578884175E-2</v>
      </c>
      <c r="T286">
        <v>7.773652834142153E-4</v>
      </c>
      <c r="AI286">
        <v>285</v>
      </c>
      <c r="AJ286">
        <v>3.8014460320788812E-2</v>
      </c>
      <c r="AK286">
        <v>1</v>
      </c>
    </row>
    <row r="287" spans="15:37" x14ac:dyDescent="0.25">
      <c r="O287">
        <v>286</v>
      </c>
      <c r="P287">
        <v>1.9271505451150715E-2</v>
      </c>
      <c r="Q287">
        <v>8.1623354758492605E-4</v>
      </c>
      <c r="R287">
        <v>286</v>
      </c>
      <c r="S287">
        <v>1.3629572702328041E-2</v>
      </c>
      <c r="T287">
        <v>8.1623354758492605E-4</v>
      </c>
      <c r="AI287">
        <v>286</v>
      </c>
      <c r="AJ287">
        <v>3.7980522062123677E-2</v>
      </c>
      <c r="AK287">
        <v>0.125</v>
      </c>
    </row>
    <row r="288" spans="15:37" x14ac:dyDescent="0.25">
      <c r="O288">
        <v>287</v>
      </c>
      <c r="P288">
        <v>1.9238601324547182E-2</v>
      </c>
      <c r="Q288">
        <v>8.5704522496417236E-4</v>
      </c>
      <c r="R288">
        <v>287</v>
      </c>
      <c r="S288">
        <v>1.3622937938006046E-2</v>
      </c>
      <c r="T288">
        <v>8.1623354758492616E-5</v>
      </c>
      <c r="AI288">
        <v>287</v>
      </c>
      <c r="AJ288">
        <v>3.7935367736111059E-2</v>
      </c>
      <c r="AK288">
        <v>0.25</v>
      </c>
    </row>
    <row r="289" spans="15:37" x14ac:dyDescent="0.25">
      <c r="O289">
        <v>288</v>
      </c>
      <c r="P289">
        <v>1.9190413869937993E-2</v>
      </c>
      <c r="Q289">
        <v>8.9989748621238099E-4</v>
      </c>
      <c r="R289">
        <v>288</v>
      </c>
      <c r="S289">
        <v>1.362277301396835E-2</v>
      </c>
      <c r="T289">
        <v>8.1623354758492613E-6</v>
      </c>
      <c r="AI289">
        <v>288</v>
      </c>
      <c r="AJ289">
        <v>3.784405922855321E-2</v>
      </c>
      <c r="AK289">
        <v>1</v>
      </c>
    </row>
    <row r="290" spans="15:37" x14ac:dyDescent="0.25">
      <c r="O290">
        <v>289</v>
      </c>
      <c r="P290">
        <v>1.9145416162046416E-2</v>
      </c>
      <c r="Q290">
        <v>9.4489236052300004E-4</v>
      </c>
      <c r="R290">
        <v>289</v>
      </c>
      <c r="S290">
        <v>1.3622387637590071E-2</v>
      </c>
      <c r="T290">
        <v>8.5704522496417251E-6</v>
      </c>
      <c r="AI290">
        <v>289</v>
      </c>
      <c r="AJ290">
        <v>3.7742353553032647E-2</v>
      </c>
      <c r="AK290">
        <v>1</v>
      </c>
    </row>
    <row r="291" spans="15:37" x14ac:dyDescent="0.25">
      <c r="O291">
        <v>290</v>
      </c>
      <c r="P291">
        <v>1.9096223806908532E-2</v>
      </c>
      <c r="Q291">
        <v>9.9213697854915015E-4</v>
      </c>
      <c r="R291">
        <v>290</v>
      </c>
      <c r="S291">
        <v>1.3622007040866713E-2</v>
      </c>
      <c r="T291">
        <v>8.9989748621238119E-6</v>
      </c>
      <c r="AI291">
        <v>290</v>
      </c>
      <c r="AJ291">
        <v>3.7613555254598127E-2</v>
      </c>
      <c r="AK291">
        <v>1</v>
      </c>
    </row>
    <row r="292" spans="15:37" x14ac:dyDescent="0.25">
      <c r="O292">
        <v>291</v>
      </c>
      <c r="P292">
        <v>1.9081393136117054E-2</v>
      </c>
      <c r="Q292">
        <v>1.0417438274766078E-3</v>
      </c>
      <c r="R292">
        <v>291</v>
      </c>
      <c r="S292">
        <v>1.3621817443725284E-2</v>
      </c>
      <c r="T292">
        <v>9.4489236052300027E-6</v>
      </c>
      <c r="AI292">
        <v>291</v>
      </c>
      <c r="AJ292">
        <v>3.7527165401744278E-2</v>
      </c>
      <c r="AK292">
        <v>0.25</v>
      </c>
    </row>
    <row r="293" spans="15:37" x14ac:dyDescent="0.25">
      <c r="O293">
        <v>292</v>
      </c>
      <c r="P293">
        <v>1.8999612073967005E-2</v>
      </c>
      <c r="Q293">
        <v>1.0938310188504381E-3</v>
      </c>
      <c r="R293">
        <v>292</v>
      </c>
      <c r="S293">
        <v>1.3621455279112869E-2</v>
      </c>
      <c r="T293">
        <v>9.921369785491504E-6</v>
      </c>
      <c r="AI293">
        <v>292</v>
      </c>
      <c r="AJ293">
        <v>3.7383401291281732E-2</v>
      </c>
      <c r="AK293">
        <v>1</v>
      </c>
    </row>
    <row r="294" spans="15:37" x14ac:dyDescent="0.25">
      <c r="O294">
        <v>293</v>
      </c>
      <c r="P294">
        <v>1.894473403415313E-2</v>
      </c>
      <c r="Q294">
        <v>1.1485225697929601E-3</v>
      </c>
      <c r="AI294">
        <v>293</v>
      </c>
      <c r="AJ294">
        <v>3.723380418001624E-2</v>
      </c>
      <c r="AK294">
        <v>1</v>
      </c>
    </row>
    <row r="295" spans="15:37" x14ac:dyDescent="0.25">
      <c r="O295">
        <v>294</v>
      </c>
      <c r="P295">
        <v>1.8898518615682477E-2</v>
      </c>
      <c r="Q295">
        <v>1.2059486982826083E-3</v>
      </c>
      <c r="AI295">
        <v>294</v>
      </c>
      <c r="AJ295">
        <v>3.7192607171193756E-2</v>
      </c>
      <c r="AK295">
        <v>0.5</v>
      </c>
    </row>
    <row r="296" spans="15:37" x14ac:dyDescent="0.25">
      <c r="O296">
        <v>295</v>
      </c>
      <c r="P296">
        <v>1.8848298107458375E-2</v>
      </c>
      <c r="Q296">
        <v>1.2662461331967387E-3</v>
      </c>
      <c r="AI296">
        <v>295</v>
      </c>
      <c r="AJ296">
        <v>3.7070743283371087E-2</v>
      </c>
      <c r="AK296">
        <v>1</v>
      </c>
    </row>
    <row r="297" spans="15:37" x14ac:dyDescent="0.25">
      <c r="O297">
        <v>296</v>
      </c>
      <c r="P297">
        <v>1.8793384596218734E-2</v>
      </c>
      <c r="Q297">
        <v>1.3295584398565756E-3</v>
      </c>
      <c r="AI297">
        <v>296</v>
      </c>
      <c r="AJ297">
        <v>3.7041272761707621E-2</v>
      </c>
      <c r="AK297">
        <v>1</v>
      </c>
    </row>
    <row r="298" spans="15:37" x14ac:dyDescent="0.25">
      <c r="O298">
        <v>297</v>
      </c>
      <c r="P298">
        <v>1.8729477614592944E-2</v>
      </c>
      <c r="Q298">
        <v>1.3960363618494044E-3</v>
      </c>
      <c r="AI298">
        <v>297</v>
      </c>
      <c r="AJ298">
        <v>3.6998963843918091E-2</v>
      </c>
      <c r="AK298">
        <v>1</v>
      </c>
    </row>
    <row r="299" spans="15:37" x14ac:dyDescent="0.25">
      <c r="O299">
        <v>298</v>
      </c>
      <c r="P299">
        <v>1.866070968393594E-2</v>
      </c>
      <c r="Q299">
        <v>1.4658381799418747E-3</v>
      </c>
      <c r="AI299">
        <v>298</v>
      </c>
      <c r="AJ299">
        <v>3.6941335340552085E-2</v>
      </c>
      <c r="AK299">
        <v>1</v>
      </c>
    </row>
    <row r="300" spans="15:37" x14ac:dyDescent="0.25">
      <c r="O300">
        <v>299</v>
      </c>
      <c r="P300">
        <v>1.862431005095511E-2</v>
      </c>
      <c r="Q300">
        <v>1.5391300889389685E-3</v>
      </c>
      <c r="AI300">
        <v>299</v>
      </c>
      <c r="AJ300">
        <v>3.6917784740663533E-2</v>
      </c>
      <c r="AK300">
        <v>1</v>
      </c>
    </row>
    <row r="301" spans="15:37" x14ac:dyDescent="0.25">
      <c r="O301">
        <v>300</v>
      </c>
      <c r="P301">
        <v>1.8538418808607213E-2</v>
      </c>
      <c r="Q301">
        <v>1.6160865933859169E-3</v>
      </c>
      <c r="AI301">
        <v>300</v>
      </c>
      <c r="AJ301">
        <v>3.6897262978471408E-2</v>
      </c>
      <c r="AK301">
        <v>1</v>
      </c>
    </row>
    <row r="302" spans="15:37" x14ac:dyDescent="0.25">
      <c r="O302">
        <v>301</v>
      </c>
      <c r="P302">
        <v>1.8441842388533615E-2</v>
      </c>
      <c r="Q302">
        <v>1.6968909230552127E-3</v>
      </c>
      <c r="AI302">
        <v>301</v>
      </c>
      <c r="AJ302">
        <v>3.6883355140947913E-2</v>
      </c>
      <c r="AK302">
        <v>1</v>
      </c>
    </row>
    <row r="303" spans="15:37" x14ac:dyDescent="0.25">
      <c r="O303">
        <v>302</v>
      </c>
      <c r="P303">
        <v>1.8431659097798463E-2</v>
      </c>
      <c r="Q303">
        <v>1.7817354692079735E-3</v>
      </c>
      <c r="AI303">
        <v>302</v>
      </c>
      <c r="AJ303">
        <v>3.6878381203354509E-2</v>
      </c>
      <c r="AK303">
        <v>1</v>
      </c>
    </row>
    <row r="304" spans="15:37" x14ac:dyDescent="0.25">
      <c r="O304">
        <v>303</v>
      </c>
      <c r="P304">
        <v>1.8298051030484316E-2</v>
      </c>
      <c r="Q304">
        <v>1.8708222426683722E-3</v>
      </c>
      <c r="AI304">
        <v>303</v>
      </c>
      <c r="AJ304">
        <v>3.6874231743700206E-2</v>
      </c>
      <c r="AK304">
        <v>1</v>
      </c>
    </row>
    <row r="305" spans="15:37" x14ac:dyDescent="0.25">
      <c r="O305">
        <v>304</v>
      </c>
      <c r="P305">
        <v>1.8283268997922698E-2</v>
      </c>
      <c r="Q305">
        <v>1.964363354801791E-3</v>
      </c>
      <c r="AI305">
        <v>304</v>
      </c>
      <c r="AJ305">
        <v>3.6870265010845435E-2</v>
      </c>
      <c r="AK305">
        <v>1</v>
      </c>
    </row>
    <row r="306" spans="15:37" x14ac:dyDescent="0.25">
      <c r="O306">
        <v>305</v>
      </c>
      <c r="P306">
        <v>1.8135439758257065E-2</v>
      </c>
      <c r="Q306">
        <v>2.0625815225418808E-3</v>
      </c>
      <c r="AI306">
        <v>305</v>
      </c>
      <c r="AJ306">
        <v>3.68694366598993E-2</v>
      </c>
      <c r="AK306">
        <v>1</v>
      </c>
    </row>
    <row r="307" spans="15:37" x14ac:dyDescent="0.25">
      <c r="O307">
        <v>306</v>
      </c>
      <c r="P307">
        <v>1.8068820155745877E-2</v>
      </c>
      <c r="Q307">
        <v>2.165710598668975E-3</v>
      </c>
      <c r="AI307">
        <v>306</v>
      </c>
      <c r="AJ307">
        <v>3.6868757056599727E-2</v>
      </c>
      <c r="AK307">
        <v>1</v>
      </c>
    </row>
    <row r="308" spans="15:37" x14ac:dyDescent="0.25">
      <c r="O308">
        <v>307</v>
      </c>
      <c r="P308">
        <v>1.7975089029264223E-2</v>
      </c>
      <c r="Q308">
        <v>2.2739961286024238E-3</v>
      </c>
      <c r="AI308">
        <v>307</v>
      </c>
      <c r="AJ308">
        <v>3.6867467944326826E-2</v>
      </c>
      <c r="AK308">
        <v>1</v>
      </c>
    </row>
    <row r="309" spans="15:37" x14ac:dyDescent="0.25">
      <c r="O309">
        <v>308</v>
      </c>
      <c r="P309">
        <v>1.7917645383149525E-2</v>
      </c>
      <c r="Q309">
        <v>2.3876959350325449E-3</v>
      </c>
      <c r="AI309">
        <v>308</v>
      </c>
      <c r="AJ309">
        <v>3.6863718614496707E-2</v>
      </c>
      <c r="AK309">
        <v>1</v>
      </c>
    </row>
    <row r="310" spans="15:37" x14ac:dyDescent="0.25">
      <c r="O310">
        <v>309</v>
      </c>
      <c r="P310">
        <v>1.7792801789595115E-2</v>
      </c>
      <c r="Q310">
        <v>2.5070807317841724E-3</v>
      </c>
      <c r="AI310">
        <v>309</v>
      </c>
      <c r="AJ310">
        <v>3.6854775612203808E-2</v>
      </c>
      <c r="AK310">
        <v>1</v>
      </c>
    </row>
    <row r="311" spans="15:37" x14ac:dyDescent="0.25">
      <c r="O311">
        <v>310</v>
      </c>
      <c r="P311">
        <v>1.7806836595905796E-2</v>
      </c>
      <c r="Q311">
        <v>2.6324347683733813E-3</v>
      </c>
      <c r="AI311">
        <v>310</v>
      </c>
      <c r="AJ311">
        <v>3.6838961628711031E-2</v>
      </c>
      <c r="AK311">
        <v>1</v>
      </c>
    </row>
    <row r="312" spans="15:37" x14ac:dyDescent="0.25">
      <c r="O312">
        <v>311</v>
      </c>
      <c r="P312">
        <v>1.7780098558931149E-2</v>
      </c>
      <c r="Q312">
        <v>2.6324347683733814E-4</v>
      </c>
      <c r="AI312">
        <v>311</v>
      </c>
      <c r="AJ312">
        <v>3.6805812757054558E-2</v>
      </c>
      <c r="AK312">
        <v>1</v>
      </c>
    </row>
    <row r="313" spans="15:37" x14ac:dyDescent="0.25">
      <c r="O313">
        <v>312</v>
      </c>
      <c r="P313">
        <v>1.7766724806754522E-2</v>
      </c>
      <c r="Q313">
        <v>2.7640565067920504E-4</v>
      </c>
      <c r="AI313">
        <v>312</v>
      </c>
      <c r="AJ313">
        <v>3.6791740546931934E-2</v>
      </c>
      <c r="AK313">
        <v>1</v>
      </c>
    </row>
    <row r="314" spans="15:37" x14ac:dyDescent="0.25">
      <c r="O314">
        <v>313</v>
      </c>
      <c r="P314">
        <v>1.7756108069363657E-2</v>
      </c>
      <c r="Q314">
        <v>2.9022593321316529E-4</v>
      </c>
      <c r="AI314">
        <v>313</v>
      </c>
      <c r="AJ314">
        <v>3.6764268005514314E-2</v>
      </c>
      <c r="AK314">
        <v>1</v>
      </c>
    </row>
    <row r="315" spans="15:37" x14ac:dyDescent="0.25">
      <c r="O315">
        <v>314</v>
      </c>
      <c r="P315">
        <v>1.7745385717960197E-2</v>
      </c>
      <c r="Q315">
        <v>3.0473722987382356E-4</v>
      </c>
      <c r="AI315">
        <v>314</v>
      </c>
      <c r="AJ315">
        <v>3.6706171938139187E-2</v>
      </c>
      <c r="AK315">
        <v>1</v>
      </c>
    </row>
    <row r="316" spans="15:37" x14ac:dyDescent="0.25">
      <c r="O316">
        <v>315</v>
      </c>
      <c r="P316">
        <v>1.7731465180702365E-2</v>
      </c>
      <c r="Q316">
        <v>3.1997409136751473E-4</v>
      </c>
      <c r="AI316">
        <v>315</v>
      </c>
      <c r="AJ316">
        <v>3.66916470463792E-2</v>
      </c>
      <c r="AK316">
        <v>0.25</v>
      </c>
    </row>
    <row r="317" spans="15:37" x14ac:dyDescent="0.25">
      <c r="O317">
        <v>316</v>
      </c>
      <c r="P317">
        <v>1.7716191888673391E-2</v>
      </c>
      <c r="Q317">
        <v>3.3597279593589047E-4</v>
      </c>
      <c r="AI317">
        <v>316</v>
      </c>
      <c r="AJ317">
        <v>3.6669287238506688E-2</v>
      </c>
      <c r="AK317">
        <v>1</v>
      </c>
    </row>
    <row r="318" spans="15:37" x14ac:dyDescent="0.25">
      <c r="O318">
        <v>317</v>
      </c>
      <c r="P318">
        <v>1.7701784604557225E-2</v>
      </c>
      <c r="Q318">
        <v>3.52771435732685E-4</v>
      </c>
      <c r="AI318">
        <v>317</v>
      </c>
      <c r="AJ318">
        <v>3.6652276500231978E-2</v>
      </c>
      <c r="AK318">
        <v>1</v>
      </c>
    </row>
    <row r="319" spans="15:37" x14ac:dyDescent="0.25">
      <c r="O319">
        <v>318</v>
      </c>
      <c r="P319">
        <v>1.7687313406817055E-2</v>
      </c>
      <c r="Q319">
        <v>3.7041000751931926E-4</v>
      </c>
      <c r="AI319">
        <v>318</v>
      </c>
      <c r="AJ319">
        <v>3.6639972426127917E-2</v>
      </c>
      <c r="AK319">
        <v>1</v>
      </c>
    </row>
    <row r="320" spans="15:37" x14ac:dyDescent="0.25">
      <c r="O320">
        <v>319</v>
      </c>
      <c r="P320">
        <v>1.7670951425645978E-2</v>
      </c>
      <c r="Q320">
        <v>3.8893050789528524E-4</v>
      </c>
      <c r="AI320">
        <v>319</v>
      </c>
      <c r="AJ320">
        <v>3.6624090276629016E-2</v>
      </c>
      <c r="AK320">
        <v>1</v>
      </c>
    </row>
    <row r="321" spans="15:37" x14ac:dyDescent="0.25">
      <c r="O321">
        <v>320</v>
      </c>
      <c r="P321">
        <v>1.765336065401913E-2</v>
      </c>
      <c r="Q321">
        <v>4.0837703329004951E-4</v>
      </c>
      <c r="AI321">
        <v>320</v>
      </c>
      <c r="AJ321">
        <v>3.6604910663449085E-2</v>
      </c>
      <c r="AK321">
        <v>1</v>
      </c>
    </row>
    <row r="322" spans="15:37" x14ac:dyDescent="0.25">
      <c r="O322">
        <v>321</v>
      </c>
      <c r="P322">
        <v>1.7633776610480507E-2</v>
      </c>
      <c r="Q322">
        <v>4.2879588495455201E-4</v>
      </c>
      <c r="AI322">
        <v>321</v>
      </c>
      <c r="AJ322">
        <v>3.659072964335304E-2</v>
      </c>
      <c r="AK322">
        <v>1</v>
      </c>
    </row>
    <row r="323" spans="15:37" x14ac:dyDescent="0.25">
      <c r="O323">
        <v>322</v>
      </c>
      <c r="P323">
        <v>1.7613934062991225E-2</v>
      </c>
      <c r="Q323">
        <v>4.5023567920227965E-4</v>
      </c>
      <c r="AI323">
        <v>322</v>
      </c>
      <c r="AJ323">
        <v>3.6581022109591167E-2</v>
      </c>
      <c r="AK323">
        <v>1</v>
      </c>
    </row>
    <row r="324" spans="15:37" x14ac:dyDescent="0.25">
      <c r="O324">
        <v>323</v>
      </c>
      <c r="P324">
        <v>1.759260352775259E-2</v>
      </c>
      <c r="Q324">
        <v>4.7274746316239367E-4</v>
      </c>
      <c r="AI324">
        <v>323</v>
      </c>
      <c r="AJ324">
        <v>3.6575967915909724E-2</v>
      </c>
      <c r="AK324">
        <v>1</v>
      </c>
    </row>
    <row r="325" spans="15:37" x14ac:dyDescent="0.25">
      <c r="O325">
        <v>324</v>
      </c>
      <c r="P325">
        <v>1.7569274519458271E-2</v>
      </c>
      <c r="Q325">
        <v>4.9638483632051338E-4</v>
      </c>
      <c r="AI325">
        <v>324</v>
      </c>
      <c r="AJ325">
        <v>3.6572060403190519E-2</v>
      </c>
      <c r="AK325">
        <v>0.5</v>
      </c>
    </row>
    <row r="326" spans="15:37" x14ac:dyDescent="0.25">
      <c r="O326">
        <v>325</v>
      </c>
      <c r="P326">
        <v>1.7547490205937027E-2</v>
      </c>
      <c r="Q326">
        <v>5.2120407813653906E-4</v>
      </c>
      <c r="AI326">
        <v>325</v>
      </c>
      <c r="AJ326">
        <v>3.6569115618703088E-2</v>
      </c>
      <c r="AK326">
        <v>1</v>
      </c>
    </row>
    <row r="327" spans="15:37" x14ac:dyDescent="0.25">
      <c r="O327">
        <v>326</v>
      </c>
      <c r="P327">
        <v>1.7524899782563278E-2</v>
      </c>
      <c r="Q327">
        <v>5.4726428204336609E-4</v>
      </c>
      <c r="AI327">
        <v>326</v>
      </c>
      <c r="AJ327">
        <v>3.656740163857785E-2</v>
      </c>
      <c r="AK327">
        <v>1</v>
      </c>
    </row>
    <row r="328" spans="15:37" x14ac:dyDescent="0.25">
      <c r="O328">
        <v>327</v>
      </c>
      <c r="P328">
        <v>1.7497127919534006E-2</v>
      </c>
      <c r="Q328">
        <v>5.7462749614553446E-4</v>
      </c>
      <c r="AI328">
        <v>327</v>
      </c>
      <c r="AJ328">
        <v>3.6566722842814717E-2</v>
      </c>
      <c r="AK328">
        <v>1</v>
      </c>
    </row>
    <row r="329" spans="15:37" x14ac:dyDescent="0.25">
      <c r="O329">
        <v>328</v>
      </c>
      <c r="P329">
        <v>1.7480501760879504E-2</v>
      </c>
      <c r="Q329">
        <v>6.0335887095281119E-4</v>
      </c>
      <c r="AI329">
        <v>328</v>
      </c>
      <c r="AJ329">
        <v>3.6566197455338047E-2</v>
      </c>
      <c r="AK329">
        <v>1</v>
      </c>
    </row>
    <row r="330" spans="15:37" x14ac:dyDescent="0.25">
      <c r="O330">
        <v>329</v>
      </c>
      <c r="P330">
        <v>1.7444150428726338E-2</v>
      </c>
      <c r="Q330">
        <v>6.3352681450045182E-4</v>
      </c>
      <c r="AI330">
        <v>329</v>
      </c>
      <c r="AJ330">
        <v>3.6565727287957664E-2</v>
      </c>
      <c r="AK330">
        <v>1</v>
      </c>
    </row>
    <row r="331" spans="15:37" x14ac:dyDescent="0.25">
      <c r="O331">
        <v>330</v>
      </c>
      <c r="P331">
        <v>1.7417422693811163E-2</v>
      </c>
      <c r="Q331">
        <v>6.6520315522547446E-4</v>
      </c>
      <c r="AI331">
        <v>330</v>
      </c>
      <c r="AJ331">
        <v>3.6565191471245838E-2</v>
      </c>
      <c r="AK331">
        <v>1</v>
      </c>
    </row>
    <row r="332" spans="15:37" x14ac:dyDescent="0.25">
      <c r="O332">
        <v>331</v>
      </c>
      <c r="P332">
        <v>1.7388253514629394E-2</v>
      </c>
      <c r="Q332">
        <v>6.9846331298674825E-4</v>
      </c>
      <c r="AI332">
        <v>331</v>
      </c>
      <c r="AJ332">
        <v>3.6564168149025723E-2</v>
      </c>
      <c r="AK332">
        <v>1</v>
      </c>
    </row>
    <row r="333" spans="15:37" x14ac:dyDescent="0.25">
      <c r="O333">
        <v>332</v>
      </c>
      <c r="P333">
        <v>1.7360240434129471E-2</v>
      </c>
      <c r="Q333">
        <v>7.3338647863608567E-4</v>
      </c>
      <c r="AI333">
        <v>332</v>
      </c>
      <c r="AJ333">
        <v>3.656180967867384E-2</v>
      </c>
      <c r="AK333">
        <v>1</v>
      </c>
    </row>
    <row r="334" spans="15:37" x14ac:dyDescent="0.25">
      <c r="O334">
        <v>333</v>
      </c>
      <c r="P334">
        <v>1.7333923391316796E-2</v>
      </c>
      <c r="Q334">
        <v>7.7005580256789003E-4</v>
      </c>
      <c r="AI334">
        <v>333</v>
      </c>
      <c r="AJ334">
        <v>3.6556429057254099E-2</v>
      </c>
      <c r="AK334">
        <v>1</v>
      </c>
    </row>
    <row r="335" spans="15:37" x14ac:dyDescent="0.25">
      <c r="O335">
        <v>334</v>
      </c>
      <c r="P335">
        <v>1.7304001957716284E-2</v>
      </c>
      <c r="Q335">
        <v>8.0855859269628454E-4</v>
      </c>
      <c r="AI335">
        <v>334</v>
      </c>
      <c r="AJ335">
        <v>3.6554277041068325E-2</v>
      </c>
      <c r="AK335">
        <v>0.25</v>
      </c>
    </row>
    <row r="336" spans="15:37" x14ac:dyDescent="0.25">
      <c r="O336">
        <v>335</v>
      </c>
      <c r="P336">
        <v>1.726969152638673E-2</v>
      </c>
      <c r="Q336">
        <v>8.4898652233109876E-4</v>
      </c>
      <c r="AI336">
        <v>335</v>
      </c>
      <c r="AJ336">
        <v>3.6546238498692686E-2</v>
      </c>
      <c r="AK336">
        <v>1</v>
      </c>
    </row>
    <row r="337" spans="15:37" x14ac:dyDescent="0.25">
      <c r="O337">
        <v>336</v>
      </c>
      <c r="P337">
        <v>1.7235982569462877E-2</v>
      </c>
      <c r="Q337">
        <v>8.9143584844765371E-4</v>
      </c>
      <c r="AI337">
        <v>336</v>
      </c>
      <c r="AJ337">
        <v>3.6522982128802145E-2</v>
      </c>
      <c r="AK337">
        <v>1</v>
      </c>
    </row>
    <row r="338" spans="15:37" x14ac:dyDescent="0.25">
      <c r="O338">
        <v>337</v>
      </c>
      <c r="P338">
        <v>1.7215266767640732E-2</v>
      </c>
      <c r="Q338">
        <v>9.3600764087003639E-4</v>
      </c>
      <c r="AI338">
        <v>337</v>
      </c>
      <c r="AJ338">
        <v>3.6509296441084069E-2</v>
      </c>
      <c r="AK338">
        <v>0.25</v>
      </c>
    </row>
    <row r="339" spans="15:37" x14ac:dyDescent="0.25">
      <c r="O339">
        <v>338</v>
      </c>
      <c r="P339">
        <v>1.717321983439157E-2</v>
      </c>
      <c r="Q339">
        <v>9.828080229135382E-4</v>
      </c>
      <c r="AI339">
        <v>338</v>
      </c>
      <c r="AJ339">
        <v>3.6480794230959894E-2</v>
      </c>
      <c r="AK339">
        <v>1</v>
      </c>
    </row>
    <row r="340" spans="15:37" x14ac:dyDescent="0.25">
      <c r="O340">
        <v>339</v>
      </c>
      <c r="P340">
        <v>1.712476276299792E-2</v>
      </c>
      <c r="Q340">
        <v>1.0319484240592152E-3</v>
      </c>
      <c r="AI340">
        <v>339</v>
      </c>
      <c r="AJ340">
        <v>3.6440562400985053E-2</v>
      </c>
      <c r="AK340">
        <v>0.5</v>
      </c>
    </row>
    <row r="341" spans="15:37" x14ac:dyDescent="0.25">
      <c r="O341">
        <v>340</v>
      </c>
      <c r="P341">
        <v>1.7098254106898695E-2</v>
      </c>
      <c r="Q341">
        <v>1.083545845262176E-3</v>
      </c>
      <c r="AI341">
        <v>340</v>
      </c>
      <c r="AJ341">
        <v>3.6432741849350948E-2</v>
      </c>
      <c r="AK341">
        <v>1</v>
      </c>
    </row>
    <row r="342" spans="15:37" x14ac:dyDescent="0.25">
      <c r="O342">
        <v>341</v>
      </c>
      <c r="P342">
        <v>1.7034349969384289E-2</v>
      </c>
      <c r="Q342">
        <v>1.1377231375252848E-3</v>
      </c>
      <c r="AI342">
        <v>341</v>
      </c>
      <c r="AJ342">
        <v>3.6405884501628315E-2</v>
      </c>
      <c r="AK342">
        <v>1</v>
      </c>
    </row>
    <row r="343" spans="15:37" x14ac:dyDescent="0.25">
      <c r="O343">
        <v>342</v>
      </c>
      <c r="P343">
        <v>1.6989284599570161E-2</v>
      </c>
      <c r="Q343">
        <v>1.1946092944015491E-3</v>
      </c>
      <c r="AI343">
        <v>342</v>
      </c>
      <c r="AJ343">
        <v>3.6390933440903946E-2</v>
      </c>
      <c r="AK343">
        <v>1</v>
      </c>
    </row>
    <row r="344" spans="15:37" x14ac:dyDescent="0.25">
      <c r="O344">
        <v>343</v>
      </c>
      <c r="P344">
        <v>1.6947248891946813E-2</v>
      </c>
      <c r="Q344">
        <v>1.2543397591216266E-3</v>
      </c>
      <c r="AI344">
        <v>343</v>
      </c>
      <c r="AJ344">
        <v>3.6384745892247571E-2</v>
      </c>
      <c r="AK344">
        <v>1</v>
      </c>
    </row>
    <row r="345" spans="15:37" x14ac:dyDescent="0.25">
      <c r="O345">
        <v>344</v>
      </c>
      <c r="P345">
        <v>1.6982088996277647E-2</v>
      </c>
      <c r="Q345">
        <v>1.3170567470777079E-3</v>
      </c>
      <c r="AI345">
        <v>344</v>
      </c>
      <c r="AJ345">
        <v>3.6367138054163577E-2</v>
      </c>
      <c r="AK345">
        <v>1</v>
      </c>
    </row>
    <row r="346" spans="15:37" x14ac:dyDescent="0.25">
      <c r="O346">
        <v>345</v>
      </c>
      <c r="P346">
        <v>1.6941304525378856E-2</v>
      </c>
      <c r="Q346">
        <v>1.317056747077708E-4</v>
      </c>
      <c r="AI346">
        <v>345</v>
      </c>
      <c r="AJ346">
        <v>3.6361222497223913E-2</v>
      </c>
      <c r="AK346">
        <v>1</v>
      </c>
    </row>
    <row r="347" spans="15:37" x14ac:dyDescent="0.25">
      <c r="O347">
        <v>346</v>
      </c>
      <c r="P347">
        <v>1.6934317479037165E-2</v>
      </c>
      <c r="Q347">
        <v>1.3829095844315934E-4</v>
      </c>
      <c r="AI347">
        <v>346</v>
      </c>
      <c r="AJ347">
        <v>3.6346535292181785E-2</v>
      </c>
      <c r="AK347">
        <v>1</v>
      </c>
    </row>
    <row r="348" spans="15:37" x14ac:dyDescent="0.25">
      <c r="O348">
        <v>347</v>
      </c>
      <c r="P348">
        <v>1.6928060096603019E-2</v>
      </c>
      <c r="Q348">
        <v>1.4520550636531733E-4</v>
      </c>
      <c r="AI348">
        <v>347</v>
      </c>
      <c r="AJ348">
        <v>3.6327803473670553E-2</v>
      </c>
      <c r="AK348">
        <v>1</v>
      </c>
    </row>
    <row r="349" spans="15:37" x14ac:dyDescent="0.25">
      <c r="O349">
        <v>348</v>
      </c>
      <c r="P349">
        <v>1.692209107811754E-2</v>
      </c>
      <c r="Q349">
        <v>1.5246578168358319E-4</v>
      </c>
      <c r="AI349">
        <v>348</v>
      </c>
      <c r="AJ349">
        <v>3.6287124869275766E-2</v>
      </c>
      <c r="AK349">
        <v>1</v>
      </c>
    </row>
    <row r="350" spans="15:37" x14ac:dyDescent="0.25">
      <c r="O350">
        <v>349</v>
      </c>
      <c r="P350">
        <v>1.6915879763407533E-2</v>
      </c>
      <c r="Q350">
        <v>1.6008907076776234E-4</v>
      </c>
      <c r="AI350">
        <v>349</v>
      </c>
      <c r="AJ350">
        <v>3.6122187028597645E-2</v>
      </c>
      <c r="AK350">
        <v>1</v>
      </c>
    </row>
    <row r="351" spans="15:37" x14ac:dyDescent="0.25">
      <c r="O351">
        <v>350</v>
      </c>
      <c r="P351">
        <v>1.6909373973599182E-2</v>
      </c>
      <c r="Q351">
        <v>1.6809352430615046E-4</v>
      </c>
      <c r="AI351">
        <v>350</v>
      </c>
      <c r="AJ351">
        <v>3.6085157939306826E-2</v>
      </c>
      <c r="AK351">
        <v>0.25</v>
      </c>
    </row>
    <row r="352" spans="15:37" x14ac:dyDescent="0.25">
      <c r="O352">
        <v>351</v>
      </c>
      <c r="P352">
        <v>1.6902604657672671E-2</v>
      </c>
      <c r="Q352">
        <v>1.76498200521458E-4</v>
      </c>
      <c r="AI352">
        <v>351</v>
      </c>
      <c r="AJ352">
        <v>3.6047266585394158E-2</v>
      </c>
      <c r="AK352">
        <v>0.125</v>
      </c>
    </row>
    <row r="353" spans="15:37" x14ac:dyDescent="0.25">
      <c r="O353">
        <v>352</v>
      </c>
      <c r="P353">
        <v>1.6895064414054878E-2</v>
      </c>
      <c r="Q353">
        <v>1.8532311054753091E-4</v>
      </c>
      <c r="AI353">
        <v>352</v>
      </c>
      <c r="AJ353">
        <v>3.5900224579682824E-2</v>
      </c>
      <c r="AK353">
        <v>1</v>
      </c>
    </row>
    <row r="354" spans="15:37" x14ac:dyDescent="0.25">
      <c r="O354">
        <v>353</v>
      </c>
      <c r="P354">
        <v>1.6887020438399611E-2</v>
      </c>
      <c r="Q354">
        <v>1.9458926607490747E-4</v>
      </c>
      <c r="AI354">
        <v>353</v>
      </c>
      <c r="AJ354">
        <v>3.5845196925992411E-2</v>
      </c>
      <c r="AK354">
        <v>1</v>
      </c>
    </row>
    <row r="355" spans="15:37" x14ac:dyDescent="0.25">
      <c r="O355">
        <v>354</v>
      </c>
      <c r="P355">
        <v>1.6878153738315905E-2</v>
      </c>
      <c r="Q355">
        <v>2.0431872937865284E-4</v>
      </c>
      <c r="AI355">
        <v>354</v>
      </c>
      <c r="AJ355">
        <v>3.5802196262221857E-2</v>
      </c>
      <c r="AK355">
        <v>1</v>
      </c>
    </row>
    <row r="356" spans="15:37" x14ac:dyDescent="0.25">
      <c r="O356">
        <v>355</v>
      </c>
      <c r="P356">
        <v>1.6869655619992124E-2</v>
      </c>
      <c r="Q356">
        <v>2.1453466584758549E-4</v>
      </c>
      <c r="AI356">
        <v>355</v>
      </c>
      <c r="AJ356">
        <v>3.5752807780986356E-2</v>
      </c>
      <c r="AK356">
        <v>1</v>
      </c>
    </row>
    <row r="357" spans="15:37" x14ac:dyDescent="0.25">
      <c r="O357">
        <v>356</v>
      </c>
      <c r="P357">
        <v>1.6860912706582683E-2</v>
      </c>
      <c r="Q357">
        <v>2.2526139913996477E-4</v>
      </c>
      <c r="AI357">
        <v>356</v>
      </c>
      <c r="AJ357">
        <v>3.5704242567341095E-2</v>
      </c>
      <c r="AK357">
        <v>1</v>
      </c>
    </row>
    <row r="358" spans="15:37" x14ac:dyDescent="0.25">
      <c r="O358">
        <v>357</v>
      </c>
      <c r="P358">
        <v>1.6851491271480962E-2</v>
      </c>
      <c r="Q358">
        <v>2.3652446909696302E-4</v>
      </c>
      <c r="AI358">
        <v>357</v>
      </c>
      <c r="AJ358">
        <v>3.5634762516671699E-2</v>
      </c>
      <c r="AK358">
        <v>1</v>
      </c>
    </row>
    <row r="359" spans="15:37" x14ac:dyDescent="0.25">
      <c r="O359">
        <v>358</v>
      </c>
      <c r="P359">
        <v>1.6842299206097817E-2</v>
      </c>
      <c r="Q359">
        <v>2.4835069255181119E-4</v>
      </c>
      <c r="AI359">
        <v>358</v>
      </c>
      <c r="AJ359">
        <v>3.5618774714613756E-2</v>
      </c>
      <c r="AK359">
        <v>1</v>
      </c>
    </row>
    <row r="360" spans="15:37" x14ac:dyDescent="0.25">
      <c r="O360">
        <v>359</v>
      </c>
      <c r="P360">
        <v>1.68332862020425E-2</v>
      </c>
      <c r="Q360">
        <v>2.6076822717940179E-4</v>
      </c>
      <c r="AI360">
        <v>359</v>
      </c>
      <c r="AJ360">
        <v>3.5532338157103785E-2</v>
      </c>
      <c r="AK360">
        <v>0.5</v>
      </c>
    </row>
    <row r="361" spans="15:37" x14ac:dyDescent="0.25">
      <c r="O361">
        <v>360</v>
      </c>
      <c r="P361">
        <v>1.6823883917158132E-2</v>
      </c>
      <c r="Q361">
        <v>2.7380663853837189E-4</v>
      </c>
      <c r="AI361">
        <v>360</v>
      </c>
      <c r="AJ361">
        <v>3.550401099968091E-2</v>
      </c>
      <c r="AK361">
        <v>0.5</v>
      </c>
    </row>
    <row r="362" spans="15:37" x14ac:dyDescent="0.25">
      <c r="O362">
        <v>361</v>
      </c>
      <c r="P362">
        <v>1.6814176805237672E-2</v>
      </c>
      <c r="Q362">
        <v>2.8749697046529047E-4</v>
      </c>
      <c r="AI362">
        <v>361</v>
      </c>
      <c r="AJ362">
        <v>3.5490224391625538E-2</v>
      </c>
      <c r="AK362">
        <v>1</v>
      </c>
    </row>
    <row r="363" spans="15:37" x14ac:dyDescent="0.25">
      <c r="O363">
        <v>362</v>
      </c>
      <c r="P363">
        <v>1.6801908123569836E-2</v>
      </c>
      <c r="Q363">
        <v>3.0187181898855503E-4</v>
      </c>
      <c r="AI363">
        <v>362</v>
      </c>
      <c r="AJ363">
        <v>3.5461751247402508E-2</v>
      </c>
      <c r="AK363">
        <v>1</v>
      </c>
    </row>
    <row r="364" spans="15:37" x14ac:dyDescent="0.25">
      <c r="O364">
        <v>363</v>
      </c>
      <c r="P364">
        <v>1.6789957705934111E-2</v>
      </c>
      <c r="Q364">
        <v>3.1696540993798281E-4</v>
      </c>
      <c r="AI364">
        <v>363</v>
      </c>
      <c r="AJ364">
        <v>3.5433840092274196E-2</v>
      </c>
      <c r="AK364">
        <v>1</v>
      </c>
    </row>
    <row r="365" spans="15:37" x14ac:dyDescent="0.25">
      <c r="O365">
        <v>364</v>
      </c>
      <c r="P365">
        <v>1.6777670939624307E-2</v>
      </c>
      <c r="Q365">
        <v>3.3281368043488194E-4</v>
      </c>
      <c r="AI365">
        <v>364</v>
      </c>
      <c r="AJ365">
        <v>3.539195512843514E-2</v>
      </c>
      <c r="AK365">
        <v>1</v>
      </c>
    </row>
    <row r="366" spans="15:37" x14ac:dyDescent="0.25">
      <c r="O366">
        <v>365</v>
      </c>
      <c r="P366">
        <v>1.6763658154400705E-2</v>
      </c>
      <c r="Q366">
        <v>3.4945436445662603E-4</v>
      </c>
      <c r="AI366">
        <v>365</v>
      </c>
      <c r="AJ366">
        <v>3.5330262201062619E-2</v>
      </c>
      <c r="AK366">
        <v>1</v>
      </c>
    </row>
    <row r="367" spans="15:37" x14ac:dyDescent="0.25">
      <c r="O367">
        <v>366</v>
      </c>
      <c r="P367">
        <v>1.6749577151709272E-2</v>
      </c>
      <c r="Q367">
        <v>3.6692708267945732E-4</v>
      </c>
      <c r="AI367">
        <v>366</v>
      </c>
      <c r="AJ367">
        <v>3.5296515625959708E-2</v>
      </c>
      <c r="AK367">
        <v>1</v>
      </c>
    </row>
    <row r="368" spans="15:37" x14ac:dyDescent="0.25">
      <c r="O368">
        <v>367</v>
      </c>
      <c r="P368">
        <v>1.6734252254140661E-2</v>
      </c>
      <c r="Q368">
        <v>3.852734368134302E-4</v>
      </c>
      <c r="AI368">
        <v>367</v>
      </c>
      <c r="AJ368">
        <v>3.5282932636784843E-2</v>
      </c>
      <c r="AK368">
        <v>0.5</v>
      </c>
    </row>
    <row r="369" spans="15:37" x14ac:dyDescent="0.25">
      <c r="O369">
        <v>368</v>
      </c>
      <c r="P369">
        <v>1.6720924931403987E-2</v>
      </c>
      <c r="Q369">
        <v>4.0453710865410173E-4</v>
      </c>
      <c r="AI369">
        <v>368</v>
      </c>
      <c r="AJ369">
        <v>3.5270589688996573E-2</v>
      </c>
      <c r="AK369">
        <v>0.5</v>
      </c>
    </row>
    <row r="370" spans="15:37" x14ac:dyDescent="0.25">
      <c r="O370">
        <v>369</v>
      </c>
      <c r="P370">
        <v>1.6707361235251569E-2</v>
      </c>
      <c r="Q370">
        <v>4.2476396408680685E-4</v>
      </c>
      <c r="AI370">
        <v>369</v>
      </c>
      <c r="AJ370">
        <v>3.5264428393015398E-2</v>
      </c>
      <c r="AK370">
        <v>1</v>
      </c>
    </row>
    <row r="371" spans="15:37" x14ac:dyDescent="0.25">
      <c r="O371">
        <v>370</v>
      </c>
      <c r="P371">
        <v>1.6689796705861105E-2</v>
      </c>
      <c r="Q371">
        <v>4.4600216229114719E-4</v>
      </c>
      <c r="AI371">
        <v>370</v>
      </c>
      <c r="AJ371">
        <v>3.5260286114867159E-2</v>
      </c>
      <c r="AK371">
        <v>1</v>
      </c>
    </row>
    <row r="372" spans="15:37" x14ac:dyDescent="0.25">
      <c r="O372">
        <v>371</v>
      </c>
      <c r="P372">
        <v>1.6673042053653525E-2</v>
      </c>
      <c r="Q372">
        <v>4.6830227040570459E-4</v>
      </c>
      <c r="AI372">
        <v>371</v>
      </c>
      <c r="AJ372">
        <v>3.5257403339827964E-2</v>
      </c>
      <c r="AK372">
        <v>1</v>
      </c>
    </row>
    <row r="373" spans="15:37" x14ac:dyDescent="0.25">
      <c r="O373">
        <v>372</v>
      </c>
      <c r="P373">
        <v>1.6654824154364745E-2</v>
      </c>
      <c r="Q373">
        <v>4.9171738392598987E-4</v>
      </c>
      <c r="AI373">
        <v>372</v>
      </c>
      <c r="AJ373">
        <v>3.5252398817582312E-2</v>
      </c>
      <c r="AK373">
        <v>1</v>
      </c>
    </row>
    <row r="374" spans="15:37" x14ac:dyDescent="0.25">
      <c r="O374">
        <v>373</v>
      </c>
      <c r="P374">
        <v>1.6638291495785804E-2</v>
      </c>
      <c r="Q374">
        <v>5.1630325312228937E-4</v>
      </c>
      <c r="AI374">
        <v>373</v>
      </c>
      <c r="AJ374">
        <v>3.5239988666119187E-2</v>
      </c>
      <c r="AK374">
        <v>1</v>
      </c>
    </row>
    <row r="375" spans="15:37" x14ac:dyDescent="0.25">
      <c r="O375">
        <v>374</v>
      </c>
      <c r="P375">
        <v>1.6617112548805942E-2</v>
      </c>
      <c r="Q375">
        <v>5.4211841577840386E-4</v>
      </c>
      <c r="AI375">
        <v>374</v>
      </c>
      <c r="AJ375">
        <v>3.5225956367313328E-2</v>
      </c>
      <c r="AK375">
        <v>0.5</v>
      </c>
    </row>
    <row r="376" spans="15:37" x14ac:dyDescent="0.25">
      <c r="O376">
        <v>375</v>
      </c>
      <c r="P376">
        <v>1.6598058881229758E-2</v>
      </c>
      <c r="Q376">
        <v>5.6922433656732404E-4</v>
      </c>
      <c r="AI376">
        <v>375</v>
      </c>
      <c r="AJ376">
        <v>3.5186472474819055E-2</v>
      </c>
      <c r="AK376">
        <v>1</v>
      </c>
    </row>
    <row r="377" spans="15:37" x14ac:dyDescent="0.25">
      <c r="O377">
        <v>376</v>
      </c>
      <c r="P377">
        <v>1.6578885556073498E-2</v>
      </c>
      <c r="Q377">
        <v>5.9768555339569031E-4</v>
      </c>
      <c r="AI377">
        <v>376</v>
      </c>
      <c r="AJ377">
        <v>3.5158007753239365E-2</v>
      </c>
      <c r="AK377">
        <v>1</v>
      </c>
    </row>
    <row r="378" spans="15:37" x14ac:dyDescent="0.25">
      <c r="O378">
        <v>377</v>
      </c>
      <c r="P378">
        <v>1.6554816078272555E-2</v>
      </c>
      <c r="Q378">
        <v>6.2756983106547481E-4</v>
      </c>
      <c r="AI378">
        <v>377</v>
      </c>
      <c r="AJ378">
        <v>3.5098952066693105E-2</v>
      </c>
      <c r="AK378">
        <v>1</v>
      </c>
    </row>
    <row r="379" spans="15:37" x14ac:dyDescent="0.25">
      <c r="O379">
        <v>378</v>
      </c>
      <c r="P379">
        <v>1.6531159715688901E-2</v>
      </c>
      <c r="Q379">
        <v>6.5894832261874858E-4</v>
      </c>
      <c r="AI379">
        <v>378</v>
      </c>
      <c r="AJ379">
        <v>3.5074660503375474E-2</v>
      </c>
      <c r="AK379">
        <v>1</v>
      </c>
    </row>
    <row r="380" spans="15:37" x14ac:dyDescent="0.25">
      <c r="O380">
        <v>379</v>
      </c>
      <c r="P380">
        <v>1.6505954956416539E-2</v>
      </c>
      <c r="Q380">
        <v>6.9189573874968609E-4</v>
      </c>
      <c r="AI380">
        <v>379</v>
      </c>
      <c r="AJ380">
        <v>3.5047624409665398E-2</v>
      </c>
      <c r="AK380">
        <v>1</v>
      </c>
    </row>
    <row r="381" spans="15:37" x14ac:dyDescent="0.25">
      <c r="O381">
        <v>380</v>
      </c>
      <c r="P381">
        <v>1.647849365215065E-2</v>
      </c>
      <c r="Q381">
        <v>7.2649052568717043E-4</v>
      </c>
      <c r="AI381">
        <v>380</v>
      </c>
      <c r="AJ381">
        <v>3.5037955564210257E-2</v>
      </c>
      <c r="AK381">
        <v>1</v>
      </c>
    </row>
    <row r="382" spans="15:37" x14ac:dyDescent="0.25">
      <c r="O382">
        <v>381</v>
      </c>
      <c r="P382">
        <v>1.6456881332716361E-2</v>
      </c>
      <c r="Q382">
        <v>7.6281505197152899E-4</v>
      </c>
      <c r="AI382">
        <v>381</v>
      </c>
      <c r="AJ382">
        <v>3.5033021670445107E-2</v>
      </c>
      <c r="AK382">
        <v>1</v>
      </c>
    </row>
    <row r="383" spans="15:37" x14ac:dyDescent="0.25">
      <c r="O383">
        <v>382</v>
      </c>
      <c r="P383">
        <v>1.6419088251248434E-2</v>
      </c>
      <c r="Q383">
        <v>8.0095580457010542E-4</v>
      </c>
      <c r="AI383">
        <v>382</v>
      </c>
      <c r="AJ383">
        <v>3.5030607107844378E-2</v>
      </c>
      <c r="AK383">
        <v>1</v>
      </c>
    </row>
    <row r="384" spans="15:37" x14ac:dyDescent="0.25">
      <c r="O384">
        <v>383</v>
      </c>
      <c r="P384">
        <v>1.6398625039162656E-2</v>
      </c>
      <c r="Q384">
        <v>8.4100359479861075E-4</v>
      </c>
      <c r="AI384">
        <v>383</v>
      </c>
      <c r="AJ384">
        <v>3.5025354296523405E-2</v>
      </c>
      <c r="AK384">
        <v>1</v>
      </c>
    </row>
    <row r="385" spans="15:37" x14ac:dyDescent="0.25">
      <c r="O385">
        <v>384</v>
      </c>
      <c r="P385">
        <v>1.63581287109291E-2</v>
      </c>
      <c r="Q385">
        <v>8.8305377453854134E-4</v>
      </c>
      <c r="AI385">
        <v>384</v>
      </c>
      <c r="AJ385">
        <v>3.5019288661179274E-2</v>
      </c>
      <c r="AK385">
        <v>1</v>
      </c>
    </row>
    <row r="386" spans="15:37" x14ac:dyDescent="0.25">
      <c r="O386">
        <v>385</v>
      </c>
      <c r="P386">
        <v>1.6323235933836829E-2</v>
      </c>
      <c r="Q386">
        <v>9.2720646326546849E-4</v>
      </c>
      <c r="AI386">
        <v>385</v>
      </c>
      <c r="AJ386">
        <v>3.5011147877867792E-2</v>
      </c>
      <c r="AK386">
        <v>1</v>
      </c>
    </row>
    <row r="387" spans="15:37" x14ac:dyDescent="0.25">
      <c r="O387">
        <v>386</v>
      </c>
      <c r="P387">
        <v>1.6301728187942125E-2</v>
      </c>
      <c r="Q387">
        <v>9.7356678642874193E-4</v>
      </c>
      <c r="AI387">
        <v>386</v>
      </c>
      <c r="AJ387">
        <v>3.4982150818228253E-2</v>
      </c>
      <c r="AK387">
        <v>1</v>
      </c>
    </row>
    <row r="388" spans="15:37" x14ac:dyDescent="0.25">
      <c r="O388">
        <v>387</v>
      </c>
      <c r="P388">
        <v>1.6294573839283618E-2</v>
      </c>
      <c r="Q388">
        <v>1.0222451257501791E-3</v>
      </c>
      <c r="AI388">
        <v>387</v>
      </c>
      <c r="AJ388">
        <v>3.4953245843545241E-2</v>
      </c>
      <c r="AK388">
        <v>1</v>
      </c>
    </row>
    <row r="389" spans="15:37" x14ac:dyDescent="0.25">
      <c r="O389">
        <v>388</v>
      </c>
      <c r="P389">
        <v>1.6292174918508536E-2</v>
      </c>
      <c r="Q389">
        <v>1.0733573820376882E-3</v>
      </c>
      <c r="AI389">
        <v>388</v>
      </c>
      <c r="AJ389">
        <v>3.4949720292116994E-2</v>
      </c>
      <c r="AK389">
        <v>0.5</v>
      </c>
    </row>
    <row r="390" spans="15:37" x14ac:dyDescent="0.25">
      <c r="O390">
        <v>389</v>
      </c>
      <c r="P390">
        <v>1.618529584347396E-2</v>
      </c>
      <c r="Q390">
        <v>1.1270252511395727E-3</v>
      </c>
      <c r="AI390">
        <v>389</v>
      </c>
      <c r="AJ390">
        <v>3.4946256135350115E-2</v>
      </c>
      <c r="AK390">
        <v>1</v>
      </c>
    </row>
    <row r="391" spans="15:37" x14ac:dyDescent="0.25">
      <c r="O391">
        <v>390</v>
      </c>
      <c r="P391">
        <v>1.6141137515183743E-2</v>
      </c>
      <c r="Q391">
        <v>1.1833765136965513E-3</v>
      </c>
      <c r="AI391">
        <v>390</v>
      </c>
      <c r="AJ391">
        <v>3.4939172025242951E-2</v>
      </c>
      <c r="AK391">
        <v>1</v>
      </c>
    </row>
    <row r="392" spans="15:37" x14ac:dyDescent="0.25">
      <c r="O392">
        <v>391</v>
      </c>
      <c r="P392">
        <v>1.6098113122981355E-2</v>
      </c>
      <c r="Q392">
        <v>1.242545339381379E-3</v>
      </c>
      <c r="AI392">
        <v>391</v>
      </c>
      <c r="AJ392">
        <v>3.493611035177422E-2</v>
      </c>
      <c r="AK392">
        <v>1</v>
      </c>
    </row>
    <row r="393" spans="15:37" x14ac:dyDescent="0.25">
      <c r="O393">
        <v>392</v>
      </c>
      <c r="P393">
        <v>1.6060518820255807E-2</v>
      </c>
      <c r="Q393">
        <v>1.3046726063504479E-3</v>
      </c>
      <c r="AI393">
        <v>392</v>
      </c>
      <c r="AJ393">
        <v>3.4932722375514341E-2</v>
      </c>
      <c r="AK393">
        <v>1</v>
      </c>
    </row>
    <row r="394" spans="15:37" x14ac:dyDescent="0.25">
      <c r="O394">
        <v>393</v>
      </c>
      <c r="P394">
        <v>1.6015003321825341E-2</v>
      </c>
      <c r="Q394">
        <v>1.3699062366679703E-3</v>
      </c>
      <c r="AI394">
        <v>393</v>
      </c>
      <c r="AJ394">
        <v>3.4921099258466946E-2</v>
      </c>
      <c r="AK394">
        <v>1</v>
      </c>
    </row>
    <row r="395" spans="15:37" x14ac:dyDescent="0.25">
      <c r="O395">
        <v>394</v>
      </c>
      <c r="P395">
        <v>1.609781573446099E-2</v>
      </c>
      <c r="Q395">
        <v>1.4384015485013688E-3</v>
      </c>
      <c r="AI395">
        <v>394</v>
      </c>
      <c r="AJ395">
        <v>3.4911162900020679E-2</v>
      </c>
      <c r="AK395">
        <v>1</v>
      </c>
    </row>
    <row r="396" spans="15:37" x14ac:dyDescent="0.25">
      <c r="O396">
        <v>395</v>
      </c>
      <c r="P396">
        <v>1.6006529398396595E-2</v>
      </c>
      <c r="Q396">
        <v>1.438401548501369E-4</v>
      </c>
      <c r="AI396">
        <v>395</v>
      </c>
      <c r="AJ396">
        <v>3.4904087917312483E-2</v>
      </c>
      <c r="AK396">
        <v>0.25</v>
      </c>
    </row>
    <row r="397" spans="15:37" x14ac:dyDescent="0.25">
      <c r="O397">
        <v>396</v>
      </c>
      <c r="P397">
        <v>1.5998533258579181E-2</v>
      </c>
      <c r="Q397">
        <v>1.5103216259264375E-4</v>
      </c>
      <c r="AI397">
        <v>396</v>
      </c>
      <c r="AJ397">
        <v>3.4899699908354773E-2</v>
      </c>
      <c r="AK397">
        <v>0.5</v>
      </c>
    </row>
    <row r="398" spans="15:37" x14ac:dyDescent="0.25">
      <c r="O398">
        <v>397</v>
      </c>
      <c r="P398">
        <v>1.5991068212107776E-2</v>
      </c>
      <c r="Q398">
        <v>1.5858377072227594E-4</v>
      </c>
      <c r="AI398">
        <v>397</v>
      </c>
      <c r="AJ398">
        <v>3.4896640159149485E-2</v>
      </c>
      <c r="AK398">
        <v>1</v>
      </c>
    </row>
    <row r="399" spans="15:37" x14ac:dyDescent="0.25">
      <c r="O399">
        <v>398</v>
      </c>
      <c r="P399">
        <v>1.5984056045840626E-2</v>
      </c>
      <c r="Q399">
        <v>1.6651295925838974E-4</v>
      </c>
      <c r="AI399">
        <v>398</v>
      </c>
      <c r="AJ399">
        <v>3.4894090413994022E-2</v>
      </c>
      <c r="AK399">
        <v>1</v>
      </c>
    </row>
    <row r="400" spans="15:37" x14ac:dyDescent="0.25">
      <c r="O400">
        <v>399</v>
      </c>
      <c r="P400">
        <v>1.5977244530135156E-2</v>
      </c>
      <c r="Q400">
        <v>1.7483860722130923E-4</v>
      </c>
      <c r="AI400">
        <v>399</v>
      </c>
      <c r="AJ400">
        <v>3.4892584484649262E-2</v>
      </c>
      <c r="AK400">
        <v>1</v>
      </c>
    </row>
    <row r="401" spans="15:37" x14ac:dyDescent="0.25">
      <c r="O401">
        <v>400</v>
      </c>
      <c r="P401">
        <v>1.5970164126566606E-2</v>
      </c>
      <c r="Q401">
        <v>1.8358053758237469E-4</v>
      </c>
      <c r="AI401">
        <v>400</v>
      </c>
      <c r="AJ401">
        <v>3.4891340060594127E-2</v>
      </c>
      <c r="AK401">
        <v>1</v>
      </c>
    </row>
    <row r="402" spans="15:37" x14ac:dyDescent="0.25">
      <c r="O402">
        <v>401</v>
      </c>
      <c r="P402">
        <v>1.5963084974490692E-2</v>
      </c>
      <c r="Q402">
        <v>1.9275956446149344E-4</v>
      </c>
      <c r="AI402">
        <v>401</v>
      </c>
      <c r="AJ402">
        <v>3.489042694004095E-2</v>
      </c>
      <c r="AK402">
        <v>1</v>
      </c>
    </row>
    <row r="403" spans="15:37" x14ac:dyDescent="0.25">
      <c r="O403">
        <v>402</v>
      </c>
      <c r="P403">
        <v>1.5956082407356059E-2</v>
      </c>
      <c r="Q403">
        <v>2.0239754268456812E-4</v>
      </c>
      <c r="AI403">
        <v>402</v>
      </c>
      <c r="AJ403">
        <v>3.4889436072918396E-2</v>
      </c>
      <c r="AK403">
        <v>1</v>
      </c>
    </row>
    <row r="404" spans="15:37" x14ac:dyDescent="0.25">
      <c r="O404">
        <v>403</v>
      </c>
      <c r="P404">
        <v>1.5948926790558347E-2</v>
      </c>
      <c r="Q404">
        <v>2.1251741981879655E-4</v>
      </c>
      <c r="AI404">
        <v>403</v>
      </c>
      <c r="AJ404">
        <v>3.4888558487078843E-2</v>
      </c>
      <c r="AK404">
        <v>1</v>
      </c>
    </row>
    <row r="405" spans="15:37" x14ac:dyDescent="0.25">
      <c r="O405">
        <v>404</v>
      </c>
      <c r="P405">
        <v>1.594121000434329E-2</v>
      </c>
      <c r="Q405">
        <v>2.2314329080973637E-4</v>
      </c>
      <c r="AI405">
        <v>404</v>
      </c>
      <c r="AJ405">
        <v>3.4887448632981516E-2</v>
      </c>
      <c r="AK405">
        <v>1</v>
      </c>
    </row>
    <row r="406" spans="15:37" x14ac:dyDescent="0.25">
      <c r="O406">
        <v>405</v>
      </c>
      <c r="P406">
        <v>1.5933736486965878E-2</v>
      </c>
      <c r="Q406">
        <v>2.3430045535022322E-4</v>
      </c>
      <c r="AI406">
        <v>405</v>
      </c>
      <c r="AJ406">
        <v>3.4886635730126521E-2</v>
      </c>
      <c r="AK406">
        <v>1</v>
      </c>
    </row>
    <row r="407" spans="15:37" x14ac:dyDescent="0.25">
      <c r="O407">
        <v>406</v>
      </c>
      <c r="P407">
        <v>1.5925344459684635E-2</v>
      </c>
      <c r="Q407">
        <v>2.460154781177344E-4</v>
      </c>
      <c r="AI407">
        <v>406</v>
      </c>
      <c r="AJ407">
        <v>3.4886446378050745E-2</v>
      </c>
      <c r="AK407">
        <v>1</v>
      </c>
    </row>
    <row r="408" spans="15:37" x14ac:dyDescent="0.25">
      <c r="O408">
        <v>407</v>
      </c>
      <c r="P408">
        <v>1.5916891129838136E-2</v>
      </c>
      <c r="Q408">
        <v>2.5831625202362113E-4</v>
      </c>
      <c r="AI408">
        <v>407</v>
      </c>
      <c r="AJ408">
        <v>3.4886253171090488E-2</v>
      </c>
      <c r="AK408">
        <v>1</v>
      </c>
    </row>
    <row r="409" spans="15:37" x14ac:dyDescent="0.25">
      <c r="O409">
        <v>408</v>
      </c>
      <c r="P409">
        <v>1.5907526033062037E-2</v>
      </c>
      <c r="Q409">
        <v>2.7123206462480219E-4</v>
      </c>
      <c r="AI409">
        <v>408</v>
      </c>
      <c r="AJ409">
        <v>3.4885869342206041E-2</v>
      </c>
      <c r="AK409">
        <v>1</v>
      </c>
    </row>
    <row r="410" spans="15:37" x14ac:dyDescent="0.25">
      <c r="O410">
        <v>409</v>
      </c>
      <c r="P410">
        <v>1.5898364572660625E-2</v>
      </c>
      <c r="Q410">
        <v>2.8479366785604232E-4</v>
      </c>
      <c r="AI410">
        <v>409</v>
      </c>
      <c r="AJ410">
        <v>3.4884421556719877E-2</v>
      </c>
      <c r="AK410">
        <v>1</v>
      </c>
    </row>
    <row r="411" spans="15:37" x14ac:dyDescent="0.25">
      <c r="O411">
        <v>410</v>
      </c>
      <c r="P411">
        <v>1.5886967477719872E-2</v>
      </c>
      <c r="Q411">
        <v>2.9903335124884444E-4</v>
      </c>
      <c r="AI411">
        <v>410</v>
      </c>
      <c r="AJ411">
        <v>3.4881262366886601E-2</v>
      </c>
      <c r="AK411">
        <v>1</v>
      </c>
    </row>
    <row r="412" spans="15:37" x14ac:dyDescent="0.25">
      <c r="O412">
        <v>411</v>
      </c>
      <c r="P412">
        <v>1.5877119744190118E-2</v>
      </c>
      <c r="Q412">
        <v>3.139850188112867E-4</v>
      </c>
      <c r="AI412">
        <v>411</v>
      </c>
      <c r="AJ412">
        <v>3.4872320394012633E-2</v>
      </c>
      <c r="AK412">
        <v>1</v>
      </c>
    </row>
    <row r="413" spans="15:37" x14ac:dyDescent="0.25">
      <c r="O413">
        <v>412</v>
      </c>
      <c r="P413">
        <v>1.586581818653407E-2</v>
      </c>
      <c r="Q413">
        <v>3.2968426975185107E-4</v>
      </c>
      <c r="AI413">
        <v>412</v>
      </c>
      <c r="AJ413">
        <v>3.4862985295765599E-2</v>
      </c>
      <c r="AK413">
        <v>1</v>
      </c>
    </row>
    <row r="414" spans="15:37" x14ac:dyDescent="0.25">
      <c r="O414">
        <v>413</v>
      </c>
      <c r="P414">
        <v>1.5854585092468024E-2</v>
      </c>
      <c r="Q414">
        <v>3.4616848323944363E-4</v>
      </c>
      <c r="AI414">
        <v>413</v>
      </c>
      <c r="AJ414">
        <v>3.4858886084824611E-2</v>
      </c>
      <c r="AK414">
        <v>0.25</v>
      </c>
    </row>
    <row r="415" spans="15:37" x14ac:dyDescent="0.25">
      <c r="O415">
        <v>414</v>
      </c>
      <c r="P415">
        <v>1.5843830531045142E-2</v>
      </c>
      <c r="Q415">
        <v>3.6347690740141583E-4</v>
      </c>
      <c r="AI415">
        <v>414</v>
      </c>
      <c r="AJ415">
        <v>3.4851866603916939E-2</v>
      </c>
      <c r="AK415">
        <v>1</v>
      </c>
    </row>
    <row r="416" spans="15:37" x14ac:dyDescent="0.25">
      <c r="O416">
        <v>415</v>
      </c>
      <c r="P416">
        <v>1.5833116606554079E-2</v>
      </c>
      <c r="Q416">
        <v>3.8165075277148662E-4</v>
      </c>
      <c r="AI416">
        <v>415</v>
      </c>
      <c r="AJ416">
        <v>3.4834652349036099E-2</v>
      </c>
      <c r="AK416">
        <v>1</v>
      </c>
    </row>
    <row r="417" spans="15:37" x14ac:dyDescent="0.25">
      <c r="O417">
        <v>416</v>
      </c>
      <c r="P417">
        <v>1.5817954829380997E-2</v>
      </c>
      <c r="Q417">
        <v>4.0073329041006098E-4</v>
      </c>
      <c r="AI417">
        <v>416</v>
      </c>
      <c r="AJ417">
        <v>3.4818195139678411E-2</v>
      </c>
      <c r="AK417">
        <v>1</v>
      </c>
    </row>
    <row r="418" spans="15:37" x14ac:dyDescent="0.25">
      <c r="O418">
        <v>417</v>
      </c>
      <c r="P418">
        <v>1.5804558353176599E-2</v>
      </c>
      <c r="Q418">
        <v>4.2076995493056402E-4</v>
      </c>
      <c r="AI418">
        <v>417</v>
      </c>
      <c r="AJ418">
        <v>3.4813667038547921E-2</v>
      </c>
      <c r="AK418">
        <v>0.5</v>
      </c>
    </row>
    <row r="419" spans="15:37" x14ac:dyDescent="0.25">
      <c r="O419">
        <v>418</v>
      </c>
      <c r="P419">
        <v>1.579109352028326E-2</v>
      </c>
      <c r="Q419">
        <v>4.4180845267709223E-4</v>
      </c>
      <c r="AI419">
        <v>418</v>
      </c>
      <c r="AJ419">
        <v>3.4807402586441154E-2</v>
      </c>
      <c r="AK419">
        <v>0.5</v>
      </c>
    </row>
    <row r="420" spans="15:37" x14ac:dyDescent="0.25">
      <c r="O420">
        <v>419</v>
      </c>
      <c r="P420">
        <v>1.5780539829304937E-2</v>
      </c>
      <c r="Q420">
        <v>4.6389887531094685E-4</v>
      </c>
      <c r="AI420">
        <v>419</v>
      </c>
      <c r="AJ420">
        <v>3.4803531568638323E-2</v>
      </c>
      <c r="AK420">
        <v>0.5</v>
      </c>
    </row>
    <row r="421" spans="15:37" x14ac:dyDescent="0.25">
      <c r="O421">
        <v>420</v>
      </c>
      <c r="P421">
        <v>1.5767066798903644E-2</v>
      </c>
      <c r="Q421">
        <v>4.870938190764942E-4</v>
      </c>
      <c r="AI421">
        <v>420</v>
      </c>
      <c r="AJ421">
        <v>3.4799284174412248E-2</v>
      </c>
      <c r="AK421">
        <v>1</v>
      </c>
    </row>
    <row r="422" spans="15:37" x14ac:dyDescent="0.25">
      <c r="O422">
        <v>421</v>
      </c>
      <c r="P422">
        <v>1.5746223659030091E-2</v>
      </c>
      <c r="Q422">
        <v>5.1144851003031894E-4</v>
      </c>
      <c r="AI422">
        <v>421</v>
      </c>
      <c r="AJ422">
        <v>3.4794844233933891E-2</v>
      </c>
      <c r="AK422">
        <v>1</v>
      </c>
    </row>
    <row r="423" spans="15:37" x14ac:dyDescent="0.25">
      <c r="O423">
        <v>422</v>
      </c>
      <c r="P423">
        <v>1.5729461539063287E-2</v>
      </c>
      <c r="Q423">
        <v>5.3702093553183487E-4</v>
      </c>
      <c r="AI423">
        <v>422</v>
      </c>
      <c r="AJ423">
        <v>3.479197941817249E-2</v>
      </c>
      <c r="AK423">
        <v>1</v>
      </c>
    </row>
    <row r="424" spans="15:37" x14ac:dyDescent="0.25">
      <c r="O424">
        <v>423</v>
      </c>
      <c r="P424">
        <v>1.5709971994917398E-2</v>
      </c>
      <c r="Q424">
        <v>5.6387198230842663E-4</v>
      </c>
      <c r="AI424">
        <v>423</v>
      </c>
      <c r="AJ424">
        <v>3.4788293344035208E-2</v>
      </c>
      <c r="AK424">
        <v>1</v>
      </c>
    </row>
    <row r="425" spans="15:37" x14ac:dyDescent="0.25">
      <c r="O425">
        <v>424</v>
      </c>
      <c r="P425">
        <v>1.5690882326972848E-2</v>
      </c>
      <c r="Q425">
        <v>5.92065581423848E-4</v>
      </c>
      <c r="AI425">
        <v>424</v>
      </c>
      <c r="AJ425">
        <v>3.4786487840551716E-2</v>
      </c>
      <c r="AK425">
        <v>0.25</v>
      </c>
    </row>
    <row r="426" spans="15:37" x14ac:dyDescent="0.25">
      <c r="O426">
        <v>425</v>
      </c>
      <c r="P426">
        <v>1.5670570865416528E-2</v>
      </c>
      <c r="Q426">
        <v>6.2166886049504037E-4</v>
      </c>
      <c r="AI426">
        <v>425</v>
      </c>
      <c r="AJ426">
        <v>3.4784754818354684E-2</v>
      </c>
      <c r="AK426">
        <v>1</v>
      </c>
    </row>
    <row r="427" spans="15:37" x14ac:dyDescent="0.25">
      <c r="O427">
        <v>426</v>
      </c>
      <c r="P427">
        <v>1.5648908312425845E-2</v>
      </c>
      <c r="Q427">
        <v>6.5275230351979246E-4</v>
      </c>
      <c r="AI427">
        <v>426</v>
      </c>
      <c r="AJ427">
        <v>3.4783465892312827E-2</v>
      </c>
      <c r="AK427">
        <v>1</v>
      </c>
    </row>
    <row r="428" spans="15:37" x14ac:dyDescent="0.25">
      <c r="O428">
        <v>427</v>
      </c>
      <c r="P428">
        <v>1.5627294015824758E-2</v>
      </c>
      <c r="Q428">
        <v>6.8538991869578211E-4</v>
      </c>
      <c r="AI428">
        <v>427</v>
      </c>
      <c r="AJ428">
        <v>3.4782106309293556E-2</v>
      </c>
      <c r="AK428">
        <v>1</v>
      </c>
    </row>
    <row r="429" spans="15:37" x14ac:dyDescent="0.25">
      <c r="O429">
        <v>428</v>
      </c>
      <c r="P429">
        <v>1.5604126410562934E-2</v>
      </c>
      <c r="Q429">
        <v>7.1965941463057129E-4</v>
      </c>
      <c r="AI429">
        <v>428</v>
      </c>
      <c r="AJ429">
        <v>3.4780646000880301E-2</v>
      </c>
      <c r="AK429">
        <v>0.5</v>
      </c>
    </row>
    <row r="430" spans="15:37" x14ac:dyDescent="0.25">
      <c r="O430">
        <v>429</v>
      </c>
      <c r="P430">
        <v>1.5580168545592356E-2</v>
      </c>
      <c r="Q430">
        <v>7.5564238536209992E-4</v>
      </c>
      <c r="AI430">
        <v>429</v>
      </c>
      <c r="AJ430">
        <v>3.4779033746884694E-2</v>
      </c>
      <c r="AK430">
        <v>1</v>
      </c>
    </row>
    <row r="431" spans="15:37" x14ac:dyDescent="0.25">
      <c r="O431">
        <v>430</v>
      </c>
      <c r="P431">
        <v>1.5553210730189266E-2</v>
      </c>
      <c r="Q431">
        <v>7.9342450463020496E-4</v>
      </c>
      <c r="AI431">
        <v>430</v>
      </c>
      <c r="AJ431">
        <v>3.4777734628568216E-2</v>
      </c>
      <c r="AK431">
        <v>1</v>
      </c>
    </row>
    <row r="432" spans="15:37" x14ac:dyDescent="0.25">
      <c r="O432">
        <v>431</v>
      </c>
      <c r="P432">
        <v>1.552962514214222E-2</v>
      </c>
      <c r="Q432">
        <v>8.3309572986171529E-4</v>
      </c>
      <c r="AI432">
        <v>431</v>
      </c>
      <c r="AJ432">
        <v>3.4776456092457733E-2</v>
      </c>
      <c r="AK432">
        <v>1</v>
      </c>
    </row>
    <row r="433" spans="15:37" x14ac:dyDescent="0.25">
      <c r="O433">
        <v>432</v>
      </c>
      <c r="P433">
        <v>1.5505136125062562E-2</v>
      </c>
      <c r="Q433">
        <v>8.7475051635480113E-4</v>
      </c>
      <c r="AI433">
        <v>432</v>
      </c>
      <c r="AJ433">
        <v>3.477551096876811E-2</v>
      </c>
      <c r="AK433">
        <v>1</v>
      </c>
    </row>
    <row r="434" spans="15:37" x14ac:dyDescent="0.25">
      <c r="O434">
        <v>433</v>
      </c>
      <c r="P434">
        <v>1.5501539441914224E-2</v>
      </c>
      <c r="Q434">
        <v>9.1848804217254125E-4</v>
      </c>
      <c r="AI434">
        <v>433</v>
      </c>
      <c r="AJ434">
        <v>3.4774830405651755E-2</v>
      </c>
      <c r="AK434">
        <v>0.5</v>
      </c>
    </row>
    <row r="435" spans="15:37" x14ac:dyDescent="0.25">
      <c r="O435">
        <v>434</v>
      </c>
      <c r="P435">
        <v>1.54599729716804E-2</v>
      </c>
      <c r="Q435">
        <v>9.6441244428116838E-4</v>
      </c>
      <c r="AI435">
        <v>434</v>
      </c>
      <c r="AJ435">
        <v>3.4773574740876279E-2</v>
      </c>
      <c r="AK435">
        <v>1</v>
      </c>
    </row>
    <row r="436" spans="15:37" x14ac:dyDescent="0.25">
      <c r="O436">
        <v>435</v>
      </c>
      <c r="P436">
        <v>1.5425246056049056E-2</v>
      </c>
      <c r="Q436">
        <v>1.0126330664952268E-3</v>
      </c>
      <c r="AI436">
        <v>435</v>
      </c>
      <c r="AJ436">
        <v>3.4772954642167064E-2</v>
      </c>
      <c r="AK436">
        <v>1</v>
      </c>
    </row>
    <row r="437" spans="15:37" x14ac:dyDescent="0.25">
      <c r="O437">
        <v>436</v>
      </c>
      <c r="P437">
        <v>1.5394820406922988E-2</v>
      </c>
      <c r="Q437">
        <v>1.0632647198199883E-3</v>
      </c>
      <c r="AI437">
        <v>436</v>
      </c>
      <c r="AJ437">
        <v>3.4771833540810003E-2</v>
      </c>
      <c r="AK437">
        <v>0.5</v>
      </c>
    </row>
    <row r="438" spans="15:37" x14ac:dyDescent="0.25">
      <c r="O438">
        <v>437</v>
      </c>
      <c r="P438">
        <v>1.5377938613158407E-2</v>
      </c>
      <c r="Q438">
        <v>1.1164279558109878E-3</v>
      </c>
      <c r="AI438">
        <v>437</v>
      </c>
      <c r="AJ438">
        <v>3.4771627051417953E-2</v>
      </c>
      <c r="AK438">
        <v>0.5</v>
      </c>
    </row>
    <row r="439" spans="15:37" x14ac:dyDescent="0.25">
      <c r="O439">
        <v>438</v>
      </c>
      <c r="P439">
        <v>1.5329045027943255E-2</v>
      </c>
      <c r="Q439">
        <v>1.1722493536015371E-3</v>
      </c>
      <c r="AI439">
        <v>438</v>
      </c>
      <c r="AJ439">
        <v>3.477136168626957E-2</v>
      </c>
      <c r="AK439">
        <v>1</v>
      </c>
    </row>
    <row r="440" spans="15:37" x14ac:dyDescent="0.25">
      <c r="O440">
        <v>439</v>
      </c>
      <c r="P440">
        <v>1.5294555637821847E-2</v>
      </c>
      <c r="Q440">
        <v>1.2308618212816141E-3</v>
      </c>
      <c r="AI440">
        <v>439</v>
      </c>
      <c r="AJ440">
        <v>3.4771110684746788E-2</v>
      </c>
      <c r="AK440">
        <v>1</v>
      </c>
    </row>
    <row r="441" spans="15:37" x14ac:dyDescent="0.25">
      <c r="O441">
        <v>440</v>
      </c>
      <c r="P441">
        <v>1.5307658767526934E-2</v>
      </c>
      <c r="Q441">
        <v>1.2924049123456949E-3</v>
      </c>
      <c r="AI441">
        <v>440</v>
      </c>
      <c r="AJ441">
        <v>3.477065687209966E-2</v>
      </c>
      <c r="AK441">
        <v>1</v>
      </c>
    </row>
    <row r="442" spans="15:37" x14ac:dyDescent="0.25">
      <c r="O442">
        <v>441</v>
      </c>
      <c r="P442">
        <v>1.5290012888856279E-2</v>
      </c>
      <c r="Q442">
        <v>1.2924049123456949E-4</v>
      </c>
      <c r="AI442">
        <v>441</v>
      </c>
      <c r="AJ442">
        <v>3.4770288081124479E-2</v>
      </c>
      <c r="AK442">
        <v>0.5</v>
      </c>
    </row>
    <row r="443" spans="15:37" x14ac:dyDescent="0.25">
      <c r="O443">
        <v>442</v>
      </c>
      <c r="P443">
        <v>1.5284676079789748E-2</v>
      </c>
      <c r="Q443">
        <v>1.3570251579629798E-4</v>
      </c>
      <c r="AI443">
        <v>442</v>
      </c>
      <c r="AJ443">
        <v>3.4769553917867631E-2</v>
      </c>
      <c r="AK443">
        <v>1</v>
      </c>
    </row>
    <row r="444" spans="15:37" x14ac:dyDescent="0.25">
      <c r="O444">
        <v>443</v>
      </c>
      <c r="P444">
        <v>1.5279774902150021E-2</v>
      </c>
      <c r="Q444">
        <v>1.4248764158611288E-4</v>
      </c>
      <c r="AI444">
        <v>443</v>
      </c>
      <c r="AJ444">
        <v>3.4768572815220937E-2</v>
      </c>
      <c r="AK444">
        <v>1</v>
      </c>
    </row>
    <row r="445" spans="15:37" x14ac:dyDescent="0.25">
      <c r="O445">
        <v>444</v>
      </c>
      <c r="P445">
        <v>1.5274987770946014E-2</v>
      </c>
      <c r="Q445">
        <v>1.4961202366541853E-4</v>
      </c>
      <c r="AI445">
        <v>444</v>
      </c>
      <c r="AJ445">
        <v>3.4768081195743601E-2</v>
      </c>
      <c r="AK445">
        <v>0.5</v>
      </c>
    </row>
    <row r="446" spans="15:37" x14ac:dyDescent="0.25">
      <c r="O446">
        <v>445</v>
      </c>
      <c r="P446">
        <v>1.5269824988368532E-2</v>
      </c>
      <c r="Q446">
        <v>1.5709262484868945E-4</v>
      </c>
      <c r="AI446">
        <v>445</v>
      </c>
      <c r="AJ446">
        <v>3.4767413891217763E-2</v>
      </c>
      <c r="AK446">
        <v>1</v>
      </c>
    </row>
    <row r="447" spans="15:37" x14ac:dyDescent="0.25">
      <c r="O447">
        <v>446</v>
      </c>
      <c r="P447">
        <v>1.5264316595415668E-2</v>
      </c>
      <c r="Q447">
        <v>1.6494725609112392E-4</v>
      </c>
      <c r="AI447">
        <v>446</v>
      </c>
      <c r="AJ447">
        <v>3.4766761361827124E-2</v>
      </c>
      <c r="AK447">
        <v>1</v>
      </c>
    </row>
    <row r="448" spans="15:37" x14ac:dyDescent="0.25">
      <c r="O448">
        <v>447</v>
      </c>
      <c r="P448">
        <v>1.5258903521062543E-2</v>
      </c>
      <c r="Q448">
        <v>1.7319461889568012E-4</v>
      </c>
      <c r="AI448">
        <v>447</v>
      </c>
      <c r="AJ448">
        <v>3.4766494058175001E-2</v>
      </c>
      <c r="AK448">
        <v>0.5</v>
      </c>
    </row>
    <row r="449" spans="15:37" x14ac:dyDescent="0.25">
      <c r="O449">
        <v>448</v>
      </c>
      <c r="P449">
        <v>1.525304641013907E-2</v>
      </c>
      <c r="Q449">
        <v>1.8185434984046412E-4</v>
      </c>
      <c r="AI449">
        <v>448</v>
      </c>
      <c r="AJ449">
        <v>3.4766216774575601E-2</v>
      </c>
      <c r="AK449">
        <v>0.5</v>
      </c>
    </row>
    <row r="450" spans="15:37" x14ac:dyDescent="0.25">
      <c r="O450">
        <v>449</v>
      </c>
      <c r="P450">
        <v>1.5246945917043184E-2</v>
      </c>
      <c r="Q450">
        <v>1.9094706733248734E-4</v>
      </c>
      <c r="AI450">
        <v>449</v>
      </c>
      <c r="AJ450">
        <v>3.4766040073608957E-2</v>
      </c>
      <c r="AK450">
        <v>1</v>
      </c>
    </row>
    <row r="451" spans="15:37" x14ac:dyDescent="0.25">
      <c r="O451">
        <v>450</v>
      </c>
      <c r="P451">
        <v>1.5240959188480462E-2</v>
      </c>
      <c r="Q451">
        <v>2.004944206991117E-4</v>
      </c>
      <c r="AI451">
        <v>450</v>
      </c>
      <c r="AJ451">
        <v>3.4765905527663205E-2</v>
      </c>
      <c r="AK451">
        <v>1</v>
      </c>
    </row>
    <row r="452" spans="15:37" x14ac:dyDescent="0.25">
      <c r="O452">
        <v>451</v>
      </c>
      <c r="P452">
        <v>1.5235584387064358E-2</v>
      </c>
      <c r="Q452">
        <v>2.1051914173406729E-4</v>
      </c>
      <c r="AI452">
        <v>451</v>
      </c>
      <c r="AJ452">
        <v>3.4765834223859544E-2</v>
      </c>
      <c r="AK452">
        <v>1</v>
      </c>
    </row>
    <row r="453" spans="15:37" x14ac:dyDescent="0.25">
      <c r="O453">
        <v>452</v>
      </c>
      <c r="P453">
        <v>1.5229776631420205E-2</v>
      </c>
      <c r="Q453">
        <v>2.2104509882077067E-4</v>
      </c>
    </row>
    <row r="454" spans="15:37" x14ac:dyDescent="0.25">
      <c r="O454">
        <v>453</v>
      </c>
      <c r="P454">
        <v>1.5223797785647697E-2</v>
      </c>
      <c r="Q454">
        <v>2.3209735376180922E-4</v>
      </c>
    </row>
    <row r="455" spans="15:37" x14ac:dyDescent="0.25">
      <c r="O455">
        <v>454</v>
      </c>
      <c r="P455">
        <v>1.5217023782883268E-2</v>
      </c>
      <c r="Q455">
        <v>2.437022214498997E-4</v>
      </c>
    </row>
    <row r="456" spans="15:37" x14ac:dyDescent="0.25">
      <c r="O456">
        <v>455</v>
      </c>
      <c r="P456">
        <v>1.5209628994183566E-2</v>
      </c>
      <c r="Q456">
        <v>2.5588733252239471E-4</v>
      </c>
    </row>
    <row r="457" spans="15:37" x14ac:dyDescent="0.25">
      <c r="O457">
        <v>456</v>
      </c>
      <c r="P457">
        <v>1.5202559128378351E-2</v>
      </c>
      <c r="Q457">
        <v>2.6868169914851447E-4</v>
      </c>
    </row>
    <row r="458" spans="15:37" x14ac:dyDescent="0.25">
      <c r="O458">
        <v>457</v>
      </c>
      <c r="P458">
        <v>1.5195335646632033E-2</v>
      </c>
      <c r="Q458">
        <v>2.8211578410594022E-4</v>
      </c>
    </row>
    <row r="459" spans="15:37" x14ac:dyDescent="0.25">
      <c r="O459">
        <v>458</v>
      </c>
      <c r="P459">
        <v>1.5186998292653334E-2</v>
      </c>
      <c r="Q459">
        <v>2.9622157331123724E-4</v>
      </c>
    </row>
    <row r="460" spans="15:37" x14ac:dyDescent="0.25">
      <c r="O460">
        <v>459</v>
      </c>
      <c r="P460">
        <v>1.5178169486793283E-2</v>
      </c>
      <c r="Q460">
        <v>3.1103265197679909E-4</v>
      </c>
    </row>
    <row r="461" spans="15:37" x14ac:dyDescent="0.25">
      <c r="O461">
        <v>460</v>
      </c>
      <c r="P461">
        <v>1.5168549818145981E-2</v>
      </c>
      <c r="Q461">
        <v>3.2658428457563903E-4</v>
      </c>
    </row>
    <row r="462" spans="15:37" x14ac:dyDescent="0.25">
      <c r="O462">
        <v>461</v>
      </c>
      <c r="P462">
        <v>1.5157701016314848E-2</v>
      </c>
      <c r="Q462">
        <v>3.4291349880442097E-4</v>
      </c>
    </row>
    <row r="463" spans="15:37" x14ac:dyDescent="0.25">
      <c r="O463">
        <v>462</v>
      </c>
      <c r="P463">
        <v>1.5145972551829099E-2</v>
      </c>
      <c r="Q463">
        <v>3.6005917374464202E-4</v>
      </c>
    </row>
    <row r="464" spans="15:37" x14ac:dyDescent="0.25">
      <c r="O464">
        <v>463</v>
      </c>
      <c r="P464">
        <v>1.5133873088913579E-2</v>
      </c>
      <c r="Q464">
        <v>3.7806213243187414E-4</v>
      </c>
    </row>
    <row r="465" spans="15:17" x14ac:dyDescent="0.25">
      <c r="O465">
        <v>464</v>
      </c>
      <c r="P465">
        <v>1.51223475957259E-2</v>
      </c>
      <c r="Q465">
        <v>3.9696523905346788E-4</v>
      </c>
    </row>
    <row r="466" spans="15:17" x14ac:dyDescent="0.25">
      <c r="O466">
        <v>465</v>
      </c>
      <c r="P466">
        <v>1.5109469282846706E-2</v>
      </c>
      <c r="Q466">
        <v>4.1681350100614129E-4</v>
      </c>
    </row>
    <row r="467" spans="15:17" x14ac:dyDescent="0.25">
      <c r="O467">
        <v>466</v>
      </c>
      <c r="P467">
        <v>1.510012036083358E-2</v>
      </c>
      <c r="Q467">
        <v>4.3765417605644839E-4</v>
      </c>
    </row>
    <row r="468" spans="15:17" x14ac:dyDescent="0.25">
      <c r="O468">
        <v>467</v>
      </c>
      <c r="P468">
        <v>1.5085843883647433E-2</v>
      </c>
      <c r="Q468">
        <v>4.5953688485927084E-4</v>
      </c>
    </row>
    <row r="469" spans="15:17" x14ac:dyDescent="0.25">
      <c r="O469">
        <v>468</v>
      </c>
      <c r="P469">
        <v>1.5069756920941431E-2</v>
      </c>
      <c r="Q469">
        <v>4.8251372910223443E-4</v>
      </c>
    </row>
    <row r="470" spans="15:17" x14ac:dyDescent="0.25">
      <c r="O470">
        <v>469</v>
      </c>
      <c r="P470">
        <v>1.5055110166867109E-2</v>
      </c>
      <c r="Q470">
        <v>5.0663941555734616E-4</v>
      </c>
    </row>
    <row r="471" spans="15:17" x14ac:dyDescent="0.25">
      <c r="O471">
        <v>470</v>
      </c>
      <c r="P471">
        <v>1.5039331201439661E-2</v>
      </c>
      <c r="Q471">
        <v>5.319713863352135E-4</v>
      </c>
    </row>
    <row r="472" spans="15:17" x14ac:dyDescent="0.25">
      <c r="O472">
        <v>471</v>
      </c>
      <c r="P472">
        <v>1.5021468122278116E-2</v>
      </c>
      <c r="Q472">
        <v>5.5856995565197419E-4</v>
      </c>
    </row>
    <row r="473" spans="15:17" x14ac:dyDescent="0.25">
      <c r="O473">
        <v>472</v>
      </c>
      <c r="P473">
        <v>1.5002502055396969E-2</v>
      </c>
      <c r="Q473">
        <v>5.8649845343457295E-4</v>
      </c>
    </row>
    <row r="474" spans="15:17" x14ac:dyDescent="0.25">
      <c r="O474">
        <v>473</v>
      </c>
      <c r="P474">
        <v>1.498670109426826E-2</v>
      </c>
      <c r="Q474">
        <v>6.1582337610630164E-4</v>
      </c>
    </row>
    <row r="475" spans="15:17" x14ac:dyDescent="0.25">
      <c r="O475">
        <v>474</v>
      </c>
      <c r="P475">
        <v>1.4977704370513711E-2</v>
      </c>
      <c r="Q475">
        <v>6.466145449116167E-4</v>
      </c>
    </row>
    <row r="476" spans="15:17" x14ac:dyDescent="0.25">
      <c r="O476">
        <v>475</v>
      </c>
      <c r="P476">
        <v>1.4951227484918023E-2</v>
      </c>
      <c r="Q476">
        <v>6.7894527215719752E-4</v>
      </c>
    </row>
    <row r="477" spans="15:17" x14ac:dyDescent="0.25">
      <c r="O477">
        <v>476</v>
      </c>
      <c r="P477">
        <v>1.4931490131710761E-2</v>
      </c>
      <c r="Q477">
        <v>7.1289253576505745E-4</v>
      </c>
    </row>
    <row r="478" spans="15:17" x14ac:dyDescent="0.25">
      <c r="O478">
        <v>477</v>
      </c>
      <c r="P478">
        <v>1.4914540460313309E-2</v>
      </c>
      <c r="Q478">
        <v>7.485371625533103E-4</v>
      </c>
    </row>
    <row r="479" spans="15:17" x14ac:dyDescent="0.25">
      <c r="O479">
        <v>478</v>
      </c>
      <c r="P479">
        <v>1.4917079435968393E-2</v>
      </c>
      <c r="Q479">
        <v>7.8596402068097581E-4</v>
      </c>
    </row>
    <row r="480" spans="15:17" x14ac:dyDescent="0.25">
      <c r="O480">
        <v>479</v>
      </c>
      <c r="P480">
        <v>1.4910022994441482E-2</v>
      </c>
      <c r="Q480">
        <v>7.8596402068097584E-5</v>
      </c>
    </row>
    <row r="481" spans="15:17" x14ac:dyDescent="0.25">
      <c r="O481">
        <v>480</v>
      </c>
      <c r="P481">
        <v>1.4907029914458206E-2</v>
      </c>
      <c r="Q481">
        <v>8.252622217150247E-5</v>
      </c>
    </row>
    <row r="482" spans="15:17" x14ac:dyDescent="0.25">
      <c r="O482">
        <v>481</v>
      </c>
      <c r="P482">
        <v>1.4903624609594093E-2</v>
      </c>
      <c r="Q482">
        <v>8.6652533280077591E-5</v>
      </c>
    </row>
    <row r="483" spans="15:17" x14ac:dyDescent="0.25">
      <c r="O483">
        <v>482</v>
      </c>
      <c r="P483">
        <v>1.4900848001673272E-2</v>
      </c>
      <c r="Q483">
        <v>9.0985159944081468E-5</v>
      </c>
    </row>
    <row r="484" spans="15:17" x14ac:dyDescent="0.25">
      <c r="O484">
        <v>483</v>
      </c>
      <c r="P484">
        <v>1.4898033633898283E-2</v>
      </c>
      <c r="Q484">
        <v>9.553441794128554E-5</v>
      </c>
    </row>
    <row r="485" spans="15:17" x14ac:dyDescent="0.25">
      <c r="O485">
        <v>484</v>
      </c>
      <c r="P485">
        <v>1.4894992768240342E-2</v>
      </c>
      <c r="Q485">
        <v>1.0031113883834982E-4</v>
      </c>
    </row>
    <row r="486" spans="15:17" x14ac:dyDescent="0.25">
      <c r="O486">
        <v>485</v>
      </c>
      <c r="P486">
        <v>1.4892026567826002E-2</v>
      </c>
      <c r="Q486">
        <v>1.0532669578026731E-4</v>
      </c>
    </row>
    <row r="487" spans="15:17" x14ac:dyDescent="0.25">
      <c r="O487">
        <v>486</v>
      </c>
      <c r="P487">
        <v>1.4889122837456777E-2</v>
      </c>
      <c r="Q487">
        <v>1.1059303056928067E-4</v>
      </c>
    </row>
    <row r="488" spans="15:17" x14ac:dyDescent="0.25">
      <c r="O488">
        <v>487</v>
      </c>
      <c r="P488">
        <v>1.4886143166341997E-2</v>
      </c>
      <c r="Q488">
        <v>1.1612268209774471E-4</v>
      </c>
    </row>
    <row r="489" spans="15:17" x14ac:dyDescent="0.25">
      <c r="O489">
        <v>488</v>
      </c>
      <c r="P489">
        <v>1.4883094067350068E-2</v>
      </c>
      <c r="Q489">
        <v>1.2192881620263195E-4</v>
      </c>
    </row>
    <row r="490" spans="15:17" x14ac:dyDescent="0.25">
      <c r="O490">
        <v>489</v>
      </c>
      <c r="P490">
        <v>1.4879673442840835E-2</v>
      </c>
      <c r="Q490">
        <v>1.2802525701276354E-4</v>
      </c>
    </row>
    <row r="491" spans="15:17" x14ac:dyDescent="0.25">
      <c r="O491">
        <v>490</v>
      </c>
      <c r="P491">
        <v>1.487596292369015E-2</v>
      </c>
      <c r="Q491">
        <v>1.3442651986340172E-4</v>
      </c>
    </row>
    <row r="492" spans="15:17" x14ac:dyDescent="0.25">
      <c r="O492">
        <v>491</v>
      </c>
      <c r="P492">
        <v>1.4871725772679515E-2</v>
      </c>
      <c r="Q492">
        <v>1.4114784585657182E-4</v>
      </c>
    </row>
    <row r="493" spans="15:17" x14ac:dyDescent="0.25">
      <c r="O493">
        <v>492</v>
      </c>
      <c r="P493">
        <v>1.4867458958324064E-2</v>
      </c>
      <c r="Q493">
        <v>1.4820523814940042E-4</v>
      </c>
    </row>
    <row r="494" spans="15:17" x14ac:dyDescent="0.25">
      <c r="O494">
        <v>493</v>
      </c>
      <c r="P494">
        <v>1.4862948803263753E-2</v>
      </c>
      <c r="Q494">
        <v>1.5561550005687046E-4</v>
      </c>
    </row>
    <row r="495" spans="15:17" x14ac:dyDescent="0.25">
      <c r="O495">
        <v>494</v>
      </c>
      <c r="P495">
        <v>1.485854939375744E-2</v>
      </c>
      <c r="Q495">
        <v>1.63396275059714E-4</v>
      </c>
    </row>
    <row r="496" spans="15:17" x14ac:dyDescent="0.25">
      <c r="O496">
        <v>495</v>
      </c>
      <c r="P496">
        <v>1.4854132309512042E-2</v>
      </c>
      <c r="Q496">
        <v>1.7156608881269971E-4</v>
      </c>
    </row>
    <row r="497" spans="15:17" x14ac:dyDescent="0.25">
      <c r="O497">
        <v>496</v>
      </c>
      <c r="P497">
        <v>1.4849410548817795E-2</v>
      </c>
      <c r="Q497">
        <v>1.8014439325333471E-4</v>
      </c>
    </row>
    <row r="498" spans="15:17" x14ac:dyDescent="0.25">
      <c r="O498">
        <v>497</v>
      </c>
      <c r="P498">
        <v>1.484457127100524E-2</v>
      </c>
      <c r="Q498">
        <v>1.8915161291600146E-4</v>
      </c>
    </row>
    <row r="499" spans="15:17" x14ac:dyDescent="0.25">
      <c r="O499">
        <v>498</v>
      </c>
      <c r="P499">
        <v>1.4839615768848015E-2</v>
      </c>
      <c r="Q499">
        <v>1.9860919356180155E-4</v>
      </c>
    </row>
    <row r="500" spans="15:17" x14ac:dyDescent="0.25">
      <c r="O500">
        <v>499</v>
      </c>
      <c r="P500">
        <v>1.4833854631951953E-2</v>
      </c>
      <c r="Q500">
        <v>2.0853965323989164E-4</v>
      </c>
    </row>
    <row r="501" spans="15:17" x14ac:dyDescent="0.25">
      <c r="O501">
        <v>500</v>
      </c>
      <c r="P501">
        <v>1.4827999599865126E-2</v>
      </c>
      <c r="Q501">
        <v>2.1896663590188623E-4</v>
      </c>
    </row>
  </sheetData>
  <sortState xmlns:xlrd2="http://schemas.microsoft.com/office/spreadsheetml/2017/richdata2" ref="A2:H151">
    <sortCondition ref="F2:F151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Stomp</vt:lpstr>
      <vt:lpstr>Maze</vt:lpstr>
      <vt:lpstr>MazeII</vt:lpstr>
      <vt:lpstr>Sheet1</vt:lpstr>
      <vt:lpstr>MazeTrainProgress</vt:lpstr>
      <vt:lpstr>MazeNN</vt:lpstr>
      <vt:lpstr>MazeStateAction</vt:lpstr>
      <vt:lpstr>MazeStateValue</vt:lpstr>
      <vt:lpstr>MazeIITrainProgress</vt:lpstr>
      <vt:lpstr>MazeIINN</vt:lpstr>
      <vt:lpstr>MazeIIStateAction</vt:lpstr>
      <vt:lpstr>MazeIIStateValue</vt:lpstr>
      <vt:lpstr>StompTrainProgress</vt:lpstr>
      <vt:lpstr>StompNN</vt:lpstr>
      <vt:lpstr>StompStateAction</vt:lpstr>
      <vt:lpstr>StompStateValue</vt:lpstr>
      <vt:lpstr>Iris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</dc:creator>
  <cp:lastModifiedBy>pong</cp:lastModifiedBy>
  <dcterms:created xsi:type="dcterms:W3CDTF">2023-04-03T01:54:07Z</dcterms:created>
  <dcterms:modified xsi:type="dcterms:W3CDTF">2023-05-09T14:58:39Z</dcterms:modified>
</cp:coreProperties>
</file>