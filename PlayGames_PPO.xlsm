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ng\Desktop\MarioGame\"/>
    </mc:Choice>
  </mc:AlternateContent>
  <xr:revisionPtr revIDLastSave="0" documentId="13_ncr:1_{6A8EA413-42B1-465D-91EE-11A96EBED596}" xr6:coauthVersionLast="47" xr6:coauthVersionMax="47" xr10:uidLastSave="{00000000-0000-0000-0000-000000000000}"/>
  <bookViews>
    <workbookView xWindow="28680" yWindow="-120" windowWidth="29040" windowHeight="18240" activeTab="2" xr2:uid="{22A4D6E7-E073-48DE-BBED-EC8C08C3FD9A}"/>
  </bookViews>
  <sheets>
    <sheet name="Stomp" sheetId="8" r:id="rId1"/>
    <sheet name="Maze" sheetId="1" r:id="rId2"/>
    <sheet name="MazeII" sheetId="14" r:id="rId3"/>
    <sheet name="Sheet1" sheetId="19" r:id="rId4"/>
    <sheet name="MazeTrainProgress" sheetId="9" r:id="rId5"/>
    <sheet name="MazeNN" sheetId="2" r:id="rId6"/>
    <sheet name="MazeStateAction" sheetId="10" r:id="rId7"/>
    <sheet name="MazeStateValue" sheetId="5" r:id="rId8"/>
    <sheet name="MazeIITrainProgress" sheetId="15" r:id="rId9"/>
    <sheet name="MazeIINN" sheetId="16" r:id="rId10"/>
    <sheet name="MazeIIStateAction" sheetId="17" r:id="rId11"/>
    <sheet name="MazeIIStateValue" sheetId="18" r:id="rId12"/>
    <sheet name="StompTrainProgress" sheetId="4" r:id="rId13"/>
    <sheet name="StompNN" sheetId="11" r:id="rId14"/>
    <sheet name="StompStateAction" sheetId="6" r:id="rId15"/>
    <sheet name="StompStateValue" sheetId="12" r:id="rId16"/>
    <sheet name="Iris" sheetId="20" r:id="rId17"/>
  </sheets>
  <calcPr calcId="181029"/>
</workbook>
</file>

<file path=xl/calcChain.xml><?xml version="1.0" encoding="utf-8"?>
<calcChain xmlns="http://schemas.openxmlformats.org/spreadsheetml/2006/main">
  <c r="AH1" i="20" l="1" a="1"/>
  <c r="I1" i="20" a="1"/>
  <c r="I1" i="20" s="1"/>
  <c r="AH1" i="20" l="1"/>
  <c r="P5" i="9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AE4" i="17"/>
  <c r="AD4" i="17"/>
  <c r="AC4" i="17"/>
  <c r="AB4" i="17"/>
  <c r="AA4" i="17"/>
  <c r="Z4" i="17"/>
  <c r="Y4" i="17"/>
  <c r="X4" i="17"/>
  <c r="W4" i="17"/>
  <c r="V4" i="17"/>
  <c r="U4" i="17"/>
  <c r="T4" i="17"/>
  <c r="S4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501" i="4"/>
  <c r="S9" i="10"/>
  <c r="R9" i="10"/>
  <c r="Q9" i="10"/>
  <c r="P9" i="10"/>
  <c r="O9" i="10"/>
  <c r="N9" i="10"/>
  <c r="M9" i="10"/>
  <c r="S8" i="10"/>
  <c r="R8" i="10"/>
  <c r="Q8" i="10"/>
  <c r="P8" i="10"/>
  <c r="O8" i="10"/>
  <c r="N8" i="10"/>
  <c r="M8" i="10"/>
  <c r="S7" i="10"/>
  <c r="R7" i="10"/>
  <c r="Q7" i="10"/>
  <c r="P7" i="10"/>
  <c r="O7" i="10"/>
  <c r="N7" i="10"/>
  <c r="M7" i="10"/>
  <c r="S6" i="10"/>
  <c r="R6" i="10"/>
  <c r="Q6" i="10"/>
  <c r="P6" i="10"/>
  <c r="O6" i="10"/>
  <c r="N6" i="10"/>
  <c r="M6" i="10"/>
  <c r="S5" i="10"/>
  <c r="R5" i="10"/>
  <c r="Q5" i="10"/>
  <c r="P5" i="10"/>
  <c r="O5" i="10"/>
  <c r="N5" i="10"/>
  <c r="M5" i="10"/>
  <c r="S4" i="10"/>
  <c r="R4" i="10"/>
  <c r="Q4" i="10"/>
  <c r="P4" i="10"/>
  <c r="O4" i="10"/>
  <c r="N4" i="10"/>
  <c r="M4" i="10"/>
  <c r="S3" i="10"/>
  <c r="R3" i="10"/>
  <c r="Q3" i="10"/>
  <c r="P3" i="10"/>
  <c r="O3" i="10"/>
  <c r="N3" i="10"/>
  <c r="M3" i="10"/>
  <c r="E12" i="8" l="1"/>
  <c r="C12" i="8"/>
  <c r="F9" i="8"/>
  <c r="E9" i="8"/>
  <c r="C9" i="8"/>
  <c r="B9" i="8"/>
  <c r="E8" i="8"/>
  <c r="B8" i="8"/>
  <c r="E7" i="8"/>
  <c r="B7" i="8"/>
  <c r="F6" i="8"/>
  <c r="E6" i="8"/>
  <c r="C6" i="8"/>
  <c r="C8" i="8" s="1"/>
  <c r="B6" i="8"/>
  <c r="C7" i="8" l="1"/>
</calcChain>
</file>

<file path=xl/sharedStrings.xml><?xml version="1.0" encoding="utf-8"?>
<sst xmlns="http://schemas.openxmlformats.org/spreadsheetml/2006/main" count="439" uniqueCount="61">
  <si>
    <t>Mario</t>
  </si>
  <si>
    <t>x</t>
  </si>
  <si>
    <t>y</t>
  </si>
  <si>
    <t>Refresh Rate</t>
  </si>
  <si>
    <t>*this value depends on speed of your PC and Excel, display will be jerky if set too high</t>
  </si>
  <si>
    <t>SIGMOID</t>
  </si>
  <si>
    <t>RELU</t>
  </si>
  <si>
    <t>LINEAR</t>
  </si>
  <si>
    <t>Player</t>
  </si>
  <si>
    <t>Maze</t>
  </si>
  <si>
    <t>Princess</t>
  </si>
  <si>
    <t>SOFTMAX</t>
  </si>
  <si>
    <t>Cycle</t>
  </si>
  <si>
    <t>Score</t>
  </si>
  <si>
    <t>Steps</t>
  </si>
  <si>
    <t>WinRate</t>
  </si>
  <si>
    <t>Turtle</t>
  </si>
  <si>
    <t>Label</t>
  </si>
  <si>
    <t>M</t>
  </si>
  <si>
    <t>Game</t>
  </si>
  <si>
    <t>Trained</t>
  </si>
  <si>
    <t>Stomp</t>
  </si>
  <si>
    <t>↑</t>
  </si>
  <si>
    <t>→</t>
  </si>
  <si>
    <t>↓</t>
  </si>
  <si>
    <t>←</t>
  </si>
  <si>
    <t>Greedy Actions from trained pilicy</t>
  </si>
  <si>
    <t>tuttle pos</t>
  </si>
  <si>
    <t>speed</t>
  </si>
  <si>
    <t>playe rpos</t>
  </si>
  <si>
    <t>player spead</t>
  </si>
  <si>
    <t>Action</t>
  </si>
  <si>
    <t>rewards</t>
  </si>
  <si>
    <t>discounted rewards</t>
  </si>
  <si>
    <t>advantages</t>
  </si>
  <si>
    <t>Date</t>
  </si>
  <si>
    <t>prob</t>
  </si>
  <si>
    <t>Value Error</t>
  </si>
  <si>
    <t xml:space="preserve"> </t>
  </si>
  <si>
    <t>Value (Error)</t>
  </si>
  <si>
    <t>MazeII</t>
  </si>
  <si>
    <t>P</t>
  </si>
  <si>
    <t xml:space="preserve">With memory </t>
  </si>
  <si>
    <t>No Memory</t>
  </si>
  <si>
    <t>F1</t>
  </si>
  <si>
    <t>F2</t>
  </si>
  <si>
    <t>F3</t>
  </si>
  <si>
    <t>F4</t>
  </si>
  <si>
    <t>Class</t>
  </si>
  <si>
    <t>Iris-setosa</t>
  </si>
  <si>
    <t>Iris-versicolor</t>
  </si>
  <si>
    <t>Iris-virginica</t>
  </si>
  <si>
    <t>Accuracy</t>
  </si>
  <si>
    <t>Fitted Class</t>
  </si>
  <si>
    <t>None</t>
  </si>
  <si>
    <t>RMS</t>
  </si>
  <si>
    <t>ADAM</t>
  </si>
  <si>
    <t>Loss</t>
  </si>
  <si>
    <t>step size</t>
  </si>
  <si>
    <t>*use trained or a randomly initialized player</t>
  </si>
  <si>
    <t>y_fit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</si>
</sst>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%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i/>
      <sz val="10"/>
      <color rgb="FFFF0000"/>
      <name val="Arial Narrow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7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1" fillId="2" borderId="0" xfId="0" applyFont="1" applyFill="1" applyAlignment="1">
      <alignment horizontal="right"/>
    </xf>
    <xf numFmtId="0" fontId="2" fillId="2" borderId="0" xfId="0" applyFont="1" applyFill="1"/>
    <xf numFmtId="0" fontId="1" fillId="0" borderId="0" xfId="0" applyFont="1"/>
    <xf numFmtId="2" fontId="1" fillId="0" borderId="0" xfId="0" applyNumberFormat="1" applyFont="1" applyAlignment="1">
      <alignment horizontal="center"/>
    </xf>
    <xf numFmtId="0" fontId="1" fillId="3" borderId="9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5" fillId="0" borderId="0" xfId="0" applyFont="1"/>
    <xf numFmtId="0" fontId="1" fillId="2" borderId="10" xfId="0" applyFont="1" applyFill="1" applyBorder="1"/>
    <xf numFmtId="0" fontId="1" fillId="2" borderId="11" xfId="0" applyFont="1" applyFill="1" applyBorder="1"/>
    <xf numFmtId="0" fontId="0" fillId="2" borderId="11" xfId="0" applyFill="1" applyBorder="1"/>
    <xf numFmtId="0" fontId="0" fillId="2" borderId="12" xfId="0" applyFill="1" applyBorder="1"/>
    <xf numFmtId="0" fontId="6" fillId="2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2" fontId="1" fillId="5" borderId="0" xfId="0" applyNumberFormat="1" applyFont="1" applyFill="1" applyAlignment="1">
      <alignment horizontal="center" vertical="center"/>
    </xf>
    <xf numFmtId="0" fontId="1" fillId="4" borderId="2" xfId="0" applyFont="1" applyFill="1" applyBorder="1" applyAlignment="1">
      <alignment horizontal="centerContinuous"/>
    </xf>
    <xf numFmtId="0" fontId="0" fillId="4" borderId="2" xfId="0" applyFill="1" applyBorder="1" applyAlignment="1">
      <alignment horizontal="centerContinuous"/>
    </xf>
    <xf numFmtId="10" fontId="0" fillId="0" borderId="0" xfId="1" applyNumberFormat="1" applyFont="1"/>
    <xf numFmtId="0" fontId="6" fillId="2" borderId="3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3BE7B"/>
      <color rgb="FFFAFAFA"/>
      <color rgb="FFF9F9F9"/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Stomp!$B$3</c:f>
              <c:strCache>
                <c:ptCount val="1"/>
                <c:pt idx="0">
                  <c:v>Mario</c:v>
                </c:pt>
              </c:strCache>
            </c:strRef>
          </c:tx>
          <c:spPr>
            <a:ln w="2222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Stomp!$B$5:$B$9</c:f>
              <c:numCache>
                <c:formatCode>General</c:formatCode>
                <c:ptCount val="5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</c:numCache>
            </c:numRef>
          </c:xVal>
          <c:yVal>
            <c:numRef>
              <c:f>Stomp!$C$5:$C$9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16</c:v>
                </c:pt>
                <c:pt idx="3">
                  <c:v>8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1E-41C7-B875-18EB7F5D84B1}"/>
            </c:ext>
          </c:extLst>
        </c:ser>
        <c:ser>
          <c:idx val="1"/>
          <c:order val="1"/>
          <c:tx>
            <c:strRef>
              <c:f>Stomp!$E$3</c:f>
              <c:strCache>
                <c:ptCount val="1"/>
                <c:pt idx="0">
                  <c:v>Turtle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Stomp!$E$5:$E$9</c:f>
              <c:numCache>
                <c:formatCode>General</c:formatCode>
                <c:ptCount val="5"/>
                <c:pt idx="0">
                  <c:v>30</c:v>
                </c:pt>
                <c:pt idx="1">
                  <c:v>40</c:v>
                </c:pt>
                <c:pt idx="2">
                  <c:v>42</c:v>
                </c:pt>
                <c:pt idx="3">
                  <c:v>28</c:v>
                </c:pt>
                <c:pt idx="4">
                  <c:v>30</c:v>
                </c:pt>
              </c:numCache>
            </c:numRef>
          </c:xVal>
          <c:yVal>
            <c:numRef>
              <c:f>Stomp!$F$5:$F$9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1E-41C7-B875-18EB7F5D84B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D57F971-201D-417B-8199-F4829A55F845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71E-41C7-B875-18EB7F5D84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Bahnschrift SemiBold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Stomp!$H$5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Stomp!$I$5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Stomp!$J$5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03-F71E-41C7-B875-18EB7F5D84B1}"/>
            </c:ext>
          </c:extLst>
        </c:ser>
        <c:ser>
          <c:idx val="3"/>
          <c:order val="3"/>
          <c:tx>
            <c:strRef>
              <c:f>Stomp!$G$12</c:f>
              <c:strCache>
                <c:ptCount val="1"/>
                <c:pt idx="0">
                  <c:v>Turtle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Stomp!$E$12</c:f>
              <c:numCache>
                <c:formatCode>General</c:formatCode>
                <c:ptCount val="1"/>
                <c:pt idx="0">
                  <c:v>35</c:v>
                </c:pt>
              </c:numCache>
            </c:numRef>
          </c:xVal>
          <c:yVal>
            <c:numRef>
              <c:f>Stomp!$F$12</c:f>
              <c:numCache>
                <c:formatCode>General</c:formatCode>
                <c:ptCount val="1"/>
                <c:pt idx="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1E-41C7-B875-18EB7F5D84B1}"/>
            </c:ext>
          </c:extLst>
        </c:ser>
        <c:ser>
          <c:idx val="4"/>
          <c:order val="4"/>
          <c:tx>
            <c:strRef>
              <c:f>Stomp!$D$12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B0F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Stomp!$B$12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Stomp!$C$12</c:f>
              <c:numCache>
                <c:formatCode>General</c:formatCode>
                <c:ptCount val="1"/>
                <c:pt idx="0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1E-41C7-B875-18EB7F5D8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50"/>
          <c:min val="-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50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Stomp!$AA$1</c:f>
              <c:strCache>
                <c:ptCount val="1"/>
                <c:pt idx="0">
                  <c:v>rewards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Stomp!$U$2:$U$44</c:f>
              <c:numCache>
                <c:formatCode>General</c:formatCode>
                <c:ptCount val="43"/>
              </c:numCache>
            </c:numRef>
          </c:xVal>
          <c:yVal>
            <c:numRef>
              <c:f>Stomp!$AA$2:$AA$44</c:f>
              <c:numCache>
                <c:formatCode>General</c:formatCode>
                <c:ptCount val="4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8-4918-90F4-2395D7A8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72832"/>
        <c:axId val="453070912"/>
      </c:scatterChart>
      <c:scatterChart>
        <c:scatterStyle val="lineMarker"/>
        <c:varyColors val="0"/>
        <c:ser>
          <c:idx val="1"/>
          <c:order val="1"/>
          <c:tx>
            <c:strRef>
              <c:f>Stomp!$AC$1</c:f>
              <c:strCache>
                <c:ptCount val="1"/>
                <c:pt idx="0">
                  <c:v>advantages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Stomp!$U$2:$U$44</c:f>
              <c:numCache>
                <c:formatCode>General</c:formatCode>
                <c:ptCount val="43"/>
              </c:numCache>
            </c:numRef>
          </c:xVal>
          <c:yVal>
            <c:numRef>
              <c:f>Stomp!$AC$2:$AC$44</c:f>
              <c:numCache>
                <c:formatCode>General</c:formatCode>
                <c:ptCount val="4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8-4918-90F4-2395D7A8B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5072"/>
        <c:axId val="453069952"/>
      </c:scatterChart>
      <c:valAx>
        <c:axId val="453072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0912"/>
        <c:crosses val="autoZero"/>
        <c:crossBetween val="midCat"/>
      </c:valAx>
      <c:valAx>
        <c:axId val="45307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72832"/>
        <c:crosses val="autoZero"/>
        <c:crossBetween val="midCat"/>
      </c:valAx>
      <c:valAx>
        <c:axId val="4530699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55072"/>
        <c:crosses val="max"/>
        <c:crossBetween val="midCat"/>
      </c:valAx>
      <c:valAx>
        <c:axId val="453055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069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Maze!$B$3</c:f>
              <c:strCache>
                <c:ptCount val="1"/>
                <c:pt idx="0">
                  <c:v>Mario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76591A-FCCD-4E20-84F9-78E1812DA511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039C-4859-BE2A-909E8F8AE3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Maze!$B$5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Maze!$C$5</c:f>
              <c:numCache>
                <c:formatCode>General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Maze!$D$5</c15:f>
                <c15:dlblRangeCache>
                  <c:ptCount val="1"/>
                  <c:pt idx="0">
                    <c:v>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20B-4885-A21A-F07F1E6A3583}"/>
            </c:ext>
          </c:extLst>
        </c:ser>
        <c:ser>
          <c:idx val="1"/>
          <c:order val="1"/>
          <c:tx>
            <c:strRef>
              <c:f>Maze!$E$3</c:f>
              <c:strCache>
                <c:ptCount val="1"/>
                <c:pt idx="0">
                  <c:v>Maze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Maze!$E$5:$E$31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</c:numCache>
            </c:numRef>
          </c:xVal>
          <c:yVal>
            <c:numRef>
              <c:f>Maze!$F$5:$F$31</c:f>
              <c:numCache>
                <c:formatCode>General</c:formatCode>
                <c:ptCount val="27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0B-4885-A21A-F07F1E6A3583}"/>
            </c:ext>
          </c:extLst>
        </c:ser>
        <c:ser>
          <c:idx val="2"/>
          <c:order val="2"/>
          <c:tx>
            <c:strRef>
              <c:f>Maze!$H$3</c:f>
              <c:strCache>
                <c:ptCount val="1"/>
                <c:pt idx="0">
                  <c:v>Princess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4445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5CF5F5-2343-4882-9728-9D7D5DDEB059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39C-4859-BE2A-909E8F8AE3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Maze!$H$5</c:f>
              <c:numCache>
                <c:formatCode>General</c:formatCode>
                <c:ptCount val="1"/>
                <c:pt idx="0">
                  <c:v>7</c:v>
                </c:pt>
              </c:numCache>
            </c:numRef>
          </c:xVal>
          <c:yVal>
            <c:numRef>
              <c:f>Maze!$I$5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Maze!$J$5</c15:f>
                <c15:dlblRangeCache>
                  <c:ptCount val="1"/>
                  <c:pt idx="0">
                    <c:v>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3BB-4D28-9BF5-0273255F7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7.5"/>
          <c:min val="0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7.5"/>
          <c:min val="0.5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32852143482067E-2"/>
          <c:y val="5.0925925925925923E-2"/>
          <c:w val="0.86534492563429577"/>
          <c:h val="0.85198308544765233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MazeII!$B$3</c:f>
              <c:strCache>
                <c:ptCount val="1"/>
                <c:pt idx="0">
                  <c:v>Mario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3DE3F15-429F-4212-A2D4-1704D2A4157B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A71-4508-AF8E-14C2CF563E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71-4508-AF8E-14C2CF563E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71-4508-AF8E-14C2CF563E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71-4508-AF8E-14C2CF563E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71-4508-AF8E-14C2CF563E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MazeII!$B$5:$B$9</c:f>
              <c:numCache>
                <c:formatCode>General</c:formatCode>
                <c:ptCount val="5"/>
                <c:pt idx="0">
                  <c:v>1</c:v>
                </c:pt>
              </c:numCache>
            </c:numRef>
          </c:xVal>
          <c:yVal>
            <c:numRef>
              <c:f>MazeII!$C$5:$C$9</c:f>
              <c:numCache>
                <c:formatCode>General</c:formatCode>
                <c:ptCount val="5"/>
                <c:pt idx="0">
                  <c:v>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MazeII!$D$5</c15:f>
                <c15:dlblRangeCache>
                  <c:ptCount val="1"/>
                  <c:pt idx="0">
                    <c:v>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712-4AA1-9C6F-D2772362DF01}"/>
            </c:ext>
          </c:extLst>
        </c:ser>
        <c:ser>
          <c:idx val="1"/>
          <c:order val="1"/>
          <c:tx>
            <c:strRef>
              <c:f>MazeII!$E$3</c:f>
              <c:strCache>
                <c:ptCount val="1"/>
                <c:pt idx="0">
                  <c:v>Maze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20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MazeII!$E$5:$E$31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9</c:v>
                </c:pt>
                <c:pt idx="18">
                  <c:v>10</c:v>
                </c:pt>
                <c:pt idx="19">
                  <c:v>11</c:v>
                </c:pt>
                <c:pt idx="20">
                  <c:v>12</c:v>
                </c:pt>
                <c:pt idx="21">
                  <c:v>13</c:v>
                </c:pt>
                <c:pt idx="22">
                  <c:v>9</c:v>
                </c:pt>
                <c:pt idx="23">
                  <c:v>10</c:v>
                </c:pt>
                <c:pt idx="24">
                  <c:v>11</c:v>
                </c:pt>
                <c:pt idx="25">
                  <c:v>12</c:v>
                </c:pt>
                <c:pt idx="26">
                  <c:v>13</c:v>
                </c:pt>
              </c:numCache>
            </c:numRef>
          </c:xVal>
          <c:yVal>
            <c:numRef>
              <c:f>MazeII!$F$5:$F$31</c:f>
              <c:numCache>
                <c:formatCode>General</c:formatCode>
                <c:ptCount val="27"/>
                <c:pt idx="0">
                  <c:v>5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2-4AA1-9C6F-D2772362DF01}"/>
            </c:ext>
          </c:extLst>
        </c:ser>
        <c:ser>
          <c:idx val="2"/>
          <c:order val="2"/>
          <c:tx>
            <c:strRef>
              <c:f>MazeII!$H$3</c:f>
              <c:strCache>
                <c:ptCount val="1"/>
                <c:pt idx="0">
                  <c:v>Princess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noFill/>
              <a:ln w="44450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6957321-5E5E-425B-B988-2850F3942C7F}" type="CELLRANGE">
                      <a:rPr lang="en-US"/>
                      <a:pPr/>
                      <a:t>[CELLRANGE]</a:t>
                    </a:fld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A71-4508-AF8E-14C2CF563E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71-4508-AF8E-14C2CF563E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71-4508-AF8E-14C2CF563E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71-4508-AF8E-14C2CF563E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H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71-4508-AF8E-14C2CF563E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FF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MazeII!$H$5:$H$9</c:f>
              <c:numCache>
                <c:formatCode>General</c:formatCode>
                <c:ptCount val="5"/>
                <c:pt idx="0">
                  <c:v>13</c:v>
                </c:pt>
              </c:numCache>
            </c:numRef>
          </c:xVal>
          <c:yVal>
            <c:numRef>
              <c:f>MazeII!$I$5:$I$9</c:f>
              <c:numCache>
                <c:formatCode>General</c:formatCode>
                <c:ptCount val="5"/>
                <c:pt idx="0">
                  <c:v>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MazeII!$J$5</c15:f>
                <c15:dlblRangeCache>
                  <c:ptCount val="1"/>
                  <c:pt idx="0">
                    <c:v>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1712-4AA1-9C6F-D2772362D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027744"/>
        <c:axId val="996677344"/>
      </c:scatterChart>
      <c:valAx>
        <c:axId val="1152027744"/>
        <c:scaling>
          <c:orientation val="minMax"/>
          <c:max val="13.5"/>
          <c:min val="0.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996677344"/>
        <c:crosses val="autoZero"/>
        <c:crossBetween val="midCat"/>
      </c:valAx>
      <c:valAx>
        <c:axId val="996677344"/>
        <c:scaling>
          <c:orientation val="minMax"/>
          <c:max val="7.5"/>
          <c:min val="0.5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152027744"/>
        <c:crosses val="autoZero"/>
        <c:crossBetween val="midCat"/>
      </c:valAx>
      <c:spPr>
        <a:solidFill>
          <a:srgbClr val="F4F9F1"/>
        </a:solidFill>
        <a:ln>
          <a:solidFill>
            <a:schemeClr val="tx1"/>
          </a:solidFill>
        </a:ln>
        <a:effectLst>
          <a:innerShdw blurRad="114300">
            <a:prstClr val="black"/>
          </a:inn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29166666666667"/>
          <c:y val="6.4675925925925928E-2"/>
          <c:w val="0.81180631313131313"/>
          <c:h val="0.73154537037037037"/>
        </c:manualLayout>
      </c:layout>
      <c:scatterChart>
        <c:scatterStyle val="lineMarker"/>
        <c:varyColors val="0"/>
        <c:ser>
          <c:idx val="2"/>
          <c:order val="0"/>
          <c:tx>
            <c:strRef>
              <c:f>Sheet1!$B$5</c:f>
              <c:strCache>
                <c:ptCount val="1"/>
                <c:pt idx="0">
                  <c:v>No Memory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Sheet1!$B$6:$B$55</c:f>
              <c:numCache>
                <c:formatCode>General</c:formatCode>
                <c:ptCount val="50"/>
                <c:pt idx="0">
                  <c:v>-72.997000000000071</c:v>
                </c:pt>
                <c:pt idx="1">
                  <c:v>-57.000999999999941</c:v>
                </c:pt>
                <c:pt idx="2">
                  <c:v>-48.777999999999935</c:v>
                </c:pt>
                <c:pt idx="3">
                  <c:v>-36.893999999999934</c:v>
                </c:pt>
                <c:pt idx="4">
                  <c:v>-28.066999999999947</c:v>
                </c:pt>
                <c:pt idx="5">
                  <c:v>-19.472999999999971</c:v>
                </c:pt>
                <c:pt idx="6">
                  <c:v>-10.707999999999988</c:v>
                </c:pt>
                <c:pt idx="7">
                  <c:v>-7.9189999999999916</c:v>
                </c:pt>
                <c:pt idx="8">
                  <c:v>-6.8579999999999934</c:v>
                </c:pt>
                <c:pt idx="9">
                  <c:v>-6.4549999999999832</c:v>
                </c:pt>
                <c:pt idx="10">
                  <c:v>-6.3249999999999762</c:v>
                </c:pt>
                <c:pt idx="11">
                  <c:v>-6.3689999999999714</c:v>
                </c:pt>
                <c:pt idx="12">
                  <c:v>-5.8519999999999675</c:v>
                </c:pt>
                <c:pt idx="13">
                  <c:v>-5.2649999999999659</c:v>
                </c:pt>
                <c:pt idx="14">
                  <c:v>-5.0049999999999644</c:v>
                </c:pt>
                <c:pt idx="15">
                  <c:v>-4.6579999999999622</c:v>
                </c:pt>
                <c:pt idx="16">
                  <c:v>-4.7179999999999618</c:v>
                </c:pt>
                <c:pt idx="17">
                  <c:v>-3.2019999999999591</c:v>
                </c:pt>
                <c:pt idx="18">
                  <c:v>-2.8549999999999573</c:v>
                </c:pt>
                <c:pt idx="19">
                  <c:v>-2.5849999999999569</c:v>
                </c:pt>
                <c:pt idx="20">
                  <c:v>-3.0799999999999579</c:v>
                </c:pt>
                <c:pt idx="21">
                  <c:v>-2.5419999999999567</c:v>
                </c:pt>
                <c:pt idx="22">
                  <c:v>-2.0459999999999554</c:v>
                </c:pt>
                <c:pt idx="23">
                  <c:v>-2.4499999999999567</c:v>
                </c:pt>
                <c:pt idx="24">
                  <c:v>-2.2099999999999556</c:v>
                </c:pt>
                <c:pt idx="25">
                  <c:v>-2.1049999999999547</c:v>
                </c:pt>
                <c:pt idx="26">
                  <c:v>-1.5059999999999525</c:v>
                </c:pt>
                <c:pt idx="27">
                  <c:v>-1.7319999999999545</c:v>
                </c:pt>
                <c:pt idx="28">
                  <c:v>-3.5149999999999593</c:v>
                </c:pt>
                <c:pt idx="29">
                  <c:v>-3.7699999999999556</c:v>
                </c:pt>
                <c:pt idx="30">
                  <c:v>-5.6749999999999625</c:v>
                </c:pt>
                <c:pt idx="31">
                  <c:v>-4.7649999999999606</c:v>
                </c:pt>
                <c:pt idx="32">
                  <c:v>-4.0879999999999583</c:v>
                </c:pt>
                <c:pt idx="33">
                  <c:v>-5.5579999999999616</c:v>
                </c:pt>
                <c:pt idx="34">
                  <c:v>-6.2769999999999619</c:v>
                </c:pt>
                <c:pt idx="35">
                  <c:v>-2.824999999999954</c:v>
                </c:pt>
                <c:pt idx="36">
                  <c:v>-5.1209999999999605</c:v>
                </c:pt>
                <c:pt idx="37">
                  <c:v>-5.6459999999999608</c:v>
                </c:pt>
                <c:pt idx="38">
                  <c:v>-1.9699999999999531</c:v>
                </c:pt>
                <c:pt idx="39">
                  <c:v>-4.8959999999999608</c:v>
                </c:pt>
                <c:pt idx="40">
                  <c:v>-2.9599999999999556</c:v>
                </c:pt>
                <c:pt idx="41">
                  <c:v>-1.9999999999999531</c:v>
                </c:pt>
                <c:pt idx="42">
                  <c:v>-3.5449999999999564</c:v>
                </c:pt>
                <c:pt idx="43">
                  <c:v>-3.4549999999999561</c:v>
                </c:pt>
                <c:pt idx="44">
                  <c:v>-2.2399999999999536</c:v>
                </c:pt>
                <c:pt idx="45">
                  <c:v>-1.3709999999999505</c:v>
                </c:pt>
                <c:pt idx="46">
                  <c:v>0.74500000000005562</c:v>
                </c:pt>
                <c:pt idx="47">
                  <c:v>0.52000000000005409</c:v>
                </c:pt>
                <c:pt idx="48">
                  <c:v>-1.1599999999999511</c:v>
                </c:pt>
                <c:pt idx="49">
                  <c:v>1.7350000000000589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7F-4A53-A801-0AD7CB51EC7B}"/>
            </c:ext>
          </c:extLst>
        </c:ser>
        <c:ser>
          <c:idx val="1"/>
          <c:order val="1"/>
          <c:tx>
            <c:strRef>
              <c:f>Sheet1!$F$5</c:f>
              <c:strCache>
                <c:ptCount val="1"/>
                <c:pt idx="0">
                  <c:v>With memory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Sheet1!$F$6:$F$55</c:f>
              <c:numCache>
                <c:formatCode>General</c:formatCode>
                <c:ptCount val="50"/>
                <c:pt idx="0">
                  <c:v>-71.258000000000052</c:v>
                </c:pt>
                <c:pt idx="1">
                  <c:v>-57.991999999999962</c:v>
                </c:pt>
                <c:pt idx="2">
                  <c:v>-45.920999999999943</c:v>
                </c:pt>
                <c:pt idx="3">
                  <c:v>-35.180999999999948</c:v>
                </c:pt>
                <c:pt idx="4">
                  <c:v>-23.431999999999952</c:v>
                </c:pt>
                <c:pt idx="5">
                  <c:v>-9.9979999999999869</c:v>
                </c:pt>
                <c:pt idx="6">
                  <c:v>-1.0161999999999802</c:v>
                </c:pt>
                <c:pt idx="7">
                  <c:v>4.5876000000000428</c:v>
                </c:pt>
                <c:pt idx="8">
                  <c:v>29.94800000000005</c:v>
                </c:pt>
                <c:pt idx="9">
                  <c:v>38.705200000000055</c:v>
                </c:pt>
                <c:pt idx="10">
                  <c:v>54.173800000000028</c:v>
                </c:pt>
                <c:pt idx="11">
                  <c:v>57.382000000000026</c:v>
                </c:pt>
                <c:pt idx="12">
                  <c:v>60.468600000000016</c:v>
                </c:pt>
                <c:pt idx="13">
                  <c:v>67.551000000000002</c:v>
                </c:pt>
                <c:pt idx="14">
                  <c:v>64.918000000000006</c:v>
                </c:pt>
                <c:pt idx="15">
                  <c:v>66.058199999999985</c:v>
                </c:pt>
                <c:pt idx="16">
                  <c:v>63.839999999999989</c:v>
                </c:pt>
                <c:pt idx="17">
                  <c:v>61.837399999999988</c:v>
                </c:pt>
                <c:pt idx="18">
                  <c:v>65.527600000000007</c:v>
                </c:pt>
                <c:pt idx="19">
                  <c:v>65.363599999999991</c:v>
                </c:pt>
                <c:pt idx="20">
                  <c:v>65.470399999999984</c:v>
                </c:pt>
                <c:pt idx="21">
                  <c:v>65.845199999999977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7F-4A53-A801-0AD7CB51E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8175"/>
        <c:axId val="1714456175"/>
      </c:scatterChart>
      <c:valAx>
        <c:axId val="1714468175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number of training</a:t>
                </a:r>
                <a:r>
                  <a:rPr lang="en-HK" baseline="0"/>
                  <a:t> cycles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.36435833333333334"/>
              <c:y val="0.90776759259259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56175"/>
        <c:crosses val="autoZero"/>
        <c:crossBetween val="midCat"/>
      </c:valAx>
      <c:valAx>
        <c:axId val="17144561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Averge</a:t>
                </a:r>
                <a:r>
                  <a:rPr lang="en-HK" baseline="0"/>
                  <a:t> scores of 50 games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"/>
              <c:y val="0.10759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8175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1179267676767678"/>
          <c:y val="0.65185694444444442"/>
          <c:w val="0.54240530303030299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84217171717172"/>
          <c:y val="6.4675925925925928E-2"/>
          <c:w val="0.83425580808080813"/>
          <c:h val="0.73154537037037037"/>
        </c:manualLayout>
      </c:layout>
      <c:scatterChart>
        <c:scatterStyle val="lineMarker"/>
        <c:varyColors val="0"/>
        <c:ser>
          <c:idx val="2"/>
          <c:order val="0"/>
          <c:tx>
            <c:strRef>
              <c:f>Sheet1!$D$5</c:f>
              <c:strCache>
                <c:ptCount val="1"/>
                <c:pt idx="0">
                  <c:v>No Memory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Sheet1!$D$6:$D$55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11-4DA3-84AC-CB6A15510755}"/>
            </c:ext>
          </c:extLst>
        </c:ser>
        <c:ser>
          <c:idx val="1"/>
          <c:order val="1"/>
          <c:tx>
            <c:strRef>
              <c:f>Sheet1!$H$5</c:f>
              <c:strCache>
                <c:ptCount val="1"/>
                <c:pt idx="0">
                  <c:v>With memory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Sheet1!$A$6:$A$55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Sheet1!$H$6:$H$55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0.06</c:v>
                </c:pt>
                <c:pt idx="7">
                  <c:v>0.08</c:v>
                </c:pt>
                <c:pt idx="8">
                  <c:v>0.44</c:v>
                </c:pt>
                <c:pt idx="9">
                  <c:v>0.57999999999999996</c:v>
                </c:pt>
                <c:pt idx="10">
                  <c:v>0.82</c:v>
                </c:pt>
                <c:pt idx="11">
                  <c:v>0.86</c:v>
                </c:pt>
                <c:pt idx="12">
                  <c:v>0.92</c:v>
                </c:pt>
                <c:pt idx="13">
                  <c:v>1</c:v>
                </c:pt>
                <c:pt idx="14">
                  <c:v>0.98</c:v>
                </c:pt>
                <c:pt idx="15">
                  <c:v>1</c:v>
                </c:pt>
                <c:pt idx="16">
                  <c:v>0.98</c:v>
                </c:pt>
                <c:pt idx="17">
                  <c:v>0.96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1-4DA3-84AC-CB6A15510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8175"/>
        <c:axId val="1714456175"/>
      </c:scatterChart>
      <c:valAx>
        <c:axId val="1714468175"/>
        <c:scaling>
          <c:orientation val="minMax"/>
          <c:max val="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number of training</a:t>
                </a:r>
                <a:r>
                  <a:rPr lang="en-HK" baseline="0"/>
                  <a:t> cycles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.36435833333333334"/>
              <c:y val="0.9077675925925925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56175"/>
        <c:crosses val="autoZero"/>
        <c:crossBetween val="midCat"/>
      </c:valAx>
      <c:valAx>
        <c:axId val="17144561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Win Rate</a:t>
                </a:r>
                <a:r>
                  <a:rPr lang="en-HK" baseline="0"/>
                  <a:t> of 50 games</a:t>
                </a:r>
                <a:endParaRPr lang="en-HK"/>
              </a:p>
            </c:rich>
          </c:tx>
          <c:layout>
            <c:manualLayout>
              <c:xMode val="edge"/>
              <c:yMode val="edge"/>
              <c:x val="0"/>
              <c:y val="0.142875925925925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8175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41179267676767678"/>
          <c:y val="0.65185694444444442"/>
          <c:w val="0.54240530303030299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MazeTrainProgress!$B$2:$B$5001</c:f>
              <c:numCache>
                <c:formatCode>General</c:formatCode>
                <c:ptCount val="5000"/>
                <c:pt idx="0">
                  <c:v>-39.762</c:v>
                </c:pt>
                <c:pt idx="1">
                  <c:v>-30.424999999999983</c:v>
                </c:pt>
                <c:pt idx="2">
                  <c:v>-25.156999999999972</c:v>
                </c:pt>
                <c:pt idx="3">
                  <c:v>-19.486999999999977</c:v>
                </c:pt>
                <c:pt idx="4">
                  <c:v>-15.484999999999991</c:v>
                </c:pt>
                <c:pt idx="5">
                  <c:v>-8.8811999999999944</c:v>
                </c:pt>
                <c:pt idx="6">
                  <c:v>4.0684000000000005</c:v>
                </c:pt>
                <c:pt idx="7">
                  <c:v>11.934599999999998</c:v>
                </c:pt>
                <c:pt idx="8">
                  <c:v>16.7546</c:v>
                </c:pt>
                <c:pt idx="9">
                  <c:v>18.725999999999999</c:v>
                </c:pt>
                <c:pt idx="10">
                  <c:v>20.156599999999997</c:v>
                </c:pt>
                <c:pt idx="11">
                  <c:v>19.919599999999999</c:v>
                </c:pt>
                <c:pt idx="12">
                  <c:v>20.567200000000003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90-427D-A35D-DD38DB37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MazeTrainProgress!$D$1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MazeTrainProgress!$D$2:$D$5001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0.14000000000000001</c:v>
                </c:pt>
                <c:pt idx="6">
                  <c:v>0.7</c:v>
                </c:pt>
                <c:pt idx="7">
                  <c:v>0.94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90-427D-A35D-DD38DB37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MazeTrainProgress!$G$1</c:f>
              <c:strCache>
                <c:ptCount val="1"/>
                <c:pt idx="0">
                  <c:v>Value (Error)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MazeTrainProgress!$G$2:$G$5001</c:f>
              <c:numCache>
                <c:formatCode>General</c:formatCode>
                <c:ptCount val="5000"/>
                <c:pt idx="0">
                  <c:v>0.1642192729595002</c:v>
                </c:pt>
                <c:pt idx="1">
                  <c:v>0.1649347672416023</c:v>
                </c:pt>
                <c:pt idx="2">
                  <c:v>0.16689497196973113</c:v>
                </c:pt>
                <c:pt idx="3">
                  <c:v>0.16355587499829766</c:v>
                </c:pt>
                <c:pt idx="4">
                  <c:v>0.16922111552477753</c:v>
                </c:pt>
                <c:pt idx="5">
                  <c:v>0.16777719021729448</c:v>
                </c:pt>
                <c:pt idx="6">
                  <c:v>0.16402254902499494</c:v>
                </c:pt>
                <c:pt idx="7">
                  <c:v>0.16254490689143897</c:v>
                </c:pt>
                <c:pt idx="8">
                  <c:v>0.16450665022747549</c:v>
                </c:pt>
                <c:pt idx="9">
                  <c:v>0.15978637784708663</c:v>
                </c:pt>
                <c:pt idx="10">
                  <c:v>0.16042103190483856</c:v>
                </c:pt>
                <c:pt idx="11">
                  <c:v>0.15941635911482227</c:v>
                </c:pt>
                <c:pt idx="12">
                  <c:v>0.15629546938444852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5-4F85-AFAA-0059906E4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MazeIITrainProgress!$B$2:$B$5001</c:f>
              <c:numCache>
                <c:formatCode>General</c:formatCode>
                <c:ptCount val="5000"/>
                <c:pt idx="0">
                  <c:v>-71.258000000000052</c:v>
                </c:pt>
                <c:pt idx="1">
                  <c:v>-57.991999999999962</c:v>
                </c:pt>
                <c:pt idx="2">
                  <c:v>-45.920999999999943</c:v>
                </c:pt>
                <c:pt idx="3">
                  <c:v>-35.180999999999948</c:v>
                </c:pt>
                <c:pt idx="4">
                  <c:v>-23.431999999999952</c:v>
                </c:pt>
                <c:pt idx="5">
                  <c:v>-9.9979999999999869</c:v>
                </c:pt>
                <c:pt idx="6">
                  <c:v>-1.0161999999999802</c:v>
                </c:pt>
                <c:pt idx="7">
                  <c:v>4.5876000000000428</c:v>
                </c:pt>
                <c:pt idx="8">
                  <c:v>29.94800000000005</c:v>
                </c:pt>
                <c:pt idx="9">
                  <c:v>38.705200000000055</c:v>
                </c:pt>
                <c:pt idx="10">
                  <c:v>54.173800000000028</c:v>
                </c:pt>
                <c:pt idx="11">
                  <c:v>57.382000000000026</c:v>
                </c:pt>
                <c:pt idx="12">
                  <c:v>60.468600000000016</c:v>
                </c:pt>
                <c:pt idx="13">
                  <c:v>67.551000000000002</c:v>
                </c:pt>
                <c:pt idx="14">
                  <c:v>64.918000000000006</c:v>
                </c:pt>
                <c:pt idx="15">
                  <c:v>66.058199999999985</c:v>
                </c:pt>
                <c:pt idx="16">
                  <c:v>63.839999999999989</c:v>
                </c:pt>
                <c:pt idx="17">
                  <c:v>61.837399999999988</c:v>
                </c:pt>
                <c:pt idx="18">
                  <c:v>65.527600000000007</c:v>
                </c:pt>
                <c:pt idx="19">
                  <c:v>65.363599999999991</c:v>
                </c:pt>
                <c:pt idx="20">
                  <c:v>65.470399999999984</c:v>
                </c:pt>
                <c:pt idx="21">
                  <c:v>65.845199999999977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87-4AC9-80F7-549280EAC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MazeIITrainProgress!$D$1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MazeIITrainProgress!$D$2:$D$5001</c:f>
              <c:numCache>
                <c:formatCode>General</c:formatCode>
                <c:ptCount val="5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0.02</c:v>
                </c:pt>
                <c:pt idx="6">
                  <c:v>0.06</c:v>
                </c:pt>
                <c:pt idx="7">
                  <c:v>0.08</c:v>
                </c:pt>
                <c:pt idx="8">
                  <c:v>0.44</c:v>
                </c:pt>
                <c:pt idx="9">
                  <c:v>0.57999999999999996</c:v>
                </c:pt>
                <c:pt idx="10">
                  <c:v>0.82</c:v>
                </c:pt>
                <c:pt idx="11">
                  <c:v>0.86</c:v>
                </c:pt>
                <c:pt idx="12">
                  <c:v>0.92</c:v>
                </c:pt>
                <c:pt idx="13">
                  <c:v>1</c:v>
                </c:pt>
                <c:pt idx="14">
                  <c:v>0.98</c:v>
                </c:pt>
                <c:pt idx="15">
                  <c:v>1</c:v>
                </c:pt>
                <c:pt idx="16">
                  <c:v>0.98</c:v>
                </c:pt>
                <c:pt idx="17">
                  <c:v>0.96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87-4AC9-80F7-549280EAC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MazeIITrainProgress!$G$1</c:f>
              <c:strCache>
                <c:ptCount val="1"/>
                <c:pt idx="0">
                  <c:v>Value (Error)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MazeIITrainProgress!$F$2:$F$5001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MazeIITrainProgress!$G$2:$G$5001</c:f>
              <c:numCache>
                <c:formatCode>General</c:formatCode>
                <c:ptCount val="5000"/>
                <c:pt idx="0">
                  <c:v>1.8076285164275065</c:v>
                </c:pt>
                <c:pt idx="1">
                  <c:v>1.8032872480047606</c:v>
                </c:pt>
                <c:pt idx="2">
                  <c:v>1.7314562263136164</c:v>
                </c:pt>
                <c:pt idx="3">
                  <c:v>1.7046564498113039</c:v>
                </c:pt>
                <c:pt idx="4">
                  <c:v>1.6224562729656504</c:v>
                </c:pt>
                <c:pt idx="5">
                  <c:v>1.6634067137915416</c:v>
                </c:pt>
                <c:pt idx="6">
                  <c:v>1.5786757619212841</c:v>
                </c:pt>
                <c:pt idx="7">
                  <c:v>1.5528679716563114</c:v>
                </c:pt>
                <c:pt idx="8">
                  <c:v>1.5153901873357503</c:v>
                </c:pt>
                <c:pt idx="9">
                  <c:v>1.4608099230767126</c:v>
                </c:pt>
                <c:pt idx="10">
                  <c:v>1.3962009820430306</c:v>
                </c:pt>
                <c:pt idx="11">
                  <c:v>1.3102722744778239</c:v>
                </c:pt>
                <c:pt idx="12">
                  <c:v>1.2553937409016163</c:v>
                </c:pt>
                <c:pt idx="13">
                  <c:v>1.2598203862513997</c:v>
                </c:pt>
                <c:pt idx="14">
                  <c:v>1.2106417539141157</c:v>
                </c:pt>
                <c:pt idx="15">
                  <c:v>1.152820732274334</c:v>
                </c:pt>
                <c:pt idx="16">
                  <c:v>1.100625891601535</c:v>
                </c:pt>
                <c:pt idx="17">
                  <c:v>1.0809085395088587</c:v>
                </c:pt>
                <c:pt idx="18">
                  <c:v>1.2761264878610914</c:v>
                </c:pt>
                <c:pt idx="19">
                  <c:v>1.2836528828650562</c:v>
                </c:pt>
                <c:pt idx="20">
                  <c:v>1.2148217964722186</c:v>
                </c:pt>
                <c:pt idx="21">
                  <c:v>1.1894439323035004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E6-4BA7-8B49-30A76233E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StompTrainProgress!$B$1</c:f>
              <c:strCache>
                <c:ptCount val="1"/>
                <c:pt idx="0">
                  <c:v>Score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</c:numCache>
            </c:numRef>
          </c:xVal>
          <c:yVal>
            <c:numRef>
              <c:f>StompTrainProgress!$B$2:$B$5001</c:f>
              <c:numCache>
                <c:formatCode>General</c:formatCode>
                <c:ptCount val="5000"/>
                <c:pt idx="0">
                  <c:v>-28.150174296379092</c:v>
                </c:pt>
                <c:pt idx="1">
                  <c:v>-24.406170118570344</c:v>
                </c:pt>
                <c:pt idx="2">
                  <c:v>-21.445352877378468</c:v>
                </c:pt>
                <c:pt idx="3">
                  <c:v>-14.30245124042035</c:v>
                </c:pt>
                <c:pt idx="4">
                  <c:v>-11.698168813705445</c:v>
                </c:pt>
                <c:pt idx="5">
                  <c:v>-10.639500792503357</c:v>
                </c:pt>
                <c:pt idx="6">
                  <c:v>-6.2435189300775589</c:v>
                </c:pt>
                <c:pt idx="7">
                  <c:v>-5.8972371306419298</c:v>
                </c:pt>
                <c:pt idx="8">
                  <c:v>-4.3717705470323569</c:v>
                </c:pt>
                <c:pt idx="9">
                  <c:v>-5.6346131252050391</c:v>
                </c:pt>
                <c:pt idx="10">
                  <c:v>-6.8636987048387503</c:v>
                </c:pt>
                <c:pt idx="11">
                  <c:v>-7.0773496582508049</c:v>
                </c:pt>
                <c:pt idx="12">
                  <c:v>-6.2996338722705811</c:v>
                </c:pt>
                <c:pt idx="13">
                  <c:v>-6.3863029209375428</c:v>
                </c:pt>
                <c:pt idx="14">
                  <c:v>-5.4168999438285743</c:v>
                </c:pt>
                <c:pt idx="15">
                  <c:v>-7.0181673291921634</c:v>
                </c:pt>
                <c:pt idx="16">
                  <c:v>-7.5701835293769868</c:v>
                </c:pt>
                <c:pt idx="17">
                  <c:v>-7.1296413855552672</c:v>
                </c:pt>
                <c:pt idx="18">
                  <c:v>-7.7043755719661746</c:v>
                </c:pt>
                <c:pt idx="19">
                  <c:v>-8.19691684269905</c:v>
                </c:pt>
                <c:pt idx="20">
                  <c:v>-7.3059137203693414</c:v>
                </c:pt>
                <c:pt idx="21">
                  <c:v>-8.4480647680759446</c:v>
                </c:pt>
                <c:pt idx="22">
                  <c:v>-7.7410595899820365</c:v>
                </c:pt>
                <c:pt idx="23">
                  <c:v>-8.4117763223648083</c:v>
                </c:pt>
                <c:pt idx="24">
                  <c:v>-8.5325178326368345</c:v>
                </c:pt>
                <c:pt idx="25">
                  <c:v>-7.8647960129976253</c:v>
                </c:pt>
                <c:pt idx="26">
                  <c:v>-8.1263297199010847</c:v>
                </c:pt>
                <c:pt idx="27">
                  <c:v>-6.2779277497530011</c:v>
                </c:pt>
                <c:pt idx="28">
                  <c:v>-7.2632529110908486</c:v>
                </c:pt>
                <c:pt idx="29">
                  <c:v>-6.4878300784826264</c:v>
                </c:pt>
                <c:pt idx="30">
                  <c:v>-7.0302702319622146</c:v>
                </c:pt>
                <c:pt idx="31">
                  <c:v>-7.9113638243675233</c:v>
                </c:pt>
                <c:pt idx="32">
                  <c:v>-8.232914300322534</c:v>
                </c:pt>
                <c:pt idx="33">
                  <c:v>-8.175858159422873</c:v>
                </c:pt>
                <c:pt idx="34">
                  <c:v>-9.1464405338764188</c:v>
                </c:pt>
                <c:pt idx="35">
                  <c:v>-6.5753470337390887</c:v>
                </c:pt>
                <c:pt idx="36">
                  <c:v>-8.7865559476614035</c:v>
                </c:pt>
                <c:pt idx="37">
                  <c:v>-7.6747264053821667</c:v>
                </c:pt>
                <c:pt idx="38">
                  <c:v>-5.1123987705707528</c:v>
                </c:pt>
                <c:pt idx="39">
                  <c:v>-7.9075799950361292</c:v>
                </c:pt>
                <c:pt idx="40">
                  <c:v>-5.2951562763452555</c:v>
                </c:pt>
                <c:pt idx="41">
                  <c:v>-6.9210989224910744</c:v>
                </c:pt>
                <c:pt idx="42">
                  <c:v>-6.947567244052899</c:v>
                </c:pt>
                <c:pt idx="43">
                  <c:v>-5.581122915148736</c:v>
                </c:pt>
                <c:pt idx="44">
                  <c:v>-5.3639056435823447</c:v>
                </c:pt>
                <c:pt idx="45">
                  <c:v>-8.0576528285741844</c:v>
                </c:pt>
                <c:pt idx="46">
                  <c:v>-5.7100666055679348</c:v>
                </c:pt>
                <c:pt idx="47">
                  <c:v>-6.6155203665494966</c:v>
                </c:pt>
                <c:pt idx="48">
                  <c:v>-5.6245567148923943</c:v>
                </c:pt>
                <c:pt idx="49">
                  <c:v>-6.1703789321184175</c:v>
                </c:pt>
                <c:pt idx="50">
                  <c:v>-5.6355282485485017</c:v>
                </c:pt>
                <c:pt idx="51">
                  <c:v>-5.155676820874211</c:v>
                </c:pt>
                <c:pt idx="52">
                  <c:v>-6.2039231261014871</c:v>
                </c:pt>
                <c:pt idx="53">
                  <c:v>-4.4398757650852234</c:v>
                </c:pt>
                <c:pt idx="54">
                  <c:v>-4.8138148097991911</c:v>
                </c:pt>
                <c:pt idx="55">
                  <c:v>-2.3731584115028306</c:v>
                </c:pt>
                <c:pt idx="56">
                  <c:v>-2.1513293449878668</c:v>
                </c:pt>
                <c:pt idx="57">
                  <c:v>-3.0342768470048793</c:v>
                </c:pt>
                <c:pt idx="58">
                  <c:v>-3.9813573868274794</c:v>
                </c:pt>
                <c:pt idx="59">
                  <c:v>-1.6956693792343105</c:v>
                </c:pt>
                <c:pt idx="60">
                  <c:v>-2.0370226864814729</c:v>
                </c:pt>
                <c:pt idx="61">
                  <c:v>-2.8702817240953475</c:v>
                </c:pt>
                <c:pt idx="62">
                  <c:v>0.39557017862796684</c:v>
                </c:pt>
                <c:pt idx="63">
                  <c:v>-1.8439279434680969</c:v>
                </c:pt>
                <c:pt idx="64">
                  <c:v>0.16030333411694012</c:v>
                </c:pt>
                <c:pt idx="65">
                  <c:v>-3.3111734669208506</c:v>
                </c:pt>
                <c:pt idx="66">
                  <c:v>-0.48489091002942414</c:v>
                </c:pt>
                <c:pt idx="67">
                  <c:v>-1.2422715457677851</c:v>
                </c:pt>
                <c:pt idx="68">
                  <c:v>0.78949371421337944</c:v>
                </c:pt>
                <c:pt idx="69">
                  <c:v>-0.86417751002312782</c:v>
                </c:pt>
                <c:pt idx="70">
                  <c:v>9.0464037775996611E-2</c:v>
                </c:pt>
                <c:pt idx="71">
                  <c:v>2.2815598245859205</c:v>
                </c:pt>
                <c:pt idx="72">
                  <c:v>0.89249649512768603</c:v>
                </c:pt>
                <c:pt idx="73">
                  <c:v>0.55763345885277393</c:v>
                </c:pt>
                <c:pt idx="74">
                  <c:v>-0.56552616083621654</c:v>
                </c:pt>
                <c:pt idx="75">
                  <c:v>-1.3624474960565609</c:v>
                </c:pt>
                <c:pt idx="76">
                  <c:v>1.4365997714996142</c:v>
                </c:pt>
                <c:pt idx="77">
                  <c:v>0.80215666973590938</c:v>
                </c:pt>
                <c:pt idx="78">
                  <c:v>0.1371258206367543</c:v>
                </c:pt>
                <c:pt idx="79">
                  <c:v>2.5460901095867206</c:v>
                </c:pt>
                <c:pt idx="80">
                  <c:v>2.2219892159700403</c:v>
                </c:pt>
                <c:pt idx="81">
                  <c:v>2.3673331120014134</c:v>
                </c:pt>
                <c:pt idx="82">
                  <c:v>2.9861768342256578</c:v>
                </c:pt>
                <c:pt idx="83">
                  <c:v>0.97795546948910128</c:v>
                </c:pt>
                <c:pt idx="84">
                  <c:v>1.4930485129356363</c:v>
                </c:pt>
                <c:pt idx="85">
                  <c:v>3.3656622703075425</c:v>
                </c:pt>
                <c:pt idx="86">
                  <c:v>3.1573844723701465</c:v>
                </c:pt>
                <c:pt idx="87">
                  <c:v>3.2040901094675052</c:v>
                </c:pt>
                <c:pt idx="88">
                  <c:v>3.1047858864069093</c:v>
                </c:pt>
                <c:pt idx="89">
                  <c:v>4.5098116874694805</c:v>
                </c:pt>
                <c:pt idx="90">
                  <c:v>2.9098587023019769</c:v>
                </c:pt>
                <c:pt idx="91">
                  <c:v>4.3415258949994913</c:v>
                </c:pt>
                <c:pt idx="92">
                  <c:v>3.221728698611257</c:v>
                </c:pt>
                <c:pt idx="93">
                  <c:v>4.0653055576086237</c:v>
                </c:pt>
                <c:pt idx="94">
                  <c:v>3.1328183947801636</c:v>
                </c:pt>
                <c:pt idx="95">
                  <c:v>4.4250968495607275</c:v>
                </c:pt>
                <c:pt idx="96">
                  <c:v>4.4557783430814819</c:v>
                </c:pt>
                <c:pt idx="97">
                  <c:v>3.6248031394481672</c:v>
                </c:pt>
                <c:pt idx="98">
                  <c:v>4.4805485982894782</c:v>
                </c:pt>
                <c:pt idx="99">
                  <c:v>3.716137512803066</c:v>
                </c:pt>
                <c:pt idx="100">
                  <c:v>3.6387366638183614</c:v>
                </c:pt>
                <c:pt idx="101">
                  <c:v>2.0954478194713544</c:v>
                </c:pt>
                <c:pt idx="102">
                  <c:v>4.4053174310922705</c:v>
                </c:pt>
                <c:pt idx="103">
                  <c:v>3.8286909850835786</c:v>
                </c:pt>
                <c:pt idx="104">
                  <c:v>4.823693702220921</c:v>
                </c:pt>
                <c:pt idx="105">
                  <c:v>3.7154294291734864</c:v>
                </c:pt>
                <c:pt idx="106">
                  <c:v>3.732146315693853</c:v>
                </c:pt>
                <c:pt idx="107">
                  <c:v>4.150951037049281</c:v>
                </c:pt>
                <c:pt idx="108">
                  <c:v>4.1887515786886427</c:v>
                </c:pt>
                <c:pt idx="109">
                  <c:v>4.0288197968006187</c:v>
                </c:pt>
                <c:pt idx="110">
                  <c:v>4.5737262437343356</c:v>
                </c:pt>
                <c:pt idx="111">
                  <c:v>3.9658625226020776</c:v>
                </c:pt>
                <c:pt idx="112">
                  <c:v>4.5752890038490301</c:v>
                </c:pt>
                <c:pt idx="113">
                  <c:v>4.0331039822101671</c:v>
                </c:pt>
                <c:pt idx="114">
                  <c:v>5.176521173834808</c:v>
                </c:pt>
                <c:pt idx="115">
                  <c:v>5.5710882264375581</c:v>
                </c:pt>
                <c:pt idx="116">
                  <c:v>3.7221824636459373</c:v>
                </c:pt>
                <c:pt idx="117">
                  <c:v>4.1250687946081301</c:v>
                </c:pt>
                <c:pt idx="118">
                  <c:v>5.7573014144897448</c:v>
                </c:pt>
                <c:pt idx="119">
                  <c:v>5.1167025004625302</c:v>
                </c:pt>
                <c:pt idx="120">
                  <c:v>4.6337473948001922</c:v>
                </c:pt>
                <c:pt idx="121">
                  <c:v>4.1642280344963183</c:v>
                </c:pt>
                <c:pt idx="122">
                  <c:v>4.5954856474399568</c:v>
                </c:pt>
                <c:pt idx="123">
                  <c:v>4.9706315021514964</c:v>
                </c:pt>
                <c:pt idx="124">
                  <c:v>4.6325855040550259</c:v>
                </c:pt>
                <c:pt idx="125">
                  <c:v>4.3154147725105476</c:v>
                </c:pt>
                <c:pt idx="126">
                  <c:v>4.4855844970941696</c:v>
                </c:pt>
                <c:pt idx="127">
                  <c:v>3.8714463881254169</c:v>
                </c:pt>
                <c:pt idx="128">
                  <c:v>5.4908922693729405</c:v>
                </c:pt>
                <c:pt idx="129">
                  <c:v>5.5490994056463148</c:v>
                </c:pt>
                <c:pt idx="130">
                  <c:v>4.0108017524480859</c:v>
                </c:pt>
                <c:pt idx="131">
                  <c:v>4.9501352875232678</c:v>
                </c:pt>
                <c:pt idx="132">
                  <c:v>4.8593337421417271</c:v>
                </c:pt>
                <c:pt idx="133">
                  <c:v>4.6752051405906858</c:v>
                </c:pt>
                <c:pt idx="134">
                  <c:v>5.3459240270853137</c:v>
                </c:pt>
                <c:pt idx="135">
                  <c:v>5.4830455811023766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6F-4703-BFBC-49609F79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tx>
            <c:strRef>
              <c:f>StompTrainProgress!$D$1</c:f>
              <c:strCache>
                <c:ptCount val="1"/>
                <c:pt idx="0">
                  <c:v>WinRate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StompTrainProgress!$A$2:$A$5001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</c:numCache>
            </c:numRef>
          </c:xVal>
          <c:yVal>
            <c:numRef>
              <c:f>StompTrainProgress!$D$2:$D$5001</c:f>
              <c:numCache>
                <c:formatCode>General</c:formatCode>
                <c:ptCount val="5000"/>
                <c:pt idx="0">
                  <c:v>0.28000000000000003</c:v>
                </c:pt>
                <c:pt idx="1">
                  <c:v>0.36</c:v>
                </c:pt>
                <c:pt idx="2">
                  <c:v>0.24</c:v>
                </c:pt>
                <c:pt idx="3">
                  <c:v>0.5</c:v>
                </c:pt>
                <c:pt idx="4">
                  <c:v>0.38</c:v>
                </c:pt>
                <c:pt idx="5">
                  <c:v>0.28000000000000003</c:v>
                </c:pt>
                <c:pt idx="6">
                  <c:v>0.44</c:v>
                </c:pt>
                <c:pt idx="7">
                  <c:v>0.42</c:v>
                </c:pt>
                <c:pt idx="8">
                  <c:v>0.46</c:v>
                </c:pt>
                <c:pt idx="9">
                  <c:v>0.34</c:v>
                </c:pt>
                <c:pt idx="10">
                  <c:v>0.26</c:v>
                </c:pt>
                <c:pt idx="11">
                  <c:v>0.24</c:v>
                </c:pt>
                <c:pt idx="12">
                  <c:v>0.26</c:v>
                </c:pt>
                <c:pt idx="13">
                  <c:v>0.26</c:v>
                </c:pt>
                <c:pt idx="14">
                  <c:v>0.3</c:v>
                </c:pt>
                <c:pt idx="15">
                  <c:v>0.22</c:v>
                </c:pt>
                <c:pt idx="16">
                  <c:v>0.16</c:v>
                </c:pt>
                <c:pt idx="17">
                  <c:v>0.2</c:v>
                </c:pt>
                <c:pt idx="18">
                  <c:v>0.16</c:v>
                </c:pt>
                <c:pt idx="19">
                  <c:v>0.12</c:v>
                </c:pt>
                <c:pt idx="20">
                  <c:v>0.16</c:v>
                </c:pt>
                <c:pt idx="21">
                  <c:v>0.1</c:v>
                </c:pt>
                <c:pt idx="22">
                  <c:v>0.16</c:v>
                </c:pt>
                <c:pt idx="23">
                  <c:v>0.1</c:v>
                </c:pt>
                <c:pt idx="24">
                  <c:v>0.1</c:v>
                </c:pt>
                <c:pt idx="25">
                  <c:v>0.14000000000000001</c:v>
                </c:pt>
                <c:pt idx="26">
                  <c:v>0.14000000000000001</c:v>
                </c:pt>
                <c:pt idx="27">
                  <c:v>0.24</c:v>
                </c:pt>
                <c:pt idx="28">
                  <c:v>0.18</c:v>
                </c:pt>
                <c:pt idx="29">
                  <c:v>0.24</c:v>
                </c:pt>
                <c:pt idx="30">
                  <c:v>0.2</c:v>
                </c:pt>
                <c:pt idx="31">
                  <c:v>0.16</c:v>
                </c:pt>
                <c:pt idx="32">
                  <c:v>0.12</c:v>
                </c:pt>
                <c:pt idx="33">
                  <c:v>0.12</c:v>
                </c:pt>
                <c:pt idx="34">
                  <c:v>0.06</c:v>
                </c:pt>
                <c:pt idx="35">
                  <c:v>0.26</c:v>
                </c:pt>
                <c:pt idx="36">
                  <c:v>0.08</c:v>
                </c:pt>
                <c:pt idx="37">
                  <c:v>0.16</c:v>
                </c:pt>
                <c:pt idx="38">
                  <c:v>0.3</c:v>
                </c:pt>
                <c:pt idx="39">
                  <c:v>0.16</c:v>
                </c:pt>
                <c:pt idx="40">
                  <c:v>0.28000000000000003</c:v>
                </c:pt>
                <c:pt idx="41">
                  <c:v>0.2</c:v>
                </c:pt>
                <c:pt idx="42">
                  <c:v>0.22</c:v>
                </c:pt>
                <c:pt idx="43">
                  <c:v>0.3</c:v>
                </c:pt>
                <c:pt idx="44">
                  <c:v>0.32</c:v>
                </c:pt>
                <c:pt idx="45">
                  <c:v>0.14000000000000001</c:v>
                </c:pt>
                <c:pt idx="46">
                  <c:v>0.3</c:v>
                </c:pt>
                <c:pt idx="47">
                  <c:v>0.24</c:v>
                </c:pt>
                <c:pt idx="48">
                  <c:v>0.28000000000000003</c:v>
                </c:pt>
                <c:pt idx="49">
                  <c:v>0.26</c:v>
                </c:pt>
                <c:pt idx="50">
                  <c:v>0.28000000000000003</c:v>
                </c:pt>
                <c:pt idx="51">
                  <c:v>0.32</c:v>
                </c:pt>
                <c:pt idx="52">
                  <c:v>0.28000000000000003</c:v>
                </c:pt>
                <c:pt idx="53">
                  <c:v>0.36</c:v>
                </c:pt>
                <c:pt idx="54">
                  <c:v>0.36</c:v>
                </c:pt>
                <c:pt idx="55">
                  <c:v>0.5</c:v>
                </c:pt>
                <c:pt idx="56">
                  <c:v>0.52</c:v>
                </c:pt>
                <c:pt idx="57">
                  <c:v>0.46</c:v>
                </c:pt>
                <c:pt idx="58">
                  <c:v>0.4</c:v>
                </c:pt>
                <c:pt idx="59">
                  <c:v>0.54</c:v>
                </c:pt>
                <c:pt idx="60">
                  <c:v>0.54</c:v>
                </c:pt>
                <c:pt idx="61">
                  <c:v>0.48</c:v>
                </c:pt>
                <c:pt idx="62">
                  <c:v>0.68</c:v>
                </c:pt>
                <c:pt idx="63">
                  <c:v>0.52</c:v>
                </c:pt>
                <c:pt idx="64">
                  <c:v>0.66</c:v>
                </c:pt>
                <c:pt idx="65">
                  <c:v>0.46</c:v>
                </c:pt>
                <c:pt idx="66">
                  <c:v>0.6</c:v>
                </c:pt>
                <c:pt idx="67">
                  <c:v>0.6</c:v>
                </c:pt>
                <c:pt idx="68">
                  <c:v>0.72</c:v>
                </c:pt>
                <c:pt idx="69">
                  <c:v>0.6</c:v>
                </c:pt>
                <c:pt idx="70">
                  <c:v>0.66</c:v>
                </c:pt>
                <c:pt idx="71">
                  <c:v>0.8</c:v>
                </c:pt>
                <c:pt idx="72">
                  <c:v>0.72</c:v>
                </c:pt>
                <c:pt idx="73">
                  <c:v>0.7</c:v>
                </c:pt>
                <c:pt idx="74">
                  <c:v>0.6</c:v>
                </c:pt>
                <c:pt idx="75">
                  <c:v>0.6</c:v>
                </c:pt>
                <c:pt idx="76">
                  <c:v>0.72</c:v>
                </c:pt>
                <c:pt idx="77">
                  <c:v>0.7</c:v>
                </c:pt>
                <c:pt idx="78">
                  <c:v>0.7</c:v>
                </c:pt>
                <c:pt idx="79">
                  <c:v>0.78</c:v>
                </c:pt>
                <c:pt idx="80">
                  <c:v>0.76</c:v>
                </c:pt>
                <c:pt idx="81">
                  <c:v>0.78</c:v>
                </c:pt>
                <c:pt idx="82">
                  <c:v>0.82</c:v>
                </c:pt>
                <c:pt idx="83">
                  <c:v>0.72</c:v>
                </c:pt>
                <c:pt idx="84">
                  <c:v>0.76</c:v>
                </c:pt>
                <c:pt idx="85">
                  <c:v>0.86</c:v>
                </c:pt>
                <c:pt idx="86">
                  <c:v>0.86</c:v>
                </c:pt>
                <c:pt idx="87">
                  <c:v>0.84</c:v>
                </c:pt>
                <c:pt idx="88">
                  <c:v>0.88</c:v>
                </c:pt>
                <c:pt idx="89">
                  <c:v>0.94</c:v>
                </c:pt>
                <c:pt idx="90">
                  <c:v>0.82</c:v>
                </c:pt>
                <c:pt idx="91">
                  <c:v>0.9</c:v>
                </c:pt>
                <c:pt idx="92">
                  <c:v>0.86</c:v>
                </c:pt>
                <c:pt idx="93">
                  <c:v>0.88</c:v>
                </c:pt>
                <c:pt idx="94">
                  <c:v>0.86</c:v>
                </c:pt>
                <c:pt idx="95">
                  <c:v>0.9</c:v>
                </c:pt>
                <c:pt idx="96">
                  <c:v>0.94</c:v>
                </c:pt>
                <c:pt idx="97">
                  <c:v>0.88</c:v>
                </c:pt>
                <c:pt idx="98">
                  <c:v>0.92</c:v>
                </c:pt>
                <c:pt idx="99">
                  <c:v>0.92</c:v>
                </c:pt>
                <c:pt idx="100">
                  <c:v>0.9</c:v>
                </c:pt>
                <c:pt idx="101">
                  <c:v>0.82</c:v>
                </c:pt>
                <c:pt idx="102">
                  <c:v>0.9</c:v>
                </c:pt>
                <c:pt idx="103">
                  <c:v>0.88</c:v>
                </c:pt>
                <c:pt idx="104">
                  <c:v>0.92</c:v>
                </c:pt>
                <c:pt idx="105">
                  <c:v>0.9</c:v>
                </c:pt>
                <c:pt idx="106">
                  <c:v>0.9</c:v>
                </c:pt>
                <c:pt idx="107">
                  <c:v>0.9</c:v>
                </c:pt>
                <c:pt idx="108">
                  <c:v>0.94</c:v>
                </c:pt>
                <c:pt idx="109">
                  <c:v>0.9</c:v>
                </c:pt>
                <c:pt idx="110">
                  <c:v>0.96</c:v>
                </c:pt>
                <c:pt idx="111">
                  <c:v>0.88</c:v>
                </c:pt>
                <c:pt idx="112">
                  <c:v>0.94</c:v>
                </c:pt>
                <c:pt idx="113">
                  <c:v>0.88</c:v>
                </c:pt>
                <c:pt idx="114">
                  <c:v>0.94</c:v>
                </c:pt>
                <c:pt idx="115">
                  <c:v>0.98</c:v>
                </c:pt>
                <c:pt idx="116">
                  <c:v>0.9</c:v>
                </c:pt>
                <c:pt idx="117">
                  <c:v>0.9</c:v>
                </c:pt>
                <c:pt idx="118">
                  <c:v>0.98</c:v>
                </c:pt>
                <c:pt idx="119">
                  <c:v>0.98</c:v>
                </c:pt>
                <c:pt idx="120">
                  <c:v>0.94</c:v>
                </c:pt>
                <c:pt idx="121">
                  <c:v>0.94</c:v>
                </c:pt>
                <c:pt idx="122">
                  <c:v>0.94</c:v>
                </c:pt>
                <c:pt idx="123">
                  <c:v>1</c:v>
                </c:pt>
                <c:pt idx="124">
                  <c:v>0.96</c:v>
                </c:pt>
                <c:pt idx="125">
                  <c:v>0.94</c:v>
                </c:pt>
                <c:pt idx="126">
                  <c:v>0.94</c:v>
                </c:pt>
                <c:pt idx="127">
                  <c:v>0.92</c:v>
                </c:pt>
                <c:pt idx="128">
                  <c:v>1</c:v>
                </c:pt>
                <c:pt idx="129">
                  <c:v>0.98</c:v>
                </c:pt>
                <c:pt idx="130">
                  <c:v>0.94</c:v>
                </c:pt>
                <c:pt idx="131">
                  <c:v>0.98</c:v>
                </c:pt>
                <c:pt idx="132">
                  <c:v>0.96</c:v>
                </c:pt>
                <c:pt idx="133">
                  <c:v>0.96</c:v>
                </c:pt>
                <c:pt idx="134">
                  <c:v>1</c:v>
                </c:pt>
                <c:pt idx="13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6F-4703-BFBC-49609F794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4527"/>
        <c:axId val="1583762207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1583762207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583754527"/>
        <c:crosses val="max"/>
        <c:crossBetween val="midCat"/>
      </c:valAx>
      <c:valAx>
        <c:axId val="158375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7622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73857297979797976"/>
          <c:h val="5.39527777777777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39719311945508E-2"/>
          <c:y val="8.5231481481481478E-2"/>
          <c:w val="0.88379449469642746"/>
          <c:h val="0.74134259259259272"/>
        </c:manualLayout>
      </c:layout>
      <c:scatterChart>
        <c:scatterStyle val="lineMarker"/>
        <c:varyColors val="0"/>
        <c:ser>
          <c:idx val="0"/>
          <c:order val="0"/>
          <c:tx>
            <c:strRef>
              <c:f>StompTrainProgress!$G$1</c:f>
              <c:strCache>
                <c:ptCount val="1"/>
                <c:pt idx="0">
                  <c:v>Value 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StompTrainProgress!$G$2:$G$5001</c:f>
              <c:numCache>
                <c:formatCode>General</c:formatCode>
                <c:ptCount val="5000"/>
                <c:pt idx="0">
                  <c:v>0.83365434898246549</c:v>
                </c:pt>
                <c:pt idx="1">
                  <c:v>0.78266811410658488</c:v>
                </c:pt>
                <c:pt idx="2">
                  <c:v>0.7337576664247436</c:v>
                </c:pt>
                <c:pt idx="3">
                  <c:v>0.68446379277821057</c:v>
                </c:pt>
                <c:pt idx="4">
                  <c:v>0.65760728940622404</c:v>
                </c:pt>
                <c:pt idx="5">
                  <c:v>0.63181705095780616</c:v>
                </c:pt>
                <c:pt idx="6">
                  <c:v>0.59957884062536437</c:v>
                </c:pt>
                <c:pt idx="7">
                  <c:v>0.5748318267890199</c:v>
                </c:pt>
                <c:pt idx="8">
                  <c:v>0.54104917260634378</c:v>
                </c:pt>
                <c:pt idx="9">
                  <c:v>0.51016470882467813</c:v>
                </c:pt>
                <c:pt idx="10">
                  <c:v>0.48260326033207956</c:v>
                </c:pt>
                <c:pt idx="11">
                  <c:v>0.45368277447359379</c:v>
                </c:pt>
                <c:pt idx="12">
                  <c:v>0.43409058290734098</c:v>
                </c:pt>
                <c:pt idx="13">
                  <c:v>0.43195291844127665</c:v>
                </c:pt>
                <c:pt idx="14">
                  <c:v>0.41308289145344007</c:v>
                </c:pt>
                <c:pt idx="15">
                  <c:v>0.38609063526856696</c:v>
                </c:pt>
                <c:pt idx="16">
                  <c:v>0.37700967523809337</c:v>
                </c:pt>
                <c:pt idx="17">
                  <c:v>0.36710119756142218</c:v>
                </c:pt>
                <c:pt idx="18">
                  <c:v>0.34202591064138688</c:v>
                </c:pt>
                <c:pt idx="19">
                  <c:v>0.34245146755804984</c:v>
                </c:pt>
                <c:pt idx="20">
                  <c:v>0.33875687854302694</c:v>
                </c:pt>
                <c:pt idx="21">
                  <c:v>0.36166502155256025</c:v>
                </c:pt>
                <c:pt idx="22">
                  <c:v>0.3665179806132145</c:v>
                </c:pt>
                <c:pt idx="23">
                  <c:v>0.34004447760542483</c:v>
                </c:pt>
                <c:pt idx="24">
                  <c:v>0.35733644124371972</c:v>
                </c:pt>
                <c:pt idx="25">
                  <c:v>0.36345207978871302</c:v>
                </c:pt>
                <c:pt idx="26">
                  <c:v>0.35406120093161209</c:v>
                </c:pt>
                <c:pt idx="27">
                  <c:v>0.32763036793006095</c:v>
                </c:pt>
                <c:pt idx="28">
                  <c:v>0.3164367657745818</c:v>
                </c:pt>
                <c:pt idx="29">
                  <c:v>0.30043076139815872</c:v>
                </c:pt>
                <c:pt idx="30">
                  <c:v>0.28813679657672947</c:v>
                </c:pt>
                <c:pt idx="31">
                  <c:v>0.29648383245561272</c:v>
                </c:pt>
                <c:pt idx="32">
                  <c:v>0.28204597236244466</c:v>
                </c:pt>
                <c:pt idx="33">
                  <c:v>0.29344990303624074</c:v>
                </c:pt>
                <c:pt idx="34">
                  <c:v>0.29404920672455387</c:v>
                </c:pt>
                <c:pt idx="35">
                  <c:v>0.27803399499228004</c:v>
                </c:pt>
                <c:pt idx="36">
                  <c:v>0.26896421107338619</c:v>
                </c:pt>
                <c:pt idx="37">
                  <c:v>0.2485239457394163</c:v>
                </c:pt>
                <c:pt idx="38">
                  <c:v>0.2445475501709225</c:v>
                </c:pt>
                <c:pt idx="39">
                  <c:v>0.24100727010020792</c:v>
                </c:pt>
                <c:pt idx="40">
                  <c:v>0.23556783966617792</c:v>
                </c:pt>
                <c:pt idx="41">
                  <c:v>0.23965301832669078</c:v>
                </c:pt>
                <c:pt idx="42">
                  <c:v>0.25242603666242147</c:v>
                </c:pt>
                <c:pt idx="43">
                  <c:v>0.24517725105572663</c:v>
                </c:pt>
                <c:pt idx="44">
                  <c:v>0.26348650923866296</c:v>
                </c:pt>
                <c:pt idx="45">
                  <c:v>0.27367246968698866</c:v>
                </c:pt>
                <c:pt idx="46">
                  <c:v>0.26384155938311038</c:v>
                </c:pt>
                <c:pt idx="47">
                  <c:v>0.27251759161428918</c:v>
                </c:pt>
                <c:pt idx="48">
                  <c:v>0.25161342883238769</c:v>
                </c:pt>
                <c:pt idx="49">
                  <c:v>0.23861422204539157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C-43C5-94C6-3779D7DA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481551"/>
        <c:axId val="1297482031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StompTrainProgress!$F$2:$F$5001</c:f>
              <c:numCache>
                <c:formatCode>General</c:formatCode>
                <c:ptCount val="5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StompTrainProgress!$H$2:$H$5001</c:f>
              <c:numCache>
                <c:formatCode>0.00%</c:formatCode>
                <c:ptCount val="5000"/>
                <c:pt idx="1">
                  <c:v>-6.1159921900620973E-2</c:v>
                </c:pt>
                <c:pt idx="2">
                  <c:v>-6.2491938537284755E-2</c:v>
                </c:pt>
                <c:pt idx="3">
                  <c:v>-6.7180045813652514E-2</c:v>
                </c:pt>
                <c:pt idx="4">
                  <c:v>-3.9237288597804537E-2</c:v>
                </c:pt>
                <c:pt idx="5">
                  <c:v>-3.921829770424954E-2</c:v>
                </c:pt>
                <c:pt idx="6">
                  <c:v>-5.1024596888561508E-2</c:v>
                </c:pt>
                <c:pt idx="7">
                  <c:v>-4.1273994610172018E-2</c:v>
                </c:pt>
                <c:pt idx="8">
                  <c:v>-5.8769630713358785E-2</c:v>
                </c:pt>
                <c:pt idx="9">
                  <c:v>-5.7082545072361747E-2</c:v>
                </c:pt>
                <c:pt idx="10">
                  <c:v>-5.4024608162518466E-2</c:v>
                </c:pt>
                <c:pt idx="11">
                  <c:v>-5.9926005967273356E-2</c:v>
                </c:pt>
                <c:pt idx="12">
                  <c:v>-4.318478167698904E-2</c:v>
                </c:pt>
                <c:pt idx="13">
                  <c:v>-4.9244663446675911E-3</c:v>
                </c:pt>
                <c:pt idx="14">
                  <c:v>-4.3685379082354613E-2</c:v>
                </c:pt>
                <c:pt idx="15">
                  <c:v>-6.5343437705445359E-2</c:v>
                </c:pt>
                <c:pt idx="16">
                  <c:v>-2.3520280475481683E-2</c:v>
                </c:pt>
                <c:pt idx="17">
                  <c:v>-2.6281759666814061E-2</c:v>
                </c:pt>
                <c:pt idx="18">
                  <c:v>-6.8306197546086148E-2</c:v>
                </c:pt>
                <c:pt idx="19">
                  <c:v>1.2442242047245259E-3</c:v>
                </c:pt>
                <c:pt idx="20">
                  <c:v>-1.0788649969492739E-2</c:v>
                </c:pt>
                <c:pt idx="21">
                  <c:v>6.7624141266326057E-2</c:v>
                </c:pt>
                <c:pt idx="22">
                  <c:v>1.3418381019600415E-2</c:v>
                </c:pt>
                <c:pt idx="23">
                  <c:v>-7.2229752448972173E-2</c:v>
                </c:pt>
                <c:pt idx="24">
                  <c:v>5.08520642948357E-2</c:v>
                </c:pt>
                <c:pt idx="25">
                  <c:v>1.7114511253617605E-2</c:v>
                </c:pt>
                <c:pt idx="26">
                  <c:v>-2.5838011059285099E-2</c:v>
                </c:pt>
                <c:pt idx="27">
                  <c:v>-7.4650464190953031E-2</c:v>
                </c:pt>
                <c:pt idx="28">
                  <c:v>-3.4165337682826293E-2</c:v>
                </c:pt>
                <c:pt idx="29">
                  <c:v>-5.0581999652420863E-2</c:v>
                </c:pt>
                <c:pt idx="30">
                  <c:v>-4.0921125267649093E-2</c:v>
                </c:pt>
                <c:pt idx="31">
                  <c:v>2.8969003536000897E-2</c:v>
                </c:pt>
                <c:pt idx="32">
                  <c:v>-4.8696955829217362E-2</c:v>
                </c:pt>
                <c:pt idx="33">
                  <c:v>4.0432879002935733E-2</c:v>
                </c:pt>
                <c:pt idx="34">
                  <c:v>2.0422691645568913E-3</c:v>
                </c:pt>
                <c:pt idx="35">
                  <c:v>-5.4464393598163428E-2</c:v>
                </c:pt>
                <c:pt idx="36">
                  <c:v>-3.2621132963059719E-2</c:v>
                </c:pt>
                <c:pt idx="37">
                  <c:v>-7.5996227350830767E-2</c:v>
                </c:pt>
                <c:pt idx="38">
                  <c:v>-1.6000050042112052E-2</c:v>
                </c:pt>
                <c:pt idx="39">
                  <c:v>-1.4476857642778099E-2</c:v>
                </c:pt>
                <c:pt idx="40">
                  <c:v>-2.2569569921141182E-2</c:v>
                </c:pt>
                <c:pt idx="41">
                  <c:v>1.7341835228025817E-2</c:v>
                </c:pt>
                <c:pt idx="42">
                  <c:v>5.3297965637631721E-2</c:v>
                </c:pt>
                <c:pt idx="43">
                  <c:v>-2.8716473556128861E-2</c:v>
                </c:pt>
                <c:pt idx="44">
                  <c:v>7.4677638745426642E-2</c:v>
                </c:pt>
                <c:pt idx="45">
                  <c:v>3.8658375632808516E-2</c:v>
                </c:pt>
                <c:pt idx="46">
                  <c:v>-3.5922174835935565E-2</c:v>
                </c:pt>
                <c:pt idx="47">
                  <c:v>3.2883493606785393E-2</c:v>
                </c:pt>
                <c:pt idx="48">
                  <c:v>-7.670757200690527E-2</c:v>
                </c:pt>
                <c:pt idx="49">
                  <c:v>-5.1663406231213294E-2</c:v>
                </c:pt>
                <c:pt idx="50">
                  <c:v>-1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AC-43C5-94C6-3779D7DA5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74272"/>
        <c:axId val="453061792"/>
      </c:scatterChart>
      <c:valAx>
        <c:axId val="1297481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Cycles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2031"/>
        <c:crosses val="autoZero"/>
        <c:crossBetween val="midCat"/>
      </c:valAx>
      <c:valAx>
        <c:axId val="129748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297481551"/>
        <c:crosses val="autoZero"/>
        <c:crossBetween val="midCat"/>
      </c:valAx>
      <c:valAx>
        <c:axId val="453061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3074272"/>
        <c:crosses val="max"/>
        <c:crossBetween val="midCat"/>
      </c:valAx>
      <c:valAx>
        <c:axId val="45307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306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597247474747474"/>
          <c:y val="5.5930555555555846E-3"/>
          <c:w val="0.21588484848484848"/>
          <c:h val="0.189184259259259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4652777777778E-2"/>
          <c:y val="6.4675925925925928E-2"/>
          <c:w val="0.86511365740740742"/>
          <c:h val="0.83283194444444442"/>
        </c:manualLayout>
      </c:layout>
      <c:scatterChart>
        <c:scatterStyle val="lineMarker"/>
        <c:varyColors val="0"/>
        <c:ser>
          <c:idx val="0"/>
          <c:order val="0"/>
          <c:tx>
            <c:strRef>
              <c:f>Iris!$L$1</c:f>
              <c:strCache>
                <c:ptCount val="1"/>
                <c:pt idx="0">
                  <c:v>None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Iris!$M$2:$M$501</c:f>
              <c:numCache>
                <c:formatCode>General</c:formatCode>
                <c:ptCount val="500"/>
                <c:pt idx="0">
                  <c:v>4.9837066923936357E-2</c:v>
                </c:pt>
                <c:pt idx="1">
                  <c:v>4.2634094331836909E-2</c:v>
                </c:pt>
                <c:pt idx="2">
                  <c:v>3.8864552331740916E-2</c:v>
                </c:pt>
                <c:pt idx="3">
                  <c:v>3.687220414935026E-2</c:v>
                </c:pt>
                <c:pt idx="4">
                  <c:v>3.5764251270643511E-2</c:v>
                </c:pt>
                <c:pt idx="5">
                  <c:v>3.5086020235014774E-2</c:v>
                </c:pt>
                <c:pt idx="6">
                  <c:v>3.4628029688854679E-2</c:v>
                </c:pt>
                <c:pt idx="7">
                  <c:v>3.429135616468619E-2</c:v>
                </c:pt>
                <c:pt idx="8">
                  <c:v>3.4025022135744216E-2</c:v>
                </c:pt>
                <c:pt idx="9">
                  <c:v>3.3801040575126513E-2</c:v>
                </c:pt>
                <c:pt idx="10">
                  <c:v>3.3603295761203529E-2</c:v>
                </c:pt>
                <c:pt idx="11">
                  <c:v>3.3422072063768751E-2</c:v>
                </c:pt>
                <c:pt idx="12">
                  <c:v>3.3251298719765766E-2</c:v>
                </c:pt>
                <c:pt idx="13">
                  <c:v>3.3087095545412955E-2</c:v>
                </c:pt>
                <c:pt idx="14">
                  <c:v>3.2926944727580121E-2</c:v>
                </c:pt>
                <c:pt idx="15">
                  <c:v>3.2769191398224963E-2</c:v>
                </c:pt>
                <c:pt idx="16">
                  <c:v>3.2612734604467036E-2</c:v>
                </c:pt>
                <c:pt idx="17">
                  <c:v>3.2456833285884015E-2</c:v>
                </c:pt>
                <c:pt idx="18">
                  <c:v>3.2300981184393764E-2</c:v>
                </c:pt>
                <c:pt idx="19">
                  <c:v>3.2144821851451025E-2</c:v>
                </c:pt>
                <c:pt idx="20">
                  <c:v>3.1988086401838915E-2</c:v>
                </c:pt>
                <c:pt idx="21">
                  <c:v>3.1830544494540397E-2</c:v>
                </c:pt>
                <c:pt idx="22">
                  <c:v>3.1671964153626851E-2</c:v>
                </c:pt>
                <c:pt idx="23">
                  <c:v>3.1512078994407118E-2</c:v>
                </c:pt>
                <c:pt idx="24">
                  <c:v>3.1350562596653253E-2</c:v>
                </c:pt>
                <c:pt idx="25">
                  <c:v>3.1187009706688501E-2</c:v>
                </c:pt>
                <c:pt idx="26">
                  <c:v>3.1020923373726229E-2</c:v>
                </c:pt>
                <c:pt idx="27">
                  <c:v>3.0851706711108935E-2</c:v>
                </c:pt>
                <c:pt idx="28">
                  <c:v>3.0678658051608573E-2</c:v>
                </c:pt>
                <c:pt idx="29">
                  <c:v>3.0500968737603152E-2</c:v>
                </c:pt>
                <c:pt idx="30">
                  <c:v>3.0317723337294041E-2</c:v>
                </c:pt>
                <c:pt idx="31">
                  <c:v>3.0127902478164017E-2</c:v>
                </c:pt>
                <c:pt idx="32">
                  <c:v>2.9930388718629856E-2</c:v>
                </c:pt>
                <c:pt idx="33">
                  <c:v>2.9723976038315104E-2</c:v>
                </c:pt>
                <c:pt idx="34">
                  <c:v>2.9507383684151775E-2</c:v>
                </c:pt>
                <c:pt idx="35">
                  <c:v>2.9279275223144809E-2</c:v>
                </c:pt>
                <c:pt idx="36">
                  <c:v>2.9038283604474621E-2</c:v>
                </c:pt>
                <c:pt idx="37">
                  <c:v>2.8783042718352626E-2</c:v>
                </c:pt>
                <c:pt idx="38">
                  <c:v>2.8512225365032617E-2</c:v>
                </c:pt>
                <c:pt idx="39">
                  <c:v>2.8224586902340126E-2</c:v>
                </c:pt>
                <c:pt idx="40">
                  <c:v>2.7919013472306384E-2</c:v>
                </c:pt>
                <c:pt idx="41">
                  <c:v>2.7594573982027023E-2</c:v>
                </c:pt>
                <c:pt idx="42">
                  <c:v>2.7250576084595066E-2</c:v>
                </c:pt>
                <c:pt idx="43">
                  <c:v>2.688662807928735E-2</c:v>
                </c:pt>
                <c:pt idx="44">
                  <c:v>2.6502710530708927E-2</c:v>
                </c:pt>
                <c:pt idx="45">
                  <c:v>2.6099263255679857E-2</c:v>
                </c:pt>
                <c:pt idx="46">
                  <c:v>2.5677295249029376E-2</c:v>
                </c:pt>
                <c:pt idx="47">
                  <c:v>2.5238527290204375E-2</c:v>
                </c:pt>
                <c:pt idx="48">
                  <c:v>2.478557907236029E-2</c:v>
                </c:pt>
                <c:pt idx="49">
                  <c:v>2.4322213341887462E-2</c:v>
                </c:pt>
                <c:pt idx="50">
                  <c:v>2.3853645703176485E-2</c:v>
                </c:pt>
                <c:pt idx="51">
                  <c:v>2.3386915537464151E-2</c:v>
                </c:pt>
                <c:pt idx="52">
                  <c:v>2.2931285996307942E-2</c:v>
                </c:pt>
                <c:pt idx="53">
                  <c:v>2.2498599582132794E-2</c:v>
                </c:pt>
                <c:pt idx="54">
                  <c:v>2.2103470233739375E-2</c:v>
                </c:pt>
                <c:pt idx="55">
                  <c:v>2.1763154541201521E-2</c:v>
                </c:pt>
                <c:pt idx="56">
                  <c:v>2.1496902697654852E-2</c:v>
                </c:pt>
                <c:pt idx="57">
                  <c:v>2.1324488571344554E-2</c:v>
                </c:pt>
                <c:pt idx="58">
                  <c:v>2.1263353626455837E-2</c:v>
                </c:pt>
                <c:pt idx="59">
                  <c:v>2.1323139312282642E-2</c:v>
                </c:pt>
                <c:pt idx="60">
                  <c:v>1.9858398988849908E-2</c:v>
                </c:pt>
                <c:pt idx="61">
                  <c:v>1.979688457594761E-2</c:v>
                </c:pt>
                <c:pt idx="62">
                  <c:v>1.9739317090950653E-2</c:v>
                </c:pt>
                <c:pt idx="63">
                  <c:v>1.9682470667340229E-2</c:v>
                </c:pt>
                <c:pt idx="64">
                  <c:v>1.9624957853895564E-2</c:v>
                </c:pt>
                <c:pt idx="65">
                  <c:v>1.9565819854882406E-2</c:v>
                </c:pt>
                <c:pt idx="66">
                  <c:v>1.9504360261707897E-2</c:v>
                </c:pt>
                <c:pt idx="67">
                  <c:v>1.9440060310329452E-2</c:v>
                </c:pt>
                <c:pt idx="68">
                  <c:v>1.9372509925010023E-2</c:v>
                </c:pt>
                <c:pt idx="69">
                  <c:v>1.9301359030777294E-2</c:v>
                </c:pt>
                <c:pt idx="70">
                  <c:v>1.9226288384801893E-2</c:v>
                </c:pt>
                <c:pt idx="71">
                  <c:v>1.9146995035628708E-2</c:v>
                </c:pt>
                <c:pt idx="72">
                  <c:v>1.9063187265818432E-2</c:v>
                </c:pt>
                <c:pt idx="73">
                  <c:v>1.8974585115849117E-2</c:v>
                </c:pt>
                <c:pt idx="74">
                  <c:v>1.8880923974200211E-2</c:v>
                </c:pt>
                <c:pt idx="75">
                  <c:v>1.8781959779270222E-2</c:v>
                </c:pt>
                <c:pt idx="76">
                  <c:v>1.8677475049495688E-2</c:v>
                </c:pt>
                <c:pt idx="77">
                  <c:v>1.8567285313850532E-2</c:v>
                </c:pt>
                <c:pt idx="78">
                  <c:v>1.8451245653133167E-2</c:v>
                </c:pt>
                <c:pt idx="79">
                  <c:v>1.8329257064350155E-2</c:v>
                </c:pt>
                <c:pt idx="80">
                  <c:v>1.8201272286506715E-2</c:v>
                </c:pt>
                <c:pt idx="81">
                  <c:v>1.80673006227135E-2</c:v>
                </c:pt>
                <c:pt idx="82">
                  <c:v>1.7927411202478979E-2</c:v>
                </c:pt>
                <c:pt idx="83">
                  <c:v>1.7781734094849653E-2</c:v>
                </c:pt>
                <c:pt idx="84">
                  <c:v>1.7630458763072211E-2</c:v>
                </c:pt>
                <c:pt idx="85">
                  <c:v>1.7473829612847134E-2</c:v>
                </c:pt>
                <c:pt idx="86">
                  <c:v>1.7312138907006537E-2</c:v>
                </c:pt>
                <c:pt idx="87">
                  <c:v>1.7145718176058887E-2</c:v>
                </c:pt>
                <c:pt idx="88">
                  <c:v>1.6974930499324609E-2</c:v>
                </c:pt>
                <c:pt idx="89">
                  <c:v>1.6800167661220007E-2</c:v>
                </c:pt>
                <c:pt idx="90">
                  <c:v>1.6621858099712693E-2</c:v>
                </c:pt>
                <c:pt idx="91">
                  <c:v>1.6440493522999599E-2</c:v>
                </c:pt>
                <c:pt idx="92">
                  <c:v>1.6256683699664504E-2</c:v>
                </c:pt>
                <c:pt idx="93">
                  <c:v>1.6071249773456069E-2</c:v>
                </c:pt>
                <c:pt idx="94">
                  <c:v>1.5885366140330391E-2</c:v>
                </c:pt>
                <c:pt idx="95">
                  <c:v>1.5700759308887511E-2</c:v>
                </c:pt>
                <c:pt idx="96">
                  <c:v>1.551996910926157E-2</c:v>
                </c:pt>
                <c:pt idx="97">
                  <c:v>1.5346671550561302E-2</c:v>
                </c:pt>
                <c:pt idx="98">
                  <c:v>1.5186046765779863E-2</c:v>
                </c:pt>
                <c:pt idx="99">
                  <c:v>1.5045131421369009E-2</c:v>
                </c:pt>
                <c:pt idx="100">
                  <c:v>1.4932988083704458E-2</c:v>
                </c:pt>
                <c:pt idx="101">
                  <c:v>1.4860320429325342E-2</c:v>
                </c:pt>
                <c:pt idx="102">
                  <c:v>1.4837921840328323E-2</c:v>
                </c:pt>
                <c:pt idx="103">
                  <c:v>1.4873454473128697E-2</c:v>
                </c:pt>
                <c:pt idx="104">
                  <c:v>1.3488746555371524E-2</c:v>
                </c:pt>
                <c:pt idx="105">
                  <c:v>1.3460379330592E-2</c:v>
                </c:pt>
                <c:pt idx="106">
                  <c:v>1.343011787855021E-2</c:v>
                </c:pt>
                <c:pt idx="107">
                  <c:v>1.3397686698395316E-2</c:v>
                </c:pt>
                <c:pt idx="108">
                  <c:v>1.3362726785703567E-2</c:v>
                </c:pt>
                <c:pt idx="109">
                  <c:v>1.332491850404147E-2</c:v>
                </c:pt>
                <c:pt idx="110">
                  <c:v>1.3283959753968792E-2</c:v>
                </c:pt>
                <c:pt idx="111">
                  <c:v>1.3239541261451505E-2</c:v>
                </c:pt>
                <c:pt idx="112">
                  <c:v>1.3191335955413028E-2</c:v>
                </c:pt>
                <c:pt idx="113">
                  <c:v>1.3138996319732948E-2</c:v>
                </c:pt>
                <c:pt idx="114">
                  <c:v>1.3082155410530368E-2</c:v>
                </c:pt>
                <c:pt idx="115">
                  <c:v>1.3020429194105627E-2</c:v>
                </c:pt>
                <c:pt idx="116">
                  <c:v>1.2953418963570853E-2</c:v>
                </c:pt>
                <c:pt idx="117">
                  <c:v>1.2880713245059001E-2</c:v>
                </c:pt>
                <c:pt idx="118">
                  <c:v>1.2801889210221774E-2</c:v>
                </c:pt>
                <c:pt idx="119">
                  <c:v>1.2716514593711122E-2</c:v>
                </c:pt>
                <c:pt idx="120">
                  <c:v>1.262415304548975E-2</c:v>
                </c:pt>
                <c:pt idx="121">
                  <c:v>1.2524379520891523E-2</c:v>
                </c:pt>
                <c:pt idx="122">
                  <c:v>1.2416818362091821E-2</c:v>
                </c:pt>
                <c:pt idx="123">
                  <c:v>1.2301223583291573E-2</c:v>
                </c:pt>
                <c:pt idx="124">
                  <c:v>1.2177618656282195E-2</c:v>
                </c:pt>
                <c:pt idx="125">
                  <c:v>1.2046474637874146E-2</c:v>
                </c:pt>
                <c:pt idx="126">
                  <c:v>1.1908801729631338E-2</c:v>
                </c:pt>
                <c:pt idx="127">
                  <c:v>1.1765934908167354E-2</c:v>
                </c:pt>
                <c:pt idx="128">
                  <c:v>1.1618982370480124E-2</c:v>
                </c:pt>
                <c:pt idx="129">
                  <c:v>1.1468398884176402E-2</c:v>
                </c:pt>
                <c:pt idx="130">
                  <c:v>1.1314154709941744E-2</c:v>
                </c:pt>
                <c:pt idx="131">
                  <c:v>1.1156233971056306E-2</c:v>
                </c:pt>
                <c:pt idx="132">
                  <c:v>1.0994910732127173E-2</c:v>
                </c:pt>
                <c:pt idx="133">
                  <c:v>1.0830715604478316E-2</c:v>
                </c:pt>
                <c:pt idx="134">
                  <c:v>1.066430575615801E-2</c:v>
                </c:pt>
                <c:pt idx="135">
                  <c:v>1.0496371622753428E-2</c:v>
                </c:pt>
                <c:pt idx="136">
                  <c:v>1.0327590986075892E-2</c:v>
                </c:pt>
                <c:pt idx="137">
                  <c:v>1.0158605457071531E-2</c:v>
                </c:pt>
                <c:pt idx="138">
                  <c:v>9.9900020541144573E-3</c:v>
                </c:pt>
                <c:pt idx="139">
                  <c:v>9.8222934129329822E-3</c:v>
                </c:pt>
                <c:pt idx="140">
                  <c:v>9.6558972032256048E-3</c:v>
                </c:pt>
                <c:pt idx="141">
                  <c:v>9.491126785621808E-3</c:v>
                </c:pt>
                <c:pt idx="142">
                  <c:v>9.3282391588413675E-3</c:v>
                </c:pt>
                <c:pt idx="143">
                  <c:v>9.1676859304067534E-3</c:v>
                </c:pt>
                <c:pt idx="144">
                  <c:v>9.0109944477681711E-3</c:v>
                </c:pt>
                <c:pt idx="145">
                  <c:v>8.8634473631572265E-3</c:v>
                </c:pt>
                <c:pt idx="146">
                  <c:v>8.741117676286549E-3</c:v>
                </c:pt>
                <c:pt idx="147">
                  <c:v>8.6831352901572435E-3</c:v>
                </c:pt>
                <c:pt idx="148">
                  <c:v>8.7454630780569847E-3</c:v>
                </c:pt>
                <c:pt idx="149">
                  <c:v>7.7049072694626193E-3</c:v>
                </c:pt>
                <c:pt idx="150">
                  <c:v>7.6729766746455831E-3</c:v>
                </c:pt>
                <c:pt idx="151">
                  <c:v>7.6404605367030691E-3</c:v>
                </c:pt>
                <c:pt idx="152">
                  <c:v>7.606140789062135E-3</c:v>
                </c:pt>
                <c:pt idx="153">
                  <c:v>7.569804407471372E-3</c:v>
                </c:pt>
                <c:pt idx="154">
                  <c:v>7.5313298374601201E-3</c:v>
                </c:pt>
                <c:pt idx="155">
                  <c:v>7.4906582371531598E-3</c:v>
                </c:pt>
                <c:pt idx="156">
                  <c:v>7.4477982334318618E-3</c:v>
                </c:pt>
                <c:pt idx="157">
                  <c:v>7.402828445261472E-3</c:v>
                </c:pt>
                <c:pt idx="158">
                  <c:v>7.3558932383278597E-3</c:v>
                </c:pt>
                <c:pt idx="159">
                  <c:v>7.3071879978487174E-3</c:v>
                </c:pt>
                <c:pt idx="160">
                  <c:v>7.256931748533613E-3</c:v>
                </c:pt>
                <c:pt idx="161">
                  <c:v>7.2053289901725156E-3</c:v>
                </c:pt>
                <c:pt idx="162">
                  <c:v>7.1525286286665051E-3</c:v>
                </c:pt>
                <c:pt idx="163">
                  <c:v>7.0985928944487207E-3</c:v>
                </c:pt>
                <c:pt idx="164">
                  <c:v>7.043488715402107E-3</c:v>
                </c:pt>
                <c:pt idx="165">
                  <c:v>6.9871060645837627E-3</c:v>
                </c:pt>
                <c:pt idx="166">
                  <c:v>6.9292961235155369E-3</c:v>
                </c:pt>
                <c:pt idx="167">
                  <c:v>6.8699143673831209E-3</c:v>
                </c:pt>
                <c:pt idx="168">
                  <c:v>6.8088546037988707E-3</c:v>
                </c:pt>
                <c:pt idx="169">
                  <c:v>6.7460673676858979E-3</c:v>
                </c:pt>
                <c:pt idx="170">
                  <c:v>6.6815639603514812E-3</c:v>
                </c:pt>
                <c:pt idx="171">
                  <c:v>6.6154117198416332E-3</c:v>
                </c:pt>
                <c:pt idx="172">
                  <c:v>6.5477264876907552E-3</c:v>
                </c:pt>
                <c:pt idx="173">
                  <c:v>6.4786664517667084E-3</c:v>
                </c:pt>
                <c:pt idx="174">
                  <c:v>6.4084293278036239E-3</c:v>
                </c:pt>
                <c:pt idx="175">
                  <c:v>6.3372530410019234E-3</c:v>
                </c:pt>
                <c:pt idx="176">
                  <c:v>6.2654187939141133E-3</c:v>
                </c:pt>
                <c:pt idx="177">
                  <c:v>6.1932544699843843E-3</c:v>
                </c:pt>
                <c:pt idx="178">
                  <c:v>6.121135601841618E-3</c:v>
                </c:pt>
                <c:pt idx="179">
                  <c:v>6.0494807866353752E-3</c:v>
                </c:pt>
                <c:pt idx="180">
                  <c:v>5.978738918366591E-3</c:v>
                </c:pt>
                <c:pt idx="181">
                  <c:v>5.9093674308609593E-3</c:v>
                </c:pt>
                <c:pt idx="182">
                  <c:v>5.8418038745315952E-3</c:v>
                </c:pt>
                <c:pt idx="183">
                  <c:v>5.7764365292587161E-3</c:v>
                </c:pt>
                <c:pt idx="184">
                  <c:v>5.7135816633206377E-3</c:v>
                </c:pt>
                <c:pt idx="185">
                  <c:v>5.6534745342382122E-3</c:v>
                </c:pt>
                <c:pt idx="186">
                  <c:v>5.5962792338761537E-3</c:v>
                </c:pt>
                <c:pt idx="187">
                  <c:v>5.5421207237410456E-3</c:v>
                </c:pt>
                <c:pt idx="188">
                  <c:v>5.4911405056040216E-3</c:v>
                </c:pt>
                <c:pt idx="189">
                  <c:v>5.4435715081548736E-3</c:v>
                </c:pt>
                <c:pt idx="190">
                  <c:v>5.3998132500793312E-3</c:v>
                </c:pt>
                <c:pt idx="191">
                  <c:v>5.360464841786582E-3</c:v>
                </c:pt>
                <c:pt idx="192">
                  <c:v>5.3262495879292443E-3</c:v>
                </c:pt>
                <c:pt idx="193">
                  <c:v>5.2977592623679954E-3</c:v>
                </c:pt>
                <c:pt idx="194">
                  <c:v>5.2749804989031543E-3</c:v>
                </c:pt>
                <c:pt idx="195">
                  <c:v>5.256651174974647E-3</c:v>
                </c:pt>
                <c:pt idx="196">
                  <c:v>5.2396146759109705E-3</c:v>
                </c:pt>
                <c:pt idx="197">
                  <c:v>5.2184528585045315E-3</c:v>
                </c:pt>
                <c:pt idx="198">
                  <c:v>5.1857550279469627E-3</c:v>
                </c:pt>
                <c:pt idx="199">
                  <c:v>5.1334063254411611E-3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6A-432D-93A6-32384E6C8B77}"/>
            </c:ext>
          </c:extLst>
        </c:ser>
        <c:ser>
          <c:idx val="1"/>
          <c:order val="1"/>
          <c:tx>
            <c:strRef>
              <c:f>Iris!$O$1</c:f>
              <c:strCache>
                <c:ptCount val="1"/>
                <c:pt idx="0">
                  <c:v>RMS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Iris!$P$2:$P$501</c:f>
              <c:numCache>
                <c:formatCode>General</c:formatCode>
                <c:ptCount val="500"/>
                <c:pt idx="0">
                  <c:v>3.8530049601836411E-2</c:v>
                </c:pt>
                <c:pt idx="1">
                  <c:v>3.4909760038506002E-2</c:v>
                </c:pt>
                <c:pt idx="2">
                  <c:v>3.3769948567509422E-2</c:v>
                </c:pt>
                <c:pt idx="3">
                  <c:v>3.2909955147964097E-2</c:v>
                </c:pt>
                <c:pt idx="4">
                  <c:v>3.207444640916858E-2</c:v>
                </c:pt>
                <c:pt idx="5">
                  <c:v>3.1234602289653142E-2</c:v>
                </c:pt>
                <c:pt idx="6">
                  <c:v>3.0389395195929626E-2</c:v>
                </c:pt>
                <c:pt idx="7">
                  <c:v>2.9538406261095607E-2</c:v>
                </c:pt>
                <c:pt idx="8">
                  <c:v>2.8676343457997081E-2</c:v>
                </c:pt>
                <c:pt idx="9">
                  <c:v>2.779491795628147E-2</c:v>
                </c:pt>
                <c:pt idx="10">
                  <c:v>2.6885895034749297E-2</c:v>
                </c:pt>
                <c:pt idx="11">
                  <c:v>2.5942520947183436E-2</c:v>
                </c:pt>
                <c:pt idx="12">
                  <c:v>2.4960105066862675E-2</c:v>
                </c:pt>
                <c:pt idx="13">
                  <c:v>2.3936716618671226E-2</c:v>
                </c:pt>
                <c:pt idx="14">
                  <c:v>2.2873755043819985E-2</c:v>
                </c:pt>
                <c:pt idx="15">
                  <c:v>2.1776192086913053E-2</c:v>
                </c:pt>
                <c:pt idx="16">
                  <c:v>2.0652797929229708E-2</c:v>
                </c:pt>
                <c:pt idx="17">
                  <c:v>1.951658754228381E-2</c:v>
                </c:pt>
                <c:pt idx="18">
                  <c:v>1.8385325936954394E-2</c:v>
                </c:pt>
                <c:pt idx="19">
                  <c:v>1.728215928588497E-2</c:v>
                </c:pt>
                <c:pt idx="20">
                  <c:v>1.6236493711982821E-2</c:v>
                </c:pt>
                <c:pt idx="21">
                  <c:v>1.5281186529853412E-2</c:v>
                </c:pt>
                <c:pt idx="22">
                  <c:v>1.4439512273117055E-2</c:v>
                </c:pt>
                <c:pt idx="23">
                  <c:v>1.3710978900697036E-2</c:v>
                </c:pt>
                <c:pt idx="24">
                  <c:v>1.3075351017213906E-2</c:v>
                </c:pt>
                <c:pt idx="25">
                  <c:v>1.2508758126316495E-2</c:v>
                </c:pt>
                <c:pt idx="26">
                  <c:v>1.1987969997054699E-2</c:v>
                </c:pt>
                <c:pt idx="27">
                  <c:v>1.1488689980318361E-2</c:v>
                </c:pt>
                <c:pt idx="28">
                  <c:v>1.0991817832460669E-2</c:v>
                </c:pt>
                <c:pt idx="29">
                  <c:v>1.0485877146929041E-2</c:v>
                </c:pt>
                <c:pt idx="30">
                  <c:v>9.964431763678611E-3</c:v>
                </c:pt>
                <c:pt idx="31">
                  <c:v>9.4235032628611284E-3</c:v>
                </c:pt>
                <c:pt idx="32">
                  <c:v>8.8601544267556762E-3</c:v>
                </c:pt>
                <c:pt idx="33">
                  <c:v>8.2717425321923131E-3</c:v>
                </c:pt>
                <c:pt idx="34">
                  <c:v>7.6548788803302969E-3</c:v>
                </c:pt>
                <c:pt idx="35">
                  <c:v>7.0052915073004285E-3</c:v>
                </c:pt>
                <c:pt idx="36">
                  <c:v>6.3350040422180346E-3</c:v>
                </c:pt>
                <c:pt idx="37">
                  <c:v>5.6728805026670225E-3</c:v>
                </c:pt>
                <c:pt idx="38">
                  <c:v>5.0478679624120452E-3</c:v>
                </c:pt>
                <c:pt idx="39">
                  <c:v>4.4796621688987046E-3</c:v>
                </c:pt>
                <c:pt idx="40">
                  <c:v>3.9799555844178859E-3</c:v>
                </c:pt>
                <c:pt idx="41">
                  <c:v>3.5561873441086909E-3</c:v>
                </c:pt>
                <c:pt idx="42">
                  <c:v>3.2129317825175877E-3</c:v>
                </c:pt>
                <c:pt idx="43">
                  <c:v>2.9503774452218526E-3</c:v>
                </c:pt>
                <c:pt idx="44">
                  <c:v>2.7627442977921179E-3</c:v>
                </c:pt>
                <c:pt idx="45">
                  <c:v>2.6403337314986086E-3</c:v>
                </c:pt>
                <c:pt idx="46">
                  <c:v>2.5730924022490209E-3</c:v>
                </c:pt>
                <c:pt idx="47">
                  <c:v>2.5466107068986806E-3</c:v>
                </c:pt>
                <c:pt idx="48">
                  <c:v>2.5397045143915019E-3</c:v>
                </c:pt>
                <c:pt idx="49">
                  <c:v>2.537050283950897E-3</c:v>
                </c:pt>
                <c:pt idx="50">
                  <c:v>2.5414870172035188E-3</c:v>
                </c:pt>
                <c:pt idx="51">
                  <c:v>1.6377350836874131E-3</c:v>
                </c:pt>
                <c:pt idx="52">
                  <c:v>1.6047962773400851E-3</c:v>
                </c:pt>
                <c:pt idx="53">
                  <c:v>1.5734297640533183E-3</c:v>
                </c:pt>
                <c:pt idx="54">
                  <c:v>1.5419103222815639E-3</c:v>
                </c:pt>
                <c:pt idx="55">
                  <c:v>1.5101104557488964E-3</c:v>
                </c:pt>
                <c:pt idx="56">
                  <c:v>1.4780302189118957E-3</c:v>
                </c:pt>
                <c:pt idx="57">
                  <c:v>1.4457072537956404E-3</c:v>
                </c:pt>
                <c:pt idx="58">
                  <c:v>1.4132157659217021E-3</c:v>
                </c:pt>
                <c:pt idx="59">
                  <c:v>1.3806784764443809E-3</c:v>
                </c:pt>
                <c:pt idx="60">
                  <c:v>1.3482826500179584E-3</c:v>
                </c:pt>
                <c:pt idx="61">
                  <c:v>1.3162971965440735E-3</c:v>
                </c:pt>
                <c:pt idx="62">
                  <c:v>1.2850876587052243E-3</c:v>
                </c:pt>
                <c:pt idx="63">
                  <c:v>1.2551252350223902E-3</c:v>
                </c:pt>
                <c:pt idx="64">
                  <c:v>1.2269863097082502E-3</c:v>
                </c:pt>
                <c:pt idx="65">
                  <c:v>1.2013408612232379E-3</c:v>
                </c:pt>
                <c:pt idx="66">
                  <c:v>1.1789313627920527E-3</c:v>
                </c:pt>
                <c:pt idx="67">
                  <c:v>1.1605468195379238E-3</c:v>
                </c:pt>
                <c:pt idx="68">
                  <c:v>1.1469973313946544E-3</c:v>
                </c:pt>
                <c:pt idx="69">
                  <c:v>1.1390937115050583E-3</c:v>
                </c:pt>
                <c:pt idx="70">
                  <c:v>1.1376407538788416E-3</c:v>
                </c:pt>
                <c:pt idx="71">
                  <c:v>1.1434690757685119E-3</c:v>
                </c:pt>
                <c:pt idx="72">
                  <c:v>1.0568985500444166E-3</c:v>
                </c:pt>
                <c:pt idx="73">
                  <c:v>1.0522351248206695E-3</c:v>
                </c:pt>
                <c:pt idx="74">
                  <c:v>1.0482372472519509E-3</c:v>
                </c:pt>
                <c:pt idx="75">
                  <c:v>1.0442622127834198E-3</c:v>
                </c:pt>
                <c:pt idx="76">
                  <c:v>1.0401771485799253E-3</c:v>
                </c:pt>
                <c:pt idx="77">
                  <c:v>1.0359427744713126E-3</c:v>
                </c:pt>
                <c:pt idx="78">
                  <c:v>1.0315436908022251E-3</c:v>
                </c:pt>
                <c:pt idx="79">
                  <c:v>1.0269719234396958E-3</c:v>
                </c:pt>
                <c:pt idx="80">
                  <c:v>1.0222220570283648E-3</c:v>
                </c:pt>
                <c:pt idx="81">
                  <c:v>1.017289652762731E-3</c:v>
                </c:pt>
                <c:pt idx="82">
                  <c:v>1.0121706642817953E-3</c:v>
                </c:pt>
                <c:pt idx="83">
                  <c:v>1.0068611177041248E-3</c:v>
                </c:pt>
                <c:pt idx="84">
                  <c:v>1.001356819698663E-3</c:v>
                </c:pt>
                <c:pt idx="85">
                  <c:v>9.9565302410071273E-4</c:v>
                </c:pt>
                <c:pt idx="86">
                  <c:v>9.8974404358495973E-4</c:v>
                </c:pt>
                <c:pt idx="87">
                  <c:v>9.8362281344953795E-4</c:v>
                </c:pt>
                <c:pt idx="88">
                  <c:v>9.7728042449123195E-4</c:v>
                </c:pt>
                <c:pt idx="89">
                  <c:v>9.7070564994958795E-4</c:v>
                </c:pt>
                <c:pt idx="90">
                  <c:v>9.6388450264658161E-4</c:v>
                </c:pt>
                <c:pt idx="91">
                  <c:v>9.5679987775927188E-4</c:v>
                </c:pt>
                <c:pt idx="92">
                  <c:v>9.4943136770668719E-4</c:v>
                </c:pt>
                <c:pt idx="93">
                  <c:v>9.417553759473689E-4</c:v>
                </c:pt>
                <c:pt idx="94">
                  <c:v>9.3374569339466421E-4</c:v>
                </c:pt>
                <c:pt idx="95">
                  <c:v>9.2537471479098743E-4</c:v>
                </c:pt>
                <c:pt idx="96">
                  <c:v>9.1661544928324414E-4</c:v>
                </c:pt>
                <c:pt idx="97">
                  <c:v>9.0744442565767944E-4</c:v>
                </c:pt>
                <c:pt idx="98">
                  <c:v>8.9784552549236672E-4</c:v>
                </c:pt>
                <c:pt idx="99">
                  <c:v>8.8781469621010108E-4</c:v>
                </c:pt>
                <c:pt idx="100">
                  <c:v>8.7736537013407916E-4</c:v>
                </c:pt>
                <c:pt idx="101">
                  <c:v>8.6653422178140506E-4</c:v>
                </c:pt>
                <c:pt idx="102">
                  <c:v>8.5538667545905357E-4</c:v>
                </c:pt>
                <c:pt idx="103">
                  <c:v>8.4402144945910028E-4</c:v>
                </c:pt>
                <c:pt idx="104">
                  <c:v>8.3257352912799432E-4</c:v>
                </c:pt>
                <c:pt idx="105">
                  <c:v>8.2121533876796E-4</c:v>
                </c:pt>
                <c:pt idx="106">
                  <c:v>8.101563719618124E-4</c:v>
                </c:pt>
                <c:pt idx="107">
                  <c:v>7.9964177770632818E-4</c:v>
                </c:pt>
                <c:pt idx="108">
                  <c:v>7.8994999419586319E-4</c:v>
                </c:pt>
                <c:pt idx="109">
                  <c:v>7.8138844197302463E-4</c:v>
                </c:pt>
                <c:pt idx="110">
                  <c:v>7.7428541045191735E-4</c:v>
                </c:pt>
                <c:pt idx="111">
                  <c:v>7.6897780093528295E-4</c:v>
                </c:pt>
                <c:pt idx="112">
                  <c:v>7.6580101842686711E-4</c:v>
                </c:pt>
                <c:pt idx="113">
                  <c:v>7.6509834304623733E-4</c:v>
                </c:pt>
                <c:pt idx="114">
                  <c:v>7.6727418925495196E-4</c:v>
                </c:pt>
                <c:pt idx="115">
                  <c:v>7.1519058341371598E-4</c:v>
                </c:pt>
                <c:pt idx="116">
                  <c:v>7.1254895014650251E-4</c:v>
                </c:pt>
                <c:pt idx="117">
                  <c:v>7.10529644350533E-4</c:v>
                </c:pt>
                <c:pt idx="118">
                  <c:v>7.0857380649662696E-4</c:v>
                </c:pt>
                <c:pt idx="119">
                  <c:v>7.065718629760228E-4</c:v>
                </c:pt>
                <c:pt idx="120">
                  <c:v>7.0449287127128464E-4</c:v>
                </c:pt>
                <c:pt idx="121">
                  <c:v>7.0232535711092477E-4</c:v>
                </c:pt>
                <c:pt idx="122">
                  <c:v>7.0006395396296972E-4</c:v>
                </c:pt>
                <c:pt idx="123">
                  <c:v>6.9770544008967235E-4</c:v>
                </c:pt>
                <c:pt idx="124">
                  <c:v>6.9524741264867952E-4</c:v>
                </c:pt>
                <c:pt idx="125">
                  <c:v>6.9268781997145715E-4</c:v>
                </c:pt>
                <c:pt idx="126">
                  <c:v>6.9002474892729737E-4</c:v>
                </c:pt>
                <c:pt idx="127">
                  <c:v>6.8725625002338223E-4</c:v>
                </c:pt>
                <c:pt idx="128">
                  <c:v>6.8438012636220049E-4</c:v>
                </c:pt>
                <c:pt idx="129">
                  <c:v>6.8139366727241622E-4</c:v>
                </c:pt>
                <c:pt idx="130">
                  <c:v>6.782933296835533E-4</c:v>
                </c:pt>
                <c:pt idx="131">
                  <c:v>6.7507438145756509E-4</c:v>
                </c:pt>
                <c:pt idx="132">
                  <c:v>6.7173052848046322E-4</c:v>
                </c:pt>
                <c:pt idx="133">
                  <c:v>6.6825355386192459E-4</c:v>
                </c:pt>
                <c:pt idx="134">
                  <c:v>6.6463300406921131E-4</c:v>
                </c:pt>
                <c:pt idx="135">
                  <c:v>6.608559639717025E-4</c:v>
                </c:pt>
                <c:pt idx="136">
                  <c:v>6.5690697138074045E-4</c:v>
                </c:pt>
                <c:pt idx="137">
                  <c:v>6.5276813233214499E-4</c:v>
                </c:pt>
                <c:pt idx="138">
                  <c:v>6.4841951085191374E-4</c:v>
                </c:pt>
                <c:pt idx="139">
                  <c:v>6.4383987926516155E-4</c:v>
                </c:pt>
                <c:pt idx="140">
                  <c:v>6.3900792232432979E-4</c:v>
                </c:pt>
                <c:pt idx="141">
                  <c:v>6.3390398178229815E-4</c:v>
                </c:pt>
                <c:pt idx="142">
                  <c:v>6.2851239518320627E-4</c:v>
                </c:pt>
                <c:pt idx="143">
                  <c:v>6.2282441058651109E-4</c:v>
                </c:pt>
                <c:pt idx="144">
                  <c:v>6.168415410572433E-4</c:v>
                </c:pt>
                <c:pt idx="145">
                  <c:v>6.1057906973125027E-4</c:v>
                </c:pt>
                <c:pt idx="146">
                  <c:v>6.0406926581878955E-4</c:v>
                </c:pt>
                <c:pt idx="147">
                  <c:v>5.9736378546802391E-4</c:v>
                </c:pt>
                <c:pt idx="148">
                  <c:v>5.9053476366046991E-4</c:v>
                </c:pt>
                <c:pt idx="149">
                  <c:v>5.8367424517224271E-4</c:v>
                </c:pt>
                <c:pt idx="150">
                  <c:v>5.7689173549759496E-4</c:v>
                </c:pt>
                <c:pt idx="151">
                  <c:v>5.7030959231016258E-4</c:v>
                </c:pt>
                <c:pt idx="152">
                  <c:v>5.6405567932680764E-4</c:v>
                </c:pt>
                <c:pt idx="153">
                  <c:v>5.5825257690423301E-4</c:v>
                </c:pt>
                <c:pt idx="154">
                  <c:v>5.5300364425867033E-4</c:v>
                </c:pt>
                <c:pt idx="155">
                  <c:v>5.483790586811797E-4</c:v>
                </c:pt>
                <c:pt idx="156">
                  <c:v>5.4440813919997904E-4</c:v>
                </c:pt>
                <c:pt idx="157">
                  <c:v>5.410834520712469E-4</c:v>
                </c:pt>
                <c:pt idx="158">
                  <c:v>5.3837516204446065E-4</c:v>
                </c:pt>
                <c:pt idx="159">
                  <c:v>5.3624782704671833E-4</c:v>
                </c:pt>
                <c:pt idx="160">
                  <c:v>5.3467650062435457E-4</c:v>
                </c:pt>
                <c:pt idx="161">
                  <c:v>5.3367112173562147E-4</c:v>
                </c:pt>
                <c:pt idx="162">
                  <c:v>5.3332265454072547E-4</c:v>
                </c:pt>
                <c:pt idx="163">
                  <c:v>5.3387403727814611E-4</c:v>
                </c:pt>
                <c:pt idx="164">
                  <c:v>4.653903922242258E-4</c:v>
                </c:pt>
                <c:pt idx="165">
                  <c:v>4.6285355160496043E-4</c:v>
                </c:pt>
                <c:pt idx="166">
                  <c:v>4.6126924199130904E-4</c:v>
                </c:pt>
                <c:pt idx="167">
                  <c:v>4.5977422045724722E-4</c:v>
                </c:pt>
                <c:pt idx="168">
                  <c:v>4.5824807674792547E-4</c:v>
                </c:pt>
                <c:pt idx="169">
                  <c:v>4.5666687231766032E-4</c:v>
                </c:pt>
                <c:pt idx="170">
                  <c:v>4.5502448793170486E-4</c:v>
                </c:pt>
                <c:pt idx="171">
                  <c:v>4.5331807878329941E-4</c:v>
                </c:pt>
                <c:pt idx="172">
                  <c:v>4.5154480696049995E-4</c:v>
                </c:pt>
                <c:pt idx="173">
                  <c:v>4.4970102812373831E-4</c:v>
                </c:pt>
                <c:pt idx="174">
                  <c:v>4.4778198585087182E-4</c:v>
                </c:pt>
                <c:pt idx="175">
                  <c:v>4.4578158721241852E-4</c:v>
                </c:pt>
                <c:pt idx="176">
                  <c:v>4.4369219351429691E-4</c:v>
                </c:pt>
                <c:pt idx="177">
                  <c:v>4.4150444060846357E-4</c:v>
                </c:pt>
                <c:pt idx="178">
                  <c:v>4.3920712211494782E-4</c:v>
                </c:pt>
                <c:pt idx="179">
                  <c:v>4.3678717871426594E-4</c:v>
                </c:pt>
                <c:pt idx="180">
                  <c:v>4.3422984809666175E-4</c:v>
                </c:pt>
                <c:pt idx="181">
                  <c:v>4.3151904340072767E-4</c:v>
                </c:pt>
                <c:pt idx="182">
                  <c:v>4.2863803895899484E-4</c:v>
                </c:pt>
                <c:pt idx="183">
                  <c:v>4.2557054271228506E-4</c:v>
                </c:pt>
                <c:pt idx="184">
                  <c:v>4.2230221229655636E-4</c:v>
                </c:pt>
                <c:pt idx="185">
                  <c:v>4.1882261221603444E-4</c:v>
                </c:pt>
                <c:pt idx="186">
                  <c:v>4.1512750400411757E-4</c:v>
                </c:pt>
                <c:pt idx="187">
                  <c:v>4.1122121977097629E-4</c:v>
                </c:pt>
                <c:pt idx="188">
                  <c:v>4.071187330185225E-4</c:v>
                </c:pt>
                <c:pt idx="189">
                  <c:v>4.0284697741665613E-4</c:v>
                </c:pt>
                <c:pt idx="190">
                  <c:v>3.9844503281546187E-4</c:v>
                </c:pt>
                <c:pt idx="191">
                  <c:v>3.9396298103018144E-4</c:v>
                </c:pt>
                <c:pt idx="192">
                  <c:v>3.8945939820842396E-4</c:v>
                </c:pt>
                <c:pt idx="193">
                  <c:v>3.8499740852435908E-4</c:v>
                </c:pt>
                <c:pt idx="194">
                  <c:v>3.8063892314015209E-4</c:v>
                </c:pt>
                <c:pt idx="195">
                  <c:v>3.7643641626015608E-4</c:v>
                </c:pt>
                <c:pt idx="196">
                  <c:v>3.7242197758139312E-4</c:v>
                </c:pt>
                <c:pt idx="197">
                  <c:v>3.6859497938562406E-4</c:v>
                </c:pt>
                <c:pt idx="198">
                  <c:v>3.6491213786567982E-4</c:v>
                </c:pt>
                <c:pt idx="199">
                  <c:v>3.6128524104809238E-4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6A-432D-93A6-32384E6C8B77}"/>
            </c:ext>
          </c:extLst>
        </c:ser>
        <c:ser>
          <c:idx val="2"/>
          <c:order val="2"/>
          <c:tx>
            <c:strRef>
              <c:f>Iris!$R$1</c:f>
              <c:strCache>
                <c:ptCount val="1"/>
                <c:pt idx="0">
                  <c:v>ADAM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Iris!$S$2:$S$501</c:f>
              <c:numCache>
                <c:formatCode>General</c:formatCode>
                <c:ptCount val="500"/>
                <c:pt idx="0">
                  <c:v>3.8505080966215181E-2</c:v>
                </c:pt>
                <c:pt idx="1">
                  <c:v>3.4904258736218705E-2</c:v>
                </c:pt>
                <c:pt idx="2">
                  <c:v>3.3691230936197192E-2</c:v>
                </c:pt>
                <c:pt idx="3">
                  <c:v>3.2533126377640234E-2</c:v>
                </c:pt>
                <c:pt idx="4">
                  <c:v>3.1345600043976386E-2</c:v>
                </c:pt>
                <c:pt idx="5">
                  <c:v>3.0170737100288395E-2</c:v>
                </c:pt>
                <c:pt idx="6">
                  <c:v>2.9024063783369029E-2</c:v>
                </c:pt>
                <c:pt idx="7">
                  <c:v>2.7892521868978958E-2</c:v>
                </c:pt>
                <c:pt idx="8">
                  <c:v>2.6755173270402659E-2</c:v>
                </c:pt>
                <c:pt idx="9">
                  <c:v>2.5595703376406039E-2</c:v>
                </c:pt>
                <c:pt idx="10">
                  <c:v>2.4405909173892949E-2</c:v>
                </c:pt>
                <c:pt idx="11">
                  <c:v>2.3185721990577883E-2</c:v>
                </c:pt>
                <c:pt idx="12">
                  <c:v>2.1951330016332767E-2</c:v>
                </c:pt>
                <c:pt idx="13">
                  <c:v>2.0730627025237206E-2</c:v>
                </c:pt>
                <c:pt idx="14">
                  <c:v>1.9541429792608103E-2</c:v>
                </c:pt>
                <c:pt idx="15">
                  <c:v>1.8397561486647049E-2</c:v>
                </c:pt>
                <c:pt idx="16">
                  <c:v>1.7321272863614429E-2</c:v>
                </c:pt>
                <c:pt idx="17">
                  <c:v>1.6336823457902782E-2</c:v>
                </c:pt>
                <c:pt idx="18">
                  <c:v>1.5465623003839928E-2</c:v>
                </c:pt>
                <c:pt idx="19">
                  <c:v>1.4711618513637665E-2</c:v>
                </c:pt>
                <c:pt idx="20">
                  <c:v>1.4089143166483674E-2</c:v>
                </c:pt>
                <c:pt idx="21">
                  <c:v>1.3665492928537361E-2</c:v>
                </c:pt>
                <c:pt idx="22">
                  <c:v>1.3366760423878975E-2</c:v>
                </c:pt>
                <c:pt idx="23">
                  <c:v>1.3069840356240583E-2</c:v>
                </c:pt>
                <c:pt idx="24">
                  <c:v>1.25864373604438E-2</c:v>
                </c:pt>
                <c:pt idx="25">
                  <c:v>1.1773194355385831E-2</c:v>
                </c:pt>
                <c:pt idx="26">
                  <c:v>1.0676176656964305E-2</c:v>
                </c:pt>
                <c:pt idx="27">
                  <c:v>9.5183636909254663E-3</c:v>
                </c:pt>
                <c:pt idx="28">
                  <c:v>8.5169971540378104E-3</c:v>
                </c:pt>
                <c:pt idx="29">
                  <c:v>7.7428277229261632E-3</c:v>
                </c:pt>
                <c:pt idx="30">
                  <c:v>7.1455604902931971E-3</c:v>
                </c:pt>
                <c:pt idx="31">
                  <c:v>6.6567417789499218E-3</c:v>
                </c:pt>
                <c:pt idx="32">
                  <c:v>6.241592172384655E-3</c:v>
                </c:pt>
                <c:pt idx="33">
                  <c:v>5.8863438317816579E-3</c:v>
                </c:pt>
                <c:pt idx="34">
                  <c:v>5.5682259222684417E-3</c:v>
                </c:pt>
                <c:pt idx="35">
                  <c:v>5.2432760549427767E-3</c:v>
                </c:pt>
                <c:pt idx="36">
                  <c:v>4.867685520618472E-3</c:v>
                </c:pt>
                <c:pt idx="37">
                  <c:v>4.453921236065886E-3</c:v>
                </c:pt>
                <c:pt idx="38">
                  <c:v>4.0680282109633887E-3</c:v>
                </c:pt>
                <c:pt idx="39">
                  <c:v>3.7193977644486504E-3</c:v>
                </c:pt>
                <c:pt idx="40">
                  <c:v>3.3687937544013059E-3</c:v>
                </c:pt>
                <c:pt idx="41">
                  <c:v>3.0238892447186096E-3</c:v>
                </c:pt>
                <c:pt idx="42">
                  <c:v>2.6935733782571403E-3</c:v>
                </c:pt>
                <c:pt idx="43">
                  <c:v>2.3789113808972834E-3</c:v>
                </c:pt>
                <c:pt idx="44">
                  <c:v>2.1220712648578706E-3</c:v>
                </c:pt>
                <c:pt idx="45">
                  <c:v>1.9445632955689025E-3</c:v>
                </c:pt>
                <c:pt idx="46">
                  <c:v>2.0383372293588304E-3</c:v>
                </c:pt>
                <c:pt idx="47">
                  <c:v>2.0206797963282386E-3</c:v>
                </c:pt>
                <c:pt idx="48">
                  <c:v>1.8940574921899188E-3</c:v>
                </c:pt>
                <c:pt idx="49">
                  <c:v>1.8826627567307061E-3</c:v>
                </c:pt>
                <c:pt idx="50">
                  <c:v>1.8748284344374611E-3</c:v>
                </c:pt>
                <c:pt idx="51">
                  <c:v>1.8685193478047597E-3</c:v>
                </c:pt>
                <c:pt idx="52">
                  <c:v>1.8628103047177711E-3</c:v>
                </c:pt>
                <c:pt idx="53">
                  <c:v>1.8572914719156104E-3</c:v>
                </c:pt>
                <c:pt idx="54">
                  <c:v>1.8517819678804471E-3</c:v>
                </c:pt>
                <c:pt idx="55">
                  <c:v>1.8461959431957126E-3</c:v>
                </c:pt>
                <c:pt idx="56">
                  <c:v>1.8404864629174168E-3</c:v>
                </c:pt>
                <c:pt idx="57">
                  <c:v>1.8346235356717817E-3</c:v>
                </c:pt>
                <c:pt idx="58">
                  <c:v>1.8285855049253504E-3</c:v>
                </c:pt>
                <c:pt idx="59">
                  <c:v>1.8223551109075194E-3</c:v>
                </c:pt>
                <c:pt idx="60">
                  <c:v>1.8159169461161937E-3</c:v>
                </c:pt>
                <c:pt idx="61">
                  <c:v>1.8092552101291119E-3</c:v>
                </c:pt>
                <c:pt idx="62">
                  <c:v>1.8023514925977245E-3</c:v>
                </c:pt>
                <c:pt idx="63">
                  <c:v>1.795182635769621E-3</c:v>
                </c:pt>
                <c:pt idx="64">
                  <c:v>1.787718901313158E-3</c:v>
                </c:pt>
                <c:pt idx="65">
                  <c:v>1.779922809940458E-3</c:v>
                </c:pt>
                <c:pt idx="66">
                  <c:v>1.7717491421359057E-3</c:v>
                </c:pt>
                <c:pt idx="67">
                  <c:v>1.7631466240986525E-3</c:v>
                </c:pt>
                <c:pt idx="68">
                  <c:v>1.7540616833686858E-3</c:v>
                </c:pt>
                <c:pt idx="69">
                  <c:v>1.7444442711646894E-3</c:v>
                </c:pt>
                <c:pt idx="70">
                  <c:v>1.7342551259957794E-3</c:v>
                </c:pt>
                <c:pt idx="71">
                  <c:v>1.7234731490505795E-3</c:v>
                </c:pt>
                <c:pt idx="72">
                  <c:v>1.7121010742050789E-3</c:v>
                </c:pt>
                <c:pt idx="73">
                  <c:v>1.7001677011694264E-3</c:v>
                </c:pt>
                <c:pt idx="74">
                  <c:v>1.6877258482407658E-3</c:v>
                </c:pt>
                <c:pt idx="75">
                  <c:v>1.6748467342388379E-3</c:v>
                </c:pt>
                <c:pt idx="76">
                  <c:v>1.6616130802709899E-3</c:v>
                </c:pt>
                <c:pt idx="77">
                  <c:v>1.6481138924576166E-3</c:v>
                </c:pt>
                <c:pt idx="78">
                  <c:v>1.634443025547816E-3</c:v>
                </c:pt>
                <c:pt idx="79">
                  <c:v>1.6207016089421964E-3</c:v>
                </c:pt>
                <c:pt idx="80">
                  <c:v>1.6070025980412796E-3</c:v>
                </c:pt>
                <c:pt idx="81">
                  <c:v>1.5934753450252406E-3</c:v>
                </c:pt>
                <c:pt idx="82">
                  <c:v>1.5802689334286795E-3</c:v>
                </c:pt>
                <c:pt idx="83">
                  <c:v>1.567553284586269E-3</c:v>
                </c:pt>
                <c:pt idx="84">
                  <c:v>1.5555151552273862E-3</c:v>
                </c:pt>
                <c:pt idx="85">
                  <c:v>1.5443430311639936E-3</c:v>
                </c:pt>
                <c:pt idx="86">
                  <c:v>1.5341941682226726E-3</c:v>
                </c:pt>
                <c:pt idx="87">
                  <c:v>1.5251418680592654E-3</c:v>
                </c:pt>
                <c:pt idx="88">
                  <c:v>1.5171100074721109E-3</c:v>
                </c:pt>
                <c:pt idx="89">
                  <c:v>1.5098072269347357E-3</c:v>
                </c:pt>
                <c:pt idx="90">
                  <c:v>1.5026675422117998E-3</c:v>
                </c:pt>
                <c:pt idx="91">
                  <c:v>1.4947931614472823E-3</c:v>
                </c:pt>
                <c:pt idx="92">
                  <c:v>1.4849027587602722E-3</c:v>
                </c:pt>
                <c:pt idx="93">
                  <c:v>1.4713340305236096E-3</c:v>
                </c:pt>
                <c:pt idx="94">
                  <c:v>1.4522086304201776E-3</c:v>
                </c:pt>
                <c:pt idx="95">
                  <c:v>1.4258636213750444E-3</c:v>
                </c:pt>
                <c:pt idx="96">
                  <c:v>1.3915219319195855E-3</c:v>
                </c:pt>
                <c:pt idx="97">
                  <c:v>1.3499607881889905E-3</c:v>
                </c:pt>
                <c:pt idx="98">
                  <c:v>1.3037978766724766E-3</c:v>
                </c:pt>
                <c:pt idx="99">
                  <c:v>1.2570839602951257E-3</c:v>
                </c:pt>
                <c:pt idx="100">
                  <c:v>1.2141917086499622E-3</c:v>
                </c:pt>
                <c:pt idx="101">
                  <c:v>1.1784075168054802E-3</c:v>
                </c:pt>
                <c:pt idx="102">
                  <c:v>1.1508331704220024E-3</c:v>
                </c:pt>
                <c:pt idx="103">
                  <c:v>1.1299590902907153E-3</c:v>
                </c:pt>
                <c:pt idx="104">
                  <c:v>1.112034360352798E-3</c:v>
                </c:pt>
                <c:pt idx="105">
                  <c:v>1.0925148411535359E-3</c:v>
                </c:pt>
                <c:pt idx="106">
                  <c:v>1.0684515884889052E-3</c:v>
                </c:pt>
                <c:pt idx="107">
                  <c:v>1.0401829707752319E-3</c:v>
                </c:pt>
                <c:pt idx="108">
                  <c:v>1.010429635313084E-3</c:v>
                </c:pt>
                <c:pt idx="109">
                  <c:v>9.8159315060715219E-4</c:v>
                </c:pt>
                <c:pt idx="110">
                  <c:v>9.5424237175641418E-4</c:v>
                </c:pt>
                <c:pt idx="111">
                  <c:v>9.2770889908251641E-4</c:v>
                </c:pt>
                <c:pt idx="112">
                  <c:v>9.0104929779509177E-4</c:v>
                </c:pt>
                <c:pt idx="113">
                  <c:v>8.7360975992281447E-4</c:v>
                </c:pt>
                <c:pt idx="114">
                  <c:v>8.4650184795993441E-4</c:v>
                </c:pt>
                <c:pt idx="115">
                  <c:v>8.2284045863987622E-4</c:v>
                </c:pt>
                <c:pt idx="116">
                  <c:v>8.0208752244873959E-4</c:v>
                </c:pt>
                <c:pt idx="117">
                  <c:v>7.78444842609288E-4</c:v>
                </c:pt>
                <c:pt idx="118">
                  <c:v>7.5044953242357575E-4</c:v>
                </c:pt>
                <c:pt idx="119">
                  <c:v>7.2258275526199968E-4</c:v>
                </c:pt>
                <c:pt idx="120">
                  <c:v>6.9752022840319054E-4</c:v>
                </c:pt>
                <c:pt idx="121">
                  <c:v>6.7407381844610686E-4</c:v>
                </c:pt>
                <c:pt idx="122">
                  <c:v>6.4923565327847294E-4</c:v>
                </c:pt>
                <c:pt idx="123">
                  <c:v>6.254892871632731E-4</c:v>
                </c:pt>
                <c:pt idx="124">
                  <c:v>6.1509472736011534E-4</c:v>
                </c:pt>
                <c:pt idx="125">
                  <c:v>6.2960282959408705E-4</c:v>
                </c:pt>
                <c:pt idx="126">
                  <c:v>5.9396440375256165E-4</c:v>
                </c:pt>
                <c:pt idx="127">
                  <c:v>5.9183345511039744E-4</c:v>
                </c:pt>
                <c:pt idx="128">
                  <c:v>5.8940934057240648E-4</c:v>
                </c:pt>
                <c:pt idx="129">
                  <c:v>5.866678561732211E-4</c:v>
                </c:pt>
                <c:pt idx="130">
                  <c:v>5.8341593263353626E-4</c:v>
                </c:pt>
                <c:pt idx="131">
                  <c:v>5.793812059640851E-4</c:v>
                </c:pt>
                <c:pt idx="132">
                  <c:v>5.7434193960034341E-4</c:v>
                </c:pt>
                <c:pt idx="133">
                  <c:v>5.6827522038720136E-4</c:v>
                </c:pt>
                <c:pt idx="134">
                  <c:v>5.6145166304149337E-4</c:v>
                </c:pt>
                <c:pt idx="135">
                  <c:v>5.5440450741867987E-4</c:v>
                </c:pt>
                <c:pt idx="136">
                  <c:v>5.4776309001637331E-4</c:v>
                </c:pt>
                <c:pt idx="137">
                  <c:v>5.4202912303286859E-4</c:v>
                </c:pt>
                <c:pt idx="138">
                  <c:v>5.3740934435847628E-4</c:v>
                </c:pt>
                <c:pt idx="139">
                  <c:v>5.3375413428337955E-4</c:v>
                </c:pt>
                <c:pt idx="140">
                  <c:v>5.3056608853527037E-4</c:v>
                </c:pt>
                <c:pt idx="141">
                  <c:v>5.2707492870638392E-4</c:v>
                </c:pt>
                <c:pt idx="142">
                  <c:v>5.2248114376176583E-4</c:v>
                </c:pt>
                <c:pt idx="143">
                  <c:v>5.1638271320061024E-4</c:v>
                </c:pt>
                <c:pt idx="144">
                  <c:v>5.090623239971026E-4</c:v>
                </c:pt>
                <c:pt idx="145">
                  <c:v>5.0122684511967911E-4</c:v>
                </c:pt>
                <c:pt idx="146">
                  <c:v>4.9338591547492855E-4</c:v>
                </c:pt>
                <c:pt idx="147">
                  <c:v>4.8554289693630571E-4</c:v>
                </c:pt>
                <c:pt idx="148">
                  <c:v>4.7737177605134074E-4</c:v>
                </c:pt>
                <c:pt idx="149">
                  <c:v>4.6857943738684029E-4</c:v>
                </c:pt>
                <c:pt idx="150">
                  <c:v>4.5926461202073864E-4</c:v>
                </c:pt>
                <c:pt idx="151">
                  <c:v>4.4988623597032274E-4</c:v>
                </c:pt>
                <c:pt idx="152">
                  <c:v>4.4060194459186181E-4</c:v>
                </c:pt>
                <c:pt idx="153">
                  <c:v>4.310031141924939E-4</c:v>
                </c:pt>
                <c:pt idx="154">
                  <c:v>4.2093042016447968E-4</c:v>
                </c:pt>
                <c:pt idx="155">
                  <c:v>4.110279121057721E-4</c:v>
                </c:pt>
                <c:pt idx="156">
                  <c:v>4.0214603724678403E-4</c:v>
                </c:pt>
                <c:pt idx="157">
                  <c:v>3.9471185327721902E-4</c:v>
                </c:pt>
                <c:pt idx="158">
                  <c:v>3.8852525273302908E-4</c:v>
                </c:pt>
                <c:pt idx="159">
                  <c:v>3.8239049194184395E-4</c:v>
                </c:pt>
                <c:pt idx="160">
                  <c:v>3.7432840885189131E-4</c:v>
                </c:pt>
                <c:pt idx="161">
                  <c:v>3.6319022927867455E-4</c:v>
                </c:pt>
                <c:pt idx="162">
                  <c:v>3.5025021316398497E-4</c:v>
                </c:pt>
                <c:pt idx="163">
                  <c:v>3.3871269104976165E-4</c:v>
                </c:pt>
                <c:pt idx="164">
                  <c:v>3.3152314495342916E-4</c:v>
                </c:pt>
                <c:pt idx="165">
                  <c:v>3.2984196925386043E-4</c:v>
                </c:pt>
                <c:pt idx="166">
                  <c:v>3.3314790977667923E-4</c:v>
                </c:pt>
                <c:pt idx="167">
                  <c:v>3.1528416203042005E-4</c:v>
                </c:pt>
                <c:pt idx="168">
                  <c:v>3.1364578395131081E-4</c:v>
                </c:pt>
                <c:pt idx="169">
                  <c:v>3.1224996239523741E-4</c:v>
                </c:pt>
                <c:pt idx="170">
                  <c:v>3.1080933771443904E-4</c:v>
                </c:pt>
                <c:pt idx="171">
                  <c:v>3.0921988455542306E-4</c:v>
                </c:pt>
                <c:pt idx="172">
                  <c:v>3.0741723270186975E-4</c:v>
                </c:pt>
                <c:pt idx="173">
                  <c:v>3.0540046488553409E-4</c:v>
                </c:pt>
                <c:pt idx="174">
                  <c:v>3.0323871155598671E-4</c:v>
                </c:pt>
                <c:pt idx="175">
                  <c:v>3.0103238297377478E-4</c:v>
                </c:pt>
                <c:pt idx="176">
                  <c:v>2.9885383459355412E-4</c:v>
                </c:pt>
                <c:pt idx="177">
                  <c:v>2.9671212331324479E-4</c:v>
                </c:pt>
                <c:pt idx="178">
                  <c:v>2.9456169329026644E-4</c:v>
                </c:pt>
                <c:pt idx="179">
                  <c:v>2.9233757610186103E-4</c:v>
                </c:pt>
                <c:pt idx="180">
                  <c:v>2.8999289239251561E-4</c:v>
                </c:pt>
                <c:pt idx="181">
                  <c:v>2.8752483974077008E-4</c:v>
                </c:pt>
                <c:pt idx="182">
                  <c:v>2.8497131316942607E-4</c:v>
                </c:pt>
                <c:pt idx="183">
                  <c:v>2.8236950627997837E-4</c:v>
                </c:pt>
                <c:pt idx="184">
                  <c:v>2.7971659075967816E-4</c:v>
                </c:pt>
                <c:pt idx="185">
                  <c:v>2.7698183931049403E-4</c:v>
                </c:pt>
                <c:pt idx="186">
                  <c:v>2.7415101455613802E-4</c:v>
                </c:pt>
                <c:pt idx="187">
                  <c:v>2.7125087831782836E-4</c:v>
                </c:pt>
                <c:pt idx="188">
                  <c:v>2.6833399336577353E-4</c:v>
                </c:pt>
                <c:pt idx="189">
                  <c:v>2.6543051891496648E-4</c:v>
                </c:pt>
                <c:pt idx="190">
                  <c:v>2.6248111998645042E-4</c:v>
                </c:pt>
                <c:pt idx="191">
                  <c:v>2.5928808652354662E-4</c:v>
                </c:pt>
                <c:pt idx="192">
                  <c:v>2.555503206933053E-4</c:v>
                </c:pt>
                <c:pt idx="193">
                  <c:v>2.5101309308579164E-4</c:v>
                </c:pt>
                <c:pt idx="194">
                  <c:v>2.4566338319536831E-4</c:v>
                </c:pt>
                <c:pt idx="195">
                  <c:v>2.3981960847886238E-4</c:v>
                </c:pt>
                <c:pt idx="196">
                  <c:v>2.3404151888088866E-4</c:v>
                </c:pt>
                <c:pt idx="197">
                  <c:v>2.2901238585495629E-4</c:v>
                </c:pt>
                <c:pt idx="198">
                  <c:v>2.2550796406918389E-4</c:v>
                </c:pt>
                <c:pt idx="199">
                  <c:v>2.2420752822187222E-4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6A-432D-93A6-32384E6C8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1935"/>
        <c:axId val="1714462415"/>
      </c:scatterChart>
      <c:valAx>
        <c:axId val="1714461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2415"/>
        <c:crosses val="autoZero"/>
        <c:crossBetween val="midCat"/>
      </c:valAx>
      <c:valAx>
        <c:axId val="171446241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1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4095138888889"/>
          <c:y val="0.12341712962962968"/>
          <c:w val="0.47099351851851851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44652777777778E-2"/>
          <c:y val="6.4675925925925928E-2"/>
          <c:w val="0.86511365740740742"/>
          <c:h val="0.83283194444444442"/>
        </c:manualLayout>
      </c:layout>
      <c:scatterChart>
        <c:scatterStyle val="lineMarker"/>
        <c:varyColors val="0"/>
        <c:ser>
          <c:idx val="0"/>
          <c:order val="0"/>
          <c:tx>
            <c:strRef>
              <c:f>Iris!$L$1</c:f>
              <c:strCache>
                <c:ptCount val="1"/>
                <c:pt idx="0">
                  <c:v>None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Iris!$N$2:$N$501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4.7649414686036133E-3</c:v>
                </c:pt>
                <c:pt idx="33">
                  <c:v>5.0031885420337941E-3</c:v>
                </c:pt>
                <c:pt idx="34">
                  <c:v>5.2533479691354839E-3</c:v>
                </c:pt>
                <c:pt idx="35">
                  <c:v>5.5160153675922587E-3</c:v>
                </c:pt>
                <c:pt idx="36">
                  <c:v>5.7918161359718718E-3</c:v>
                </c:pt>
                <c:pt idx="37">
                  <c:v>6.081406942770466E-3</c:v>
                </c:pt>
                <c:pt idx="38">
                  <c:v>6.3854772899089897E-3</c:v>
                </c:pt>
                <c:pt idx="39">
                  <c:v>6.7047511544044399E-3</c:v>
                </c:pt>
                <c:pt idx="40">
                  <c:v>7.0399887121246618E-3</c:v>
                </c:pt>
                <c:pt idx="41">
                  <c:v>7.3919881477308956E-3</c:v>
                </c:pt>
                <c:pt idx="42">
                  <c:v>7.7615875551174411E-3</c:v>
                </c:pt>
                <c:pt idx="43">
                  <c:v>8.1496669328733132E-3</c:v>
                </c:pt>
                <c:pt idx="44">
                  <c:v>8.5571502795169785E-3</c:v>
                </c:pt>
                <c:pt idx="45">
                  <c:v>8.9850077934928285E-3</c:v>
                </c:pt>
                <c:pt idx="46">
                  <c:v>9.43425818316747E-3</c:v>
                </c:pt>
                <c:pt idx="47">
                  <c:v>9.9059710923258444E-3</c:v>
                </c:pt>
                <c:pt idx="48">
                  <c:v>1.0401269646942136E-2</c:v>
                </c:pt>
                <c:pt idx="49">
                  <c:v>1.0921333129289244E-2</c:v>
                </c:pt>
                <c:pt idx="50">
                  <c:v>1.1467399785753707E-2</c:v>
                </c:pt>
                <c:pt idx="51">
                  <c:v>1.2040769775041392E-2</c:v>
                </c:pt>
                <c:pt idx="52">
                  <c:v>1.2642808263793463E-2</c:v>
                </c:pt>
                <c:pt idx="53">
                  <c:v>1.3274948676983136E-2</c:v>
                </c:pt>
                <c:pt idx="54">
                  <c:v>1.3938696110832293E-2</c:v>
                </c:pt>
                <c:pt idx="55">
                  <c:v>1.4635630916373909E-2</c:v>
                </c:pt>
                <c:pt idx="56">
                  <c:v>1.5367412462192606E-2</c:v>
                </c:pt>
                <c:pt idx="57">
                  <c:v>1.6135783085302238E-2</c:v>
                </c:pt>
                <c:pt idx="58">
                  <c:v>1.6942572239567352E-2</c:v>
                </c:pt>
                <c:pt idx="59">
                  <c:v>1.7789700851545721E-2</c:v>
                </c:pt>
                <c:pt idx="60">
                  <c:v>1.7789700851545721E-3</c:v>
                </c:pt>
                <c:pt idx="61">
                  <c:v>1.8679185894123007E-3</c:v>
                </c:pt>
                <c:pt idx="62">
                  <c:v>1.9613145188829158E-3</c:v>
                </c:pt>
                <c:pt idx="63">
                  <c:v>2.0593802448270618E-3</c:v>
                </c:pt>
                <c:pt idx="64">
                  <c:v>2.1623492570684152E-3</c:v>
                </c:pt>
                <c:pt idx="65">
                  <c:v>2.2704667199218362E-3</c:v>
                </c:pt>
                <c:pt idx="66">
                  <c:v>2.3839900559179282E-3</c:v>
                </c:pt>
                <c:pt idx="67">
                  <c:v>2.5031895587138246E-3</c:v>
                </c:pt>
                <c:pt idx="68">
                  <c:v>2.6283490366495158E-3</c:v>
                </c:pt>
                <c:pt idx="69">
                  <c:v>2.7597664884819917E-3</c:v>
                </c:pt>
                <c:pt idx="70">
                  <c:v>2.8977548129060916E-3</c:v>
                </c:pt>
                <c:pt idx="71">
                  <c:v>3.0426425535513965E-3</c:v>
                </c:pt>
                <c:pt idx="72">
                  <c:v>3.1947746812289665E-3</c:v>
                </c:pt>
                <c:pt idx="73">
                  <c:v>3.3545134152904148E-3</c:v>
                </c:pt>
                <c:pt idx="74">
                  <c:v>3.5222390860549357E-3</c:v>
                </c:pt>
                <c:pt idx="75">
                  <c:v>3.6983510403576828E-3</c:v>
                </c:pt>
                <c:pt idx="76">
                  <c:v>3.8832685923755671E-3</c:v>
                </c:pt>
                <c:pt idx="77">
                  <c:v>4.0774320219943453E-3</c:v>
                </c:pt>
                <c:pt idx="78">
                  <c:v>4.2813036230940626E-3</c:v>
                </c:pt>
                <c:pt idx="79">
                  <c:v>4.4953688042487661E-3</c:v>
                </c:pt>
                <c:pt idx="80">
                  <c:v>4.7201372444612049E-3</c:v>
                </c:pt>
                <c:pt idx="81">
                  <c:v>4.9561441066842656E-3</c:v>
                </c:pt>
                <c:pt idx="82">
                  <c:v>5.2039513120184788E-3</c:v>
                </c:pt>
                <c:pt idx="83">
                  <c:v>5.4641488776194028E-3</c:v>
                </c:pt>
                <c:pt idx="84">
                  <c:v>5.7373563215003731E-3</c:v>
                </c:pt>
                <c:pt idx="85">
                  <c:v>6.0242241375753919E-3</c:v>
                </c:pt>
                <c:pt idx="86">
                  <c:v>6.3254353444541622E-3</c:v>
                </c:pt>
                <c:pt idx="87">
                  <c:v>6.6417071116768702E-3</c:v>
                </c:pt>
                <c:pt idx="88">
                  <c:v>6.973792467260714E-3</c:v>
                </c:pt>
                <c:pt idx="89">
                  <c:v>7.3224820906237498E-3</c:v>
                </c:pt>
                <c:pt idx="90">
                  <c:v>7.688606195154938E-3</c:v>
                </c:pt>
                <c:pt idx="91">
                  <c:v>8.073036504912685E-3</c:v>
                </c:pt>
                <c:pt idx="92">
                  <c:v>8.4766883301583204E-3</c:v>
                </c:pt>
                <c:pt idx="93">
                  <c:v>8.9005227466662368E-3</c:v>
                </c:pt>
                <c:pt idx="94">
                  <c:v>9.3455488839995493E-3</c:v>
                </c:pt>
                <c:pt idx="95">
                  <c:v>9.8128263281995268E-3</c:v>
                </c:pt>
                <c:pt idx="96">
                  <c:v>1.0303467644609503E-2</c:v>
                </c:pt>
                <c:pt idx="97">
                  <c:v>1.0818641026839979E-2</c:v>
                </c:pt>
                <c:pt idx="98">
                  <c:v>1.1359573078181978E-2</c:v>
                </c:pt>
                <c:pt idx="99">
                  <c:v>1.1927551732091077E-2</c:v>
                </c:pt>
                <c:pt idx="100">
                  <c:v>1.2523929318695632E-2</c:v>
                </c:pt>
                <c:pt idx="101">
                  <c:v>1.3150125784630415E-2</c:v>
                </c:pt>
                <c:pt idx="102">
                  <c:v>1.3807632073861936E-2</c:v>
                </c:pt>
                <c:pt idx="103">
                  <c:v>1.4498013677555033E-2</c:v>
                </c:pt>
                <c:pt idx="104">
                  <c:v>1.4498013677555035E-3</c:v>
                </c:pt>
                <c:pt idx="105">
                  <c:v>1.5222914361432787E-3</c:v>
                </c:pt>
                <c:pt idx="106">
                  <c:v>1.5984060079504427E-3</c:v>
                </c:pt>
                <c:pt idx="107">
                  <c:v>1.6783263083479649E-3</c:v>
                </c:pt>
                <c:pt idx="108">
                  <c:v>1.7622426237653632E-3</c:v>
                </c:pt>
                <c:pt idx="109">
                  <c:v>1.8503547549536313E-3</c:v>
                </c:pt>
                <c:pt idx="110">
                  <c:v>1.9428724927013129E-3</c:v>
                </c:pt>
                <c:pt idx="111">
                  <c:v>2.0400161173363784E-3</c:v>
                </c:pt>
                <c:pt idx="112">
                  <c:v>2.1420169232031975E-3</c:v>
                </c:pt>
                <c:pt idx="113">
                  <c:v>2.2491177693633574E-3</c:v>
                </c:pt>
                <c:pt idx="114">
                  <c:v>2.3615736578315254E-3</c:v>
                </c:pt>
                <c:pt idx="115">
                  <c:v>2.4796523407231018E-3</c:v>
                </c:pt>
                <c:pt idx="116">
                  <c:v>2.603634957759257E-3</c:v>
                </c:pt>
                <c:pt idx="117">
                  <c:v>2.7338167056472199E-3</c:v>
                </c:pt>
                <c:pt idx="118">
                  <c:v>2.8705075409295811E-3</c:v>
                </c:pt>
                <c:pt idx="119">
                  <c:v>3.0140329179760604E-3</c:v>
                </c:pt>
                <c:pt idx="120">
                  <c:v>3.1647345638748637E-3</c:v>
                </c:pt>
                <c:pt idx="121">
                  <c:v>3.3229712920686068E-3</c:v>
                </c:pt>
                <c:pt idx="122">
                  <c:v>3.4891198566720373E-3</c:v>
                </c:pt>
                <c:pt idx="123">
                  <c:v>3.6635758495056395E-3</c:v>
                </c:pt>
                <c:pt idx="124">
                  <c:v>3.8467546419809215E-3</c:v>
                </c:pt>
                <c:pt idx="125">
                  <c:v>4.0390923740799677E-3</c:v>
                </c:pt>
                <c:pt idx="126">
                  <c:v>4.2410469927839662E-3</c:v>
                </c:pt>
                <c:pt idx="127">
                  <c:v>4.4530993424231648E-3</c:v>
                </c:pt>
                <c:pt idx="128">
                  <c:v>4.6757543095443232E-3</c:v>
                </c:pt>
                <c:pt idx="129">
                  <c:v>4.9095420250215398E-3</c:v>
                </c:pt>
                <c:pt idx="130">
                  <c:v>5.1550191262726168E-3</c:v>
                </c:pt>
                <c:pt idx="131">
                  <c:v>5.4127700825862476E-3</c:v>
                </c:pt>
                <c:pt idx="132">
                  <c:v>5.6834085867155599E-3</c:v>
                </c:pt>
                <c:pt idx="133">
                  <c:v>5.967579016051338E-3</c:v>
                </c:pt>
                <c:pt idx="134">
                  <c:v>6.265957966853905E-3</c:v>
                </c:pt>
                <c:pt idx="135">
                  <c:v>6.579255865196601E-3</c:v>
                </c:pt>
                <c:pt idx="136">
                  <c:v>6.9082186584564316E-3</c:v>
                </c:pt>
                <c:pt idx="137">
                  <c:v>7.2536295913792539E-3</c:v>
                </c:pt>
                <c:pt idx="138">
                  <c:v>7.6163110709482167E-3</c:v>
                </c:pt>
                <c:pt idx="139">
                  <c:v>7.9971266244956273E-3</c:v>
                </c:pt>
                <c:pt idx="140">
                  <c:v>8.3969829557204098E-3</c:v>
                </c:pt>
                <c:pt idx="141">
                  <c:v>8.816832103506431E-3</c:v>
                </c:pt>
                <c:pt idx="142">
                  <c:v>9.2576737086817532E-3</c:v>
                </c:pt>
                <c:pt idx="143">
                  <c:v>9.7205573941158419E-3</c:v>
                </c:pt>
                <c:pt idx="144">
                  <c:v>1.0206585263821634E-2</c:v>
                </c:pt>
                <c:pt idx="145">
                  <c:v>1.0716914527012716E-2</c:v>
                </c:pt>
                <c:pt idx="146">
                  <c:v>1.1252760253363352E-2</c:v>
                </c:pt>
                <c:pt idx="147">
                  <c:v>1.1815398266031519E-2</c:v>
                </c:pt>
                <c:pt idx="148">
                  <c:v>1.2406168179333096E-2</c:v>
                </c:pt>
                <c:pt idx="149">
                  <c:v>1.2406168179333096E-3</c:v>
                </c:pt>
                <c:pt idx="150">
                  <c:v>1.302647658829975E-3</c:v>
                </c:pt>
                <c:pt idx="151">
                  <c:v>1.3677800417714739E-3</c:v>
                </c:pt>
                <c:pt idx="152">
                  <c:v>1.4361690438600477E-3</c:v>
                </c:pt>
                <c:pt idx="153">
                  <c:v>1.5079774960530502E-3</c:v>
                </c:pt>
                <c:pt idx="154">
                  <c:v>1.5833763708557028E-3</c:v>
                </c:pt>
                <c:pt idx="155">
                  <c:v>1.6625451893984879E-3</c:v>
                </c:pt>
                <c:pt idx="156">
                  <c:v>1.7456724488684123E-3</c:v>
                </c:pt>
                <c:pt idx="157">
                  <c:v>1.8329560713118329E-3</c:v>
                </c:pt>
                <c:pt idx="158">
                  <c:v>1.9246038748774246E-3</c:v>
                </c:pt>
                <c:pt idx="159">
                  <c:v>2.0208340686212961E-3</c:v>
                </c:pt>
                <c:pt idx="160">
                  <c:v>2.1218757720523609E-3</c:v>
                </c:pt>
                <c:pt idx="161">
                  <c:v>2.2279695606549793E-3</c:v>
                </c:pt>
                <c:pt idx="162">
                  <c:v>2.3393680386877285E-3</c:v>
                </c:pt>
                <c:pt idx="163">
                  <c:v>2.4563364406221151E-3</c:v>
                </c:pt>
                <c:pt idx="164">
                  <c:v>2.579153262653221E-3</c:v>
                </c:pt>
                <c:pt idx="165">
                  <c:v>2.7081109257858821E-3</c:v>
                </c:pt>
                <c:pt idx="166">
                  <c:v>2.8435164720751762E-3</c:v>
                </c:pt>
                <c:pt idx="167">
                  <c:v>2.9856922956789352E-3</c:v>
                </c:pt>
                <c:pt idx="168">
                  <c:v>3.134976910462882E-3</c:v>
                </c:pt>
                <c:pt idx="169">
                  <c:v>3.2917257559860261E-3</c:v>
                </c:pt>
                <c:pt idx="170">
                  <c:v>3.4563120437853274E-3</c:v>
                </c:pt>
                <c:pt idx="171">
                  <c:v>3.6291276459745939E-3</c:v>
                </c:pt>
                <c:pt idx="172">
                  <c:v>3.8105840282733239E-3</c:v>
                </c:pt>
                <c:pt idx="173">
                  <c:v>4.0011132296869905E-3</c:v>
                </c:pt>
                <c:pt idx="174">
                  <c:v>4.2011688911713406E-3</c:v>
                </c:pt>
                <c:pt idx="175">
                  <c:v>4.4112273357299076E-3</c:v>
                </c:pt>
                <c:pt idx="176">
                  <c:v>4.6317887025164031E-3</c:v>
                </c:pt>
                <c:pt idx="177">
                  <c:v>4.8633781376422238E-3</c:v>
                </c:pt>
                <c:pt idx="178">
                  <c:v>5.1065470445243351E-3</c:v>
                </c:pt>
                <c:pt idx="179">
                  <c:v>5.3618743967505517E-3</c:v>
                </c:pt>
                <c:pt idx="180">
                  <c:v>5.6299681165880794E-3</c:v>
                </c:pt>
                <c:pt idx="181">
                  <c:v>5.911466522417484E-3</c:v>
                </c:pt>
                <c:pt idx="182">
                  <c:v>6.2070398485383586E-3</c:v>
                </c:pt>
                <c:pt idx="183">
                  <c:v>6.5173918409652766E-3</c:v>
                </c:pt>
                <c:pt idx="184">
                  <c:v>6.8432614330135406E-3</c:v>
                </c:pt>
                <c:pt idx="185">
                  <c:v>7.1854245046642177E-3</c:v>
                </c:pt>
                <c:pt idx="186">
                  <c:v>7.5446957298974287E-3</c:v>
                </c:pt>
                <c:pt idx="187">
                  <c:v>7.9219305163923011E-3</c:v>
                </c:pt>
                <c:pt idx="188">
                  <c:v>8.3180270422119167E-3</c:v>
                </c:pt>
                <c:pt idx="189">
                  <c:v>8.7339283943225123E-3</c:v>
                </c:pt>
                <c:pt idx="190">
                  <c:v>9.1706248140386391E-3</c:v>
                </c:pt>
                <c:pt idx="191">
                  <c:v>9.6291560547405713E-3</c:v>
                </c:pt>
                <c:pt idx="192">
                  <c:v>1.01106138574776E-2</c:v>
                </c:pt>
                <c:pt idx="193">
                  <c:v>1.0616144550351481E-2</c:v>
                </c:pt>
                <c:pt idx="194">
                  <c:v>1.1146951777869054E-2</c:v>
                </c:pt>
                <c:pt idx="195">
                  <c:v>1.1704299366762507E-2</c:v>
                </c:pt>
                <c:pt idx="196">
                  <c:v>1.2289514335100633E-2</c:v>
                </c:pt>
                <c:pt idx="197">
                  <c:v>1.2903990051855664E-2</c:v>
                </c:pt>
                <c:pt idx="198">
                  <c:v>1.3549189554448449E-2</c:v>
                </c:pt>
                <c:pt idx="199">
                  <c:v>1.4226649032170871E-2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8-4D08-B429-E7E33464DCA1}"/>
            </c:ext>
          </c:extLst>
        </c:ser>
        <c:ser>
          <c:idx val="1"/>
          <c:order val="1"/>
          <c:tx>
            <c:strRef>
              <c:f>Iris!$O$1</c:f>
              <c:strCache>
                <c:ptCount val="1"/>
                <c:pt idx="0">
                  <c:v>RMS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Iris!$Q$2:$Q$501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4.7649414686036133E-3</c:v>
                </c:pt>
                <c:pt idx="33">
                  <c:v>5.0031885420337941E-3</c:v>
                </c:pt>
                <c:pt idx="34">
                  <c:v>5.2533479691354839E-3</c:v>
                </c:pt>
                <c:pt idx="35">
                  <c:v>5.5160153675922587E-3</c:v>
                </c:pt>
                <c:pt idx="36">
                  <c:v>5.7918161359718718E-3</c:v>
                </c:pt>
                <c:pt idx="37">
                  <c:v>6.081406942770466E-3</c:v>
                </c:pt>
                <c:pt idx="38">
                  <c:v>6.3854772899089897E-3</c:v>
                </c:pt>
                <c:pt idx="39">
                  <c:v>6.7047511544044399E-3</c:v>
                </c:pt>
                <c:pt idx="40">
                  <c:v>7.0399887121246618E-3</c:v>
                </c:pt>
                <c:pt idx="41">
                  <c:v>7.3919881477308956E-3</c:v>
                </c:pt>
                <c:pt idx="42">
                  <c:v>7.7615875551174411E-3</c:v>
                </c:pt>
                <c:pt idx="43">
                  <c:v>8.1496669328733132E-3</c:v>
                </c:pt>
                <c:pt idx="44">
                  <c:v>8.5571502795169785E-3</c:v>
                </c:pt>
                <c:pt idx="45">
                  <c:v>8.9850077934928285E-3</c:v>
                </c:pt>
                <c:pt idx="46">
                  <c:v>9.43425818316747E-3</c:v>
                </c:pt>
                <c:pt idx="47">
                  <c:v>9.9059710923258444E-3</c:v>
                </c:pt>
                <c:pt idx="48">
                  <c:v>1.0401269646942136E-2</c:v>
                </c:pt>
                <c:pt idx="49">
                  <c:v>1.0921333129289244E-2</c:v>
                </c:pt>
                <c:pt idx="50">
                  <c:v>1.1467399785753707E-2</c:v>
                </c:pt>
                <c:pt idx="51">
                  <c:v>1.1467399785753706E-3</c:v>
                </c:pt>
                <c:pt idx="52">
                  <c:v>1.2040769775041392E-3</c:v>
                </c:pt>
                <c:pt idx="53">
                  <c:v>1.2642808263793463E-3</c:v>
                </c:pt>
                <c:pt idx="54">
                  <c:v>1.3274948676983136E-3</c:v>
                </c:pt>
                <c:pt idx="55">
                  <c:v>1.3938696110832294E-3</c:v>
                </c:pt>
                <c:pt idx="56">
                  <c:v>1.463563091637391E-3</c:v>
                </c:pt>
                <c:pt idx="57">
                  <c:v>1.5367412462192606E-3</c:v>
                </c:pt>
                <c:pt idx="58">
                  <c:v>1.6135783085302238E-3</c:v>
                </c:pt>
                <c:pt idx="59">
                  <c:v>1.6942572239567351E-3</c:v>
                </c:pt>
                <c:pt idx="60">
                  <c:v>1.7789700851545719E-3</c:v>
                </c:pt>
                <c:pt idx="61">
                  <c:v>1.8679185894123005E-3</c:v>
                </c:pt>
                <c:pt idx="62">
                  <c:v>1.9613145188829158E-3</c:v>
                </c:pt>
                <c:pt idx="63">
                  <c:v>2.0593802448270618E-3</c:v>
                </c:pt>
                <c:pt idx="64">
                  <c:v>2.1623492570684152E-3</c:v>
                </c:pt>
                <c:pt idx="65">
                  <c:v>2.2704667199218362E-3</c:v>
                </c:pt>
                <c:pt idx="66">
                  <c:v>2.3839900559179282E-3</c:v>
                </c:pt>
                <c:pt idx="67">
                  <c:v>2.5031895587138246E-3</c:v>
                </c:pt>
                <c:pt idx="68">
                  <c:v>2.6283490366495158E-3</c:v>
                </c:pt>
                <c:pt idx="69">
                  <c:v>2.7597664884819917E-3</c:v>
                </c:pt>
                <c:pt idx="70">
                  <c:v>2.8977548129060916E-3</c:v>
                </c:pt>
                <c:pt idx="71">
                  <c:v>3.0426425535513965E-3</c:v>
                </c:pt>
                <c:pt idx="72">
                  <c:v>3.0426425535513965E-4</c:v>
                </c:pt>
                <c:pt idx="73">
                  <c:v>3.1947746812289665E-4</c:v>
                </c:pt>
                <c:pt idx="74">
                  <c:v>3.354513415290415E-4</c:v>
                </c:pt>
                <c:pt idx="75">
                  <c:v>3.5222390860549361E-4</c:v>
                </c:pt>
                <c:pt idx="76">
                  <c:v>3.6983510403576828E-4</c:v>
                </c:pt>
                <c:pt idx="77">
                  <c:v>3.8832685923755674E-4</c:v>
                </c:pt>
                <c:pt idx="78">
                  <c:v>4.0774320219943457E-4</c:v>
                </c:pt>
                <c:pt idx="79">
                  <c:v>4.2813036230940631E-4</c:v>
                </c:pt>
                <c:pt idx="80">
                  <c:v>4.4953688042487667E-4</c:v>
                </c:pt>
                <c:pt idx="81">
                  <c:v>4.7201372444612052E-4</c:v>
                </c:pt>
                <c:pt idx="82">
                  <c:v>4.9561441066842658E-4</c:v>
                </c:pt>
                <c:pt idx="83">
                  <c:v>5.2039513120184788E-4</c:v>
                </c:pt>
                <c:pt idx="84">
                  <c:v>5.464148877619403E-4</c:v>
                </c:pt>
                <c:pt idx="85">
                  <c:v>5.7373563215003731E-4</c:v>
                </c:pt>
                <c:pt idx="86">
                  <c:v>6.0242241375753922E-4</c:v>
                </c:pt>
                <c:pt idx="87">
                  <c:v>6.3254353444541615E-4</c:v>
                </c:pt>
                <c:pt idx="88">
                  <c:v>6.6417071116768697E-4</c:v>
                </c:pt>
                <c:pt idx="89">
                  <c:v>6.9737924672607136E-4</c:v>
                </c:pt>
                <c:pt idx="90">
                  <c:v>7.3224820906237496E-4</c:v>
                </c:pt>
                <c:pt idx="91">
                  <c:v>7.6886061951549371E-4</c:v>
                </c:pt>
                <c:pt idx="92">
                  <c:v>8.0730365049126848E-4</c:v>
                </c:pt>
                <c:pt idx="93">
                  <c:v>8.4766883301583198E-4</c:v>
                </c:pt>
                <c:pt idx="94">
                  <c:v>8.9005227466662366E-4</c:v>
                </c:pt>
                <c:pt idx="95">
                  <c:v>9.3455488839995493E-4</c:v>
                </c:pt>
                <c:pt idx="96">
                  <c:v>9.8128263281995268E-4</c:v>
                </c:pt>
                <c:pt idx="97">
                  <c:v>1.0303467644609504E-3</c:v>
                </c:pt>
                <c:pt idx="98">
                  <c:v>1.0818641026839979E-3</c:v>
                </c:pt>
                <c:pt idx="99">
                  <c:v>1.1359573078181977E-3</c:v>
                </c:pt>
                <c:pt idx="100">
                  <c:v>1.1927551732091076E-3</c:v>
                </c:pt>
                <c:pt idx="101">
                  <c:v>1.252392931869563E-3</c:v>
                </c:pt>
                <c:pt idx="102">
                  <c:v>1.3150125784630413E-3</c:v>
                </c:pt>
                <c:pt idx="103">
                  <c:v>1.3807632073861934E-3</c:v>
                </c:pt>
                <c:pt idx="104">
                  <c:v>1.449801367755503E-3</c:v>
                </c:pt>
                <c:pt idx="105">
                  <c:v>1.5222914361432782E-3</c:v>
                </c:pt>
                <c:pt idx="106">
                  <c:v>1.5984060079504423E-3</c:v>
                </c:pt>
                <c:pt idx="107">
                  <c:v>1.6783263083479645E-3</c:v>
                </c:pt>
                <c:pt idx="108">
                  <c:v>1.7622426237653627E-3</c:v>
                </c:pt>
                <c:pt idx="109">
                  <c:v>1.8503547549536309E-3</c:v>
                </c:pt>
                <c:pt idx="110">
                  <c:v>1.9428724927013125E-3</c:v>
                </c:pt>
                <c:pt idx="111">
                  <c:v>2.040016117336378E-3</c:v>
                </c:pt>
                <c:pt idx="112">
                  <c:v>2.1420169232031971E-3</c:v>
                </c:pt>
                <c:pt idx="113">
                  <c:v>2.249117769363357E-3</c:v>
                </c:pt>
                <c:pt idx="114">
                  <c:v>2.361573657831525E-3</c:v>
                </c:pt>
                <c:pt idx="115">
                  <c:v>2.3615736578315252E-4</c:v>
                </c:pt>
                <c:pt idx="116">
                  <c:v>2.4796523407231015E-4</c:v>
                </c:pt>
                <c:pt idx="117">
                  <c:v>2.6036349577592568E-4</c:v>
                </c:pt>
                <c:pt idx="118">
                  <c:v>2.7338167056472197E-4</c:v>
                </c:pt>
                <c:pt idx="119">
                  <c:v>2.8705075409295806E-4</c:v>
                </c:pt>
                <c:pt idx="120">
                  <c:v>3.0140329179760599E-4</c:v>
                </c:pt>
                <c:pt idx="121">
                  <c:v>3.1647345638748629E-4</c:v>
                </c:pt>
                <c:pt idx="122">
                  <c:v>3.322971292068606E-4</c:v>
                </c:pt>
                <c:pt idx="123">
                  <c:v>3.4891198566720365E-4</c:v>
                </c:pt>
                <c:pt idx="124">
                  <c:v>3.6635758495056383E-4</c:v>
                </c:pt>
                <c:pt idx="125">
                  <c:v>3.8467546419809203E-4</c:v>
                </c:pt>
                <c:pt idx="126">
                  <c:v>4.0390923740799668E-4</c:v>
                </c:pt>
                <c:pt idx="127">
                  <c:v>4.2410469927839654E-4</c:v>
                </c:pt>
                <c:pt idx="128">
                  <c:v>4.4530993424231639E-4</c:v>
                </c:pt>
                <c:pt idx="129">
                  <c:v>4.6757543095443221E-4</c:v>
                </c:pt>
                <c:pt idx="130">
                  <c:v>4.9095420250215387E-4</c:v>
                </c:pt>
                <c:pt idx="131">
                  <c:v>5.1550191262726155E-4</c:v>
                </c:pt>
                <c:pt idx="132">
                  <c:v>5.4127700825862463E-4</c:v>
                </c:pt>
                <c:pt idx="133">
                  <c:v>5.6834085867155592E-4</c:v>
                </c:pt>
                <c:pt idx="134">
                  <c:v>5.9675790160513371E-4</c:v>
                </c:pt>
                <c:pt idx="135">
                  <c:v>6.2659579668539037E-4</c:v>
                </c:pt>
                <c:pt idx="136">
                  <c:v>6.5792558651965995E-4</c:v>
                </c:pt>
                <c:pt idx="137">
                  <c:v>6.90821865845643E-4</c:v>
                </c:pt>
                <c:pt idx="138">
                  <c:v>7.2536295913792524E-4</c:v>
                </c:pt>
                <c:pt idx="139">
                  <c:v>7.6163110709482154E-4</c:v>
                </c:pt>
                <c:pt idx="140">
                  <c:v>7.997126624495626E-4</c:v>
                </c:pt>
                <c:pt idx="141">
                  <c:v>8.3969829557204074E-4</c:v>
                </c:pt>
                <c:pt idx="142">
                  <c:v>8.816832103506428E-4</c:v>
                </c:pt>
                <c:pt idx="143">
                  <c:v>9.2576737086817501E-4</c:v>
                </c:pt>
                <c:pt idx="144">
                  <c:v>9.7205573941158382E-4</c:v>
                </c:pt>
                <c:pt idx="145">
                  <c:v>1.0206585263821631E-3</c:v>
                </c:pt>
                <c:pt idx="146">
                  <c:v>1.0716914527012713E-3</c:v>
                </c:pt>
                <c:pt idx="147">
                  <c:v>1.125276025336335E-3</c:v>
                </c:pt>
                <c:pt idx="148">
                  <c:v>1.1815398266031517E-3</c:v>
                </c:pt>
                <c:pt idx="149">
                  <c:v>1.2406168179333093E-3</c:v>
                </c:pt>
                <c:pt idx="150">
                  <c:v>1.3026476588299748E-3</c:v>
                </c:pt>
                <c:pt idx="151">
                  <c:v>1.3677800417714737E-3</c:v>
                </c:pt>
                <c:pt idx="152">
                  <c:v>1.4361690438600475E-3</c:v>
                </c:pt>
                <c:pt idx="153">
                  <c:v>1.50797749605305E-3</c:v>
                </c:pt>
                <c:pt idx="154">
                  <c:v>1.5833763708557025E-3</c:v>
                </c:pt>
                <c:pt idx="155">
                  <c:v>1.6625451893984876E-3</c:v>
                </c:pt>
                <c:pt idx="156">
                  <c:v>1.745672448868412E-3</c:v>
                </c:pt>
                <c:pt idx="157">
                  <c:v>1.8329560713118327E-3</c:v>
                </c:pt>
                <c:pt idx="158">
                  <c:v>1.9246038748774244E-3</c:v>
                </c:pt>
                <c:pt idx="159">
                  <c:v>2.0208340686212957E-3</c:v>
                </c:pt>
                <c:pt idx="160">
                  <c:v>2.1218757720523605E-3</c:v>
                </c:pt>
                <c:pt idx="161">
                  <c:v>2.2279695606549784E-3</c:v>
                </c:pt>
                <c:pt idx="162">
                  <c:v>2.3393680386877276E-3</c:v>
                </c:pt>
                <c:pt idx="163">
                  <c:v>2.4563364406221143E-3</c:v>
                </c:pt>
                <c:pt idx="164">
                  <c:v>2.4563364406221143E-4</c:v>
                </c:pt>
                <c:pt idx="165">
                  <c:v>2.57915326265322E-4</c:v>
                </c:pt>
                <c:pt idx="166">
                  <c:v>2.7081109257858811E-4</c:v>
                </c:pt>
                <c:pt idx="167">
                  <c:v>2.8435164720751752E-4</c:v>
                </c:pt>
                <c:pt idx="168">
                  <c:v>2.9856922956789339E-4</c:v>
                </c:pt>
                <c:pt idx="169">
                  <c:v>3.1349769104628805E-4</c:v>
                </c:pt>
                <c:pt idx="170">
                  <c:v>3.2917257559860244E-4</c:v>
                </c:pt>
                <c:pt idx="171">
                  <c:v>3.456312043785326E-4</c:v>
                </c:pt>
                <c:pt idx="172">
                  <c:v>3.6291276459745925E-4</c:v>
                </c:pt>
                <c:pt idx="173">
                  <c:v>3.8105840282733224E-4</c:v>
                </c:pt>
                <c:pt idx="174">
                  <c:v>4.0011132296869885E-4</c:v>
                </c:pt>
                <c:pt idx="175">
                  <c:v>4.2011688911713381E-4</c:v>
                </c:pt>
                <c:pt idx="176">
                  <c:v>4.411227335729905E-4</c:v>
                </c:pt>
                <c:pt idx="177">
                  <c:v>4.6317887025164003E-4</c:v>
                </c:pt>
                <c:pt idx="178">
                  <c:v>4.8633781376422207E-4</c:v>
                </c:pt>
                <c:pt idx="179">
                  <c:v>5.1065470445243316E-4</c:v>
                </c:pt>
                <c:pt idx="180">
                  <c:v>5.3618743967505486E-4</c:v>
                </c:pt>
                <c:pt idx="181">
                  <c:v>5.6299681165880762E-4</c:v>
                </c:pt>
                <c:pt idx="182">
                  <c:v>5.9114665224174799E-4</c:v>
                </c:pt>
                <c:pt idx="183">
                  <c:v>6.2070398485383543E-4</c:v>
                </c:pt>
                <c:pt idx="184">
                  <c:v>6.5173918409652722E-4</c:v>
                </c:pt>
                <c:pt idx="185">
                  <c:v>6.8432614330135361E-4</c:v>
                </c:pt>
                <c:pt idx="186">
                  <c:v>7.1854245046642129E-4</c:v>
                </c:pt>
                <c:pt idx="187">
                  <c:v>7.5446957298974237E-4</c:v>
                </c:pt>
                <c:pt idx="188">
                  <c:v>7.9219305163922952E-4</c:v>
                </c:pt>
                <c:pt idx="189">
                  <c:v>8.3180270422119099E-4</c:v>
                </c:pt>
                <c:pt idx="190">
                  <c:v>8.7339283943225056E-4</c:v>
                </c:pt>
                <c:pt idx="191">
                  <c:v>9.1706248140386313E-4</c:v>
                </c:pt>
                <c:pt idx="192">
                  <c:v>9.6291560547405637E-4</c:v>
                </c:pt>
                <c:pt idx="193">
                  <c:v>1.0110613857477592E-3</c:v>
                </c:pt>
                <c:pt idx="194">
                  <c:v>1.0616144550351472E-3</c:v>
                </c:pt>
                <c:pt idx="195">
                  <c:v>1.1146951777869045E-3</c:v>
                </c:pt>
                <c:pt idx="196">
                  <c:v>1.1704299366762498E-3</c:v>
                </c:pt>
                <c:pt idx="197">
                  <c:v>1.2289514335100623E-3</c:v>
                </c:pt>
                <c:pt idx="198">
                  <c:v>1.2903990051855655E-3</c:v>
                </c:pt>
                <c:pt idx="199">
                  <c:v>1.3549189554448438E-3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8-4D08-B429-E7E33464DCA1}"/>
            </c:ext>
          </c:extLst>
        </c:ser>
        <c:ser>
          <c:idx val="2"/>
          <c:order val="2"/>
          <c:tx>
            <c:strRef>
              <c:f>Iris!$R$1</c:f>
              <c:strCache>
                <c:ptCount val="1"/>
                <c:pt idx="0">
                  <c:v>ADAM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Iris!$L$2:$L$501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Iris!$T$2:$T$501</c:f>
              <c:numCache>
                <c:formatCode>General</c:formatCode>
                <c:ptCount val="500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4.7649414686036133E-3</c:v>
                </c:pt>
                <c:pt idx="33">
                  <c:v>5.0031885420337941E-3</c:v>
                </c:pt>
                <c:pt idx="34">
                  <c:v>5.2533479691354839E-3</c:v>
                </c:pt>
                <c:pt idx="35">
                  <c:v>5.5160153675922587E-3</c:v>
                </c:pt>
                <c:pt idx="36">
                  <c:v>5.7918161359718718E-3</c:v>
                </c:pt>
                <c:pt idx="37">
                  <c:v>6.081406942770466E-3</c:v>
                </c:pt>
                <c:pt idx="38">
                  <c:v>6.3854772899089897E-3</c:v>
                </c:pt>
                <c:pt idx="39">
                  <c:v>6.7047511544044399E-3</c:v>
                </c:pt>
                <c:pt idx="40">
                  <c:v>7.0399887121246618E-3</c:v>
                </c:pt>
                <c:pt idx="41">
                  <c:v>7.3919881477308956E-3</c:v>
                </c:pt>
                <c:pt idx="42">
                  <c:v>7.7615875551174411E-3</c:v>
                </c:pt>
                <c:pt idx="43">
                  <c:v>8.1496669328733132E-3</c:v>
                </c:pt>
                <c:pt idx="44">
                  <c:v>8.5571502795169785E-3</c:v>
                </c:pt>
                <c:pt idx="45">
                  <c:v>8.9850077934928285E-3</c:v>
                </c:pt>
                <c:pt idx="46">
                  <c:v>9.43425818316747E-3</c:v>
                </c:pt>
                <c:pt idx="47">
                  <c:v>9.4342581831674706E-4</c:v>
                </c:pt>
                <c:pt idx="48">
                  <c:v>9.4342581831674717E-5</c:v>
                </c:pt>
                <c:pt idx="49">
                  <c:v>9.9059710923258456E-5</c:v>
                </c:pt>
                <c:pt idx="50">
                  <c:v>1.0401269646942138E-4</c:v>
                </c:pt>
                <c:pt idx="51">
                  <c:v>1.0921333129289245E-4</c:v>
                </c:pt>
                <c:pt idx="52">
                  <c:v>1.1467399785753708E-4</c:v>
                </c:pt>
                <c:pt idx="53">
                  <c:v>1.2040769775041394E-4</c:v>
                </c:pt>
                <c:pt idx="54">
                  <c:v>1.2642808263793465E-4</c:v>
                </c:pt>
                <c:pt idx="55">
                  <c:v>1.3274948676983138E-4</c:v>
                </c:pt>
                <c:pt idx="56">
                  <c:v>1.3938696110832294E-4</c:v>
                </c:pt>
                <c:pt idx="57">
                  <c:v>1.4635630916373909E-4</c:v>
                </c:pt>
                <c:pt idx="58">
                  <c:v>1.5367412462192605E-4</c:v>
                </c:pt>
                <c:pt idx="59">
                  <c:v>1.6135783085302236E-4</c:v>
                </c:pt>
                <c:pt idx="60">
                  <c:v>1.6942572239567348E-4</c:v>
                </c:pt>
                <c:pt idx="61">
                  <c:v>1.7789700851545716E-4</c:v>
                </c:pt>
                <c:pt idx="62">
                  <c:v>1.8679185894123003E-4</c:v>
                </c:pt>
                <c:pt idx="63">
                  <c:v>1.9613145188829154E-4</c:v>
                </c:pt>
                <c:pt idx="64">
                  <c:v>2.0593802448270614E-4</c:v>
                </c:pt>
                <c:pt idx="65">
                  <c:v>2.1623492570684147E-4</c:v>
                </c:pt>
                <c:pt idx="66">
                  <c:v>2.2704667199218356E-4</c:v>
                </c:pt>
                <c:pt idx="67">
                  <c:v>2.3839900559179274E-4</c:v>
                </c:pt>
                <c:pt idx="68">
                  <c:v>2.503189558713824E-4</c:v>
                </c:pt>
                <c:pt idx="69">
                  <c:v>2.6283490366495155E-4</c:v>
                </c:pt>
                <c:pt idx="70">
                  <c:v>2.7597664884819917E-4</c:v>
                </c:pt>
                <c:pt idx="71">
                  <c:v>2.8977548129060913E-4</c:v>
                </c:pt>
                <c:pt idx="72">
                  <c:v>3.0426425535513959E-4</c:v>
                </c:pt>
                <c:pt idx="73">
                  <c:v>3.194774681228966E-4</c:v>
                </c:pt>
                <c:pt idx="74">
                  <c:v>3.3545134152904144E-4</c:v>
                </c:pt>
                <c:pt idx="75">
                  <c:v>3.522239086054935E-4</c:v>
                </c:pt>
                <c:pt idx="76">
                  <c:v>3.6983510403576817E-4</c:v>
                </c:pt>
                <c:pt idx="77">
                  <c:v>3.8832685923755658E-4</c:v>
                </c:pt>
                <c:pt idx="78">
                  <c:v>4.077432021994344E-4</c:v>
                </c:pt>
                <c:pt idx="79">
                  <c:v>4.2813036230940615E-4</c:v>
                </c:pt>
                <c:pt idx="80">
                  <c:v>4.4953688042487645E-4</c:v>
                </c:pt>
                <c:pt idx="81">
                  <c:v>4.720137244461203E-4</c:v>
                </c:pt>
                <c:pt idx="82">
                  <c:v>4.9561441066842636E-4</c:v>
                </c:pt>
                <c:pt idx="83">
                  <c:v>5.2039513120184767E-4</c:v>
                </c:pt>
                <c:pt idx="84">
                  <c:v>5.4641488776194008E-4</c:v>
                </c:pt>
                <c:pt idx="85">
                  <c:v>5.7373563215003709E-4</c:v>
                </c:pt>
                <c:pt idx="86">
                  <c:v>6.02422413757539E-4</c:v>
                </c:pt>
                <c:pt idx="87">
                  <c:v>6.3254353444541593E-4</c:v>
                </c:pt>
                <c:pt idx="88">
                  <c:v>6.6417071116768676E-4</c:v>
                </c:pt>
                <c:pt idx="89">
                  <c:v>6.9737924672607114E-4</c:v>
                </c:pt>
                <c:pt idx="90">
                  <c:v>7.3224820906237474E-4</c:v>
                </c:pt>
                <c:pt idx="91">
                  <c:v>7.6886061951549349E-4</c:v>
                </c:pt>
                <c:pt idx="92">
                  <c:v>8.0730365049126816E-4</c:v>
                </c:pt>
                <c:pt idx="93">
                  <c:v>8.4766883301583165E-4</c:v>
                </c:pt>
                <c:pt idx="94">
                  <c:v>8.9005227466662322E-4</c:v>
                </c:pt>
                <c:pt idx="95">
                  <c:v>9.3455488839995439E-4</c:v>
                </c:pt>
                <c:pt idx="96">
                  <c:v>9.8128263281995224E-4</c:v>
                </c:pt>
                <c:pt idx="97">
                  <c:v>1.03034676446095E-3</c:v>
                </c:pt>
                <c:pt idx="98">
                  <c:v>1.0818641026839975E-3</c:v>
                </c:pt>
                <c:pt idx="99">
                  <c:v>1.1359573078181973E-3</c:v>
                </c:pt>
                <c:pt idx="100">
                  <c:v>1.1927551732091072E-3</c:v>
                </c:pt>
                <c:pt idx="101">
                  <c:v>1.2523929318695626E-3</c:v>
                </c:pt>
                <c:pt idx="102">
                  <c:v>1.3150125784630409E-3</c:v>
                </c:pt>
                <c:pt idx="103">
                  <c:v>1.380763207386193E-3</c:v>
                </c:pt>
                <c:pt idx="104">
                  <c:v>1.4498013677555026E-3</c:v>
                </c:pt>
                <c:pt idx="105">
                  <c:v>1.5222914361432778E-3</c:v>
                </c:pt>
                <c:pt idx="106">
                  <c:v>1.5984060079504417E-3</c:v>
                </c:pt>
                <c:pt idx="107">
                  <c:v>1.6783263083479639E-3</c:v>
                </c:pt>
                <c:pt idx="108">
                  <c:v>1.7622426237653621E-3</c:v>
                </c:pt>
                <c:pt idx="109">
                  <c:v>1.8503547549536302E-3</c:v>
                </c:pt>
                <c:pt idx="110">
                  <c:v>1.9428724927013118E-3</c:v>
                </c:pt>
                <c:pt idx="111">
                  <c:v>2.0400161173363776E-3</c:v>
                </c:pt>
                <c:pt idx="112">
                  <c:v>2.1420169232031967E-3</c:v>
                </c:pt>
                <c:pt idx="113">
                  <c:v>2.2491177693633566E-3</c:v>
                </c:pt>
                <c:pt idx="114">
                  <c:v>2.3615736578315246E-3</c:v>
                </c:pt>
                <c:pt idx="115">
                  <c:v>2.4796523407231009E-3</c:v>
                </c:pt>
                <c:pt idx="116">
                  <c:v>2.6036349577592561E-3</c:v>
                </c:pt>
                <c:pt idx="117">
                  <c:v>2.7338167056472191E-3</c:v>
                </c:pt>
                <c:pt idx="118">
                  <c:v>2.8705075409295802E-3</c:v>
                </c:pt>
                <c:pt idx="119">
                  <c:v>3.0140329179760591E-3</c:v>
                </c:pt>
                <c:pt idx="120">
                  <c:v>3.1647345638748624E-3</c:v>
                </c:pt>
                <c:pt idx="121">
                  <c:v>3.3229712920686055E-3</c:v>
                </c:pt>
                <c:pt idx="122">
                  <c:v>3.489119856672036E-3</c:v>
                </c:pt>
                <c:pt idx="123">
                  <c:v>3.6635758495056378E-3</c:v>
                </c:pt>
                <c:pt idx="124">
                  <c:v>3.8467546419809198E-3</c:v>
                </c:pt>
                <c:pt idx="125">
                  <c:v>4.039092374079966E-3</c:v>
                </c:pt>
                <c:pt idx="126">
                  <c:v>4.0390923740799662E-4</c:v>
                </c:pt>
                <c:pt idx="127">
                  <c:v>4.2410469927839649E-4</c:v>
                </c:pt>
                <c:pt idx="128">
                  <c:v>4.4530993424231634E-4</c:v>
                </c:pt>
                <c:pt idx="129">
                  <c:v>4.6757543095443216E-4</c:v>
                </c:pt>
                <c:pt idx="130">
                  <c:v>4.9095420250215376E-4</c:v>
                </c:pt>
                <c:pt idx="131">
                  <c:v>5.1550191262726144E-4</c:v>
                </c:pt>
                <c:pt idx="132">
                  <c:v>5.4127700825862453E-4</c:v>
                </c:pt>
                <c:pt idx="133">
                  <c:v>5.6834085867155581E-4</c:v>
                </c:pt>
                <c:pt idx="134">
                  <c:v>5.967579016051336E-4</c:v>
                </c:pt>
                <c:pt idx="135">
                  <c:v>6.2659579668539027E-4</c:v>
                </c:pt>
                <c:pt idx="136">
                  <c:v>6.5792558651965984E-4</c:v>
                </c:pt>
                <c:pt idx="137">
                  <c:v>6.908218658456429E-4</c:v>
                </c:pt>
                <c:pt idx="138">
                  <c:v>7.2536295913792502E-4</c:v>
                </c:pt>
                <c:pt idx="139">
                  <c:v>7.6163110709482132E-4</c:v>
                </c:pt>
                <c:pt idx="140">
                  <c:v>7.9971266244956239E-4</c:v>
                </c:pt>
                <c:pt idx="141">
                  <c:v>8.3969829557204053E-4</c:v>
                </c:pt>
                <c:pt idx="142">
                  <c:v>8.8168321035064258E-4</c:v>
                </c:pt>
                <c:pt idx="143">
                  <c:v>9.257673708681748E-4</c:v>
                </c:pt>
                <c:pt idx="144">
                  <c:v>9.720557394115836E-4</c:v>
                </c:pt>
                <c:pt idx="145">
                  <c:v>1.0206585263821629E-3</c:v>
                </c:pt>
                <c:pt idx="146">
                  <c:v>1.0716914527012711E-3</c:v>
                </c:pt>
                <c:pt idx="147">
                  <c:v>1.1252760253363347E-3</c:v>
                </c:pt>
                <c:pt idx="148">
                  <c:v>1.1815398266031515E-3</c:v>
                </c:pt>
                <c:pt idx="149">
                  <c:v>1.2406168179333091E-3</c:v>
                </c:pt>
                <c:pt idx="150">
                  <c:v>1.3026476588299746E-3</c:v>
                </c:pt>
                <c:pt idx="151">
                  <c:v>1.3677800417714733E-3</c:v>
                </c:pt>
                <c:pt idx="152">
                  <c:v>1.436169043860047E-3</c:v>
                </c:pt>
                <c:pt idx="153">
                  <c:v>1.5079774960530495E-3</c:v>
                </c:pt>
                <c:pt idx="154">
                  <c:v>1.5833763708557021E-3</c:v>
                </c:pt>
                <c:pt idx="155">
                  <c:v>1.6625451893984872E-3</c:v>
                </c:pt>
                <c:pt idx="156">
                  <c:v>1.7456724488684116E-3</c:v>
                </c:pt>
                <c:pt idx="157">
                  <c:v>1.8329560713118323E-3</c:v>
                </c:pt>
                <c:pt idx="158">
                  <c:v>1.924603874877424E-3</c:v>
                </c:pt>
                <c:pt idx="159">
                  <c:v>2.0208340686212953E-3</c:v>
                </c:pt>
                <c:pt idx="160">
                  <c:v>2.12187577205236E-3</c:v>
                </c:pt>
                <c:pt idx="161">
                  <c:v>2.227969560654978E-3</c:v>
                </c:pt>
                <c:pt idx="162">
                  <c:v>2.3393680386877272E-3</c:v>
                </c:pt>
                <c:pt idx="163">
                  <c:v>2.4563364406221138E-3</c:v>
                </c:pt>
                <c:pt idx="164">
                  <c:v>2.5791532626532197E-3</c:v>
                </c:pt>
                <c:pt idx="165">
                  <c:v>2.7081109257858808E-3</c:v>
                </c:pt>
                <c:pt idx="166">
                  <c:v>2.8435164720751749E-3</c:v>
                </c:pt>
                <c:pt idx="167">
                  <c:v>2.8435164720751752E-4</c:v>
                </c:pt>
                <c:pt idx="168">
                  <c:v>2.9856922956789339E-4</c:v>
                </c:pt>
                <c:pt idx="169">
                  <c:v>3.1349769104628805E-4</c:v>
                </c:pt>
                <c:pt idx="170">
                  <c:v>3.2917257559860244E-4</c:v>
                </c:pt>
                <c:pt idx="171">
                  <c:v>3.456312043785326E-4</c:v>
                </c:pt>
                <c:pt idx="172">
                  <c:v>3.6291276459745925E-4</c:v>
                </c:pt>
                <c:pt idx="173">
                  <c:v>3.8105840282733224E-4</c:v>
                </c:pt>
                <c:pt idx="174">
                  <c:v>4.0011132296869885E-4</c:v>
                </c:pt>
                <c:pt idx="175">
                  <c:v>4.2011688911713381E-4</c:v>
                </c:pt>
                <c:pt idx="176">
                  <c:v>4.411227335729905E-4</c:v>
                </c:pt>
                <c:pt idx="177">
                  <c:v>4.6317887025164003E-4</c:v>
                </c:pt>
                <c:pt idx="178">
                  <c:v>4.8633781376422207E-4</c:v>
                </c:pt>
                <c:pt idx="179">
                  <c:v>5.1065470445243316E-4</c:v>
                </c:pt>
                <c:pt idx="180">
                  <c:v>5.3618743967505486E-4</c:v>
                </c:pt>
                <c:pt idx="181">
                  <c:v>5.6299681165880762E-4</c:v>
                </c:pt>
                <c:pt idx="182">
                  <c:v>5.9114665224174799E-4</c:v>
                </c:pt>
                <c:pt idx="183">
                  <c:v>6.2070398485383543E-4</c:v>
                </c:pt>
                <c:pt idx="184">
                  <c:v>6.5173918409652722E-4</c:v>
                </c:pt>
                <c:pt idx="185">
                  <c:v>6.8432614330135361E-4</c:v>
                </c:pt>
                <c:pt idx="186">
                  <c:v>7.1854245046642129E-4</c:v>
                </c:pt>
                <c:pt idx="187">
                  <c:v>7.5446957298974237E-4</c:v>
                </c:pt>
                <c:pt idx="188">
                  <c:v>7.9219305163922952E-4</c:v>
                </c:pt>
                <c:pt idx="189">
                  <c:v>8.3180270422119099E-4</c:v>
                </c:pt>
                <c:pt idx="190">
                  <c:v>8.7339283943225056E-4</c:v>
                </c:pt>
                <c:pt idx="191">
                  <c:v>9.1706248140386313E-4</c:v>
                </c:pt>
                <c:pt idx="192">
                  <c:v>9.6291560547405637E-4</c:v>
                </c:pt>
                <c:pt idx="193">
                  <c:v>1.0110613857477592E-3</c:v>
                </c:pt>
                <c:pt idx="194">
                  <c:v>1.0616144550351472E-3</c:v>
                </c:pt>
                <c:pt idx="195">
                  <c:v>1.1146951777869045E-3</c:v>
                </c:pt>
                <c:pt idx="196">
                  <c:v>1.1704299366762498E-3</c:v>
                </c:pt>
                <c:pt idx="197">
                  <c:v>1.2289514335100623E-3</c:v>
                </c:pt>
                <c:pt idx="198">
                  <c:v>1.2903990051855655E-3</c:v>
                </c:pt>
                <c:pt idx="199">
                  <c:v>1.3549189554448438E-3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38-4D08-B429-E7E33464D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461935"/>
        <c:axId val="1714462415"/>
      </c:scatterChart>
      <c:valAx>
        <c:axId val="1714461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2415"/>
        <c:crosses val="autoZero"/>
        <c:crossBetween val="midCat"/>
      </c:valAx>
      <c:valAx>
        <c:axId val="171446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1714461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4095138888889"/>
          <c:y val="0.12341712962962968"/>
          <c:w val="0.47099351851851851"/>
          <c:h val="0.1011986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Iris!$AF$1</c:f>
              <c:strCache>
                <c:ptCount val="1"/>
                <c:pt idx="0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Iris!$AE$2:$AE$102</c:f>
              <c:numCache>
                <c:formatCode>General</c:formatCode>
                <c:ptCount val="101"/>
                <c:pt idx="0">
                  <c:v>0.35000000000000014</c:v>
                </c:pt>
                <c:pt idx="1">
                  <c:v>0.3000000000000001</c:v>
                </c:pt>
                <c:pt idx="2">
                  <c:v>0.34000000000000014</c:v>
                </c:pt>
                <c:pt idx="3">
                  <c:v>0.9200000000000006</c:v>
                </c:pt>
                <c:pt idx="4">
                  <c:v>0.99000000000000066</c:v>
                </c:pt>
                <c:pt idx="5">
                  <c:v>0.04</c:v>
                </c:pt>
                <c:pt idx="6">
                  <c:v>0.80000000000000049</c:v>
                </c:pt>
                <c:pt idx="7">
                  <c:v>0.75000000000000044</c:v>
                </c:pt>
                <c:pt idx="8">
                  <c:v>7.0000000000000007E-2</c:v>
                </c:pt>
                <c:pt idx="9">
                  <c:v>0.73000000000000043</c:v>
                </c:pt>
                <c:pt idx="10">
                  <c:v>0.82000000000000051</c:v>
                </c:pt>
                <c:pt idx="11">
                  <c:v>0.96000000000000063</c:v>
                </c:pt>
                <c:pt idx="12">
                  <c:v>0.19000000000000003</c:v>
                </c:pt>
                <c:pt idx="13">
                  <c:v>0.42000000000000021</c:v>
                </c:pt>
                <c:pt idx="14">
                  <c:v>0.33000000000000013</c:v>
                </c:pt>
                <c:pt idx="15">
                  <c:v>0.20000000000000004</c:v>
                </c:pt>
                <c:pt idx="16">
                  <c:v>0.89000000000000057</c:v>
                </c:pt>
                <c:pt idx="17">
                  <c:v>0.50000000000000022</c:v>
                </c:pt>
                <c:pt idx="18">
                  <c:v>0.78000000000000047</c:v>
                </c:pt>
                <c:pt idx="19">
                  <c:v>0.52000000000000024</c:v>
                </c:pt>
                <c:pt idx="20">
                  <c:v>0.36000000000000015</c:v>
                </c:pt>
                <c:pt idx="21">
                  <c:v>0.9300000000000006</c:v>
                </c:pt>
                <c:pt idx="22">
                  <c:v>0.58000000000000029</c:v>
                </c:pt>
                <c:pt idx="23">
                  <c:v>9.9999999999999992E-2</c:v>
                </c:pt>
                <c:pt idx="24">
                  <c:v>0.71000000000000041</c:v>
                </c:pt>
                <c:pt idx="25">
                  <c:v>0.16</c:v>
                </c:pt>
                <c:pt idx="26">
                  <c:v>0.40000000000000019</c:v>
                </c:pt>
                <c:pt idx="27">
                  <c:v>0.44000000000000022</c:v>
                </c:pt>
                <c:pt idx="28">
                  <c:v>0.43000000000000022</c:v>
                </c:pt>
                <c:pt idx="29">
                  <c:v>0.49000000000000027</c:v>
                </c:pt>
                <c:pt idx="30">
                  <c:v>0.28000000000000008</c:v>
                </c:pt>
                <c:pt idx="31">
                  <c:v>0.23000000000000007</c:v>
                </c:pt>
                <c:pt idx="32">
                  <c:v>0.18000000000000002</c:v>
                </c:pt>
                <c:pt idx="33">
                  <c:v>0.76000000000000045</c:v>
                </c:pt>
                <c:pt idx="34">
                  <c:v>0.13999999999999999</c:v>
                </c:pt>
                <c:pt idx="35">
                  <c:v>0.38000000000000017</c:v>
                </c:pt>
                <c:pt idx="36">
                  <c:v>0.87000000000000055</c:v>
                </c:pt>
                <c:pt idx="37">
                  <c:v>0.90000000000000058</c:v>
                </c:pt>
                <c:pt idx="38">
                  <c:v>0.86000000000000054</c:v>
                </c:pt>
                <c:pt idx="39">
                  <c:v>0.46000000000000024</c:v>
                </c:pt>
                <c:pt idx="40">
                  <c:v>0.62000000000000033</c:v>
                </c:pt>
                <c:pt idx="41">
                  <c:v>0.27000000000000007</c:v>
                </c:pt>
                <c:pt idx="42">
                  <c:v>0.31000000000000011</c:v>
                </c:pt>
                <c:pt idx="43">
                  <c:v>0.32000000000000012</c:v>
                </c:pt>
                <c:pt idx="44">
                  <c:v>0.21000000000000005</c:v>
                </c:pt>
                <c:pt idx="45">
                  <c:v>0.10999999999999999</c:v>
                </c:pt>
                <c:pt idx="46">
                  <c:v>0.55000000000000027</c:v>
                </c:pt>
                <c:pt idx="47">
                  <c:v>0.47000000000000025</c:v>
                </c:pt>
                <c:pt idx="48">
                  <c:v>0.39000000000000018</c:v>
                </c:pt>
                <c:pt idx="49">
                  <c:v>0.26000000000000006</c:v>
                </c:pt>
                <c:pt idx="50">
                  <c:v>0.51000000000000023</c:v>
                </c:pt>
                <c:pt idx="51">
                  <c:v>0.11999999999999998</c:v>
                </c:pt>
                <c:pt idx="52">
                  <c:v>0.53000000000000025</c:v>
                </c:pt>
                <c:pt idx="53">
                  <c:v>0.83000000000000052</c:v>
                </c:pt>
                <c:pt idx="54">
                  <c:v>0.7000000000000004</c:v>
                </c:pt>
                <c:pt idx="55">
                  <c:v>0.56000000000000028</c:v>
                </c:pt>
                <c:pt idx="56">
                  <c:v>0.69000000000000039</c:v>
                </c:pt>
                <c:pt idx="57">
                  <c:v>0.91000000000000059</c:v>
                </c:pt>
                <c:pt idx="58">
                  <c:v>0.17</c:v>
                </c:pt>
                <c:pt idx="59">
                  <c:v>0.12999999999999998</c:v>
                </c:pt>
                <c:pt idx="60">
                  <c:v>0.72000000000000042</c:v>
                </c:pt>
                <c:pt idx="61">
                  <c:v>0.08</c:v>
                </c:pt>
                <c:pt idx="62">
                  <c:v>0.74000000000000044</c:v>
                </c:pt>
                <c:pt idx="63">
                  <c:v>0.98000000000000065</c:v>
                </c:pt>
                <c:pt idx="64">
                  <c:v>0.03</c:v>
                </c:pt>
                <c:pt idx="65">
                  <c:v>0.5900000000000003</c:v>
                </c:pt>
                <c:pt idx="66">
                  <c:v>0.45000000000000023</c:v>
                </c:pt>
                <c:pt idx="67">
                  <c:v>0.48000000000000026</c:v>
                </c:pt>
                <c:pt idx="68">
                  <c:v>0.67000000000000037</c:v>
                </c:pt>
                <c:pt idx="69">
                  <c:v>0.94000000000000061</c:v>
                </c:pt>
                <c:pt idx="70">
                  <c:v>0.02</c:v>
                </c:pt>
                <c:pt idx="71">
                  <c:v>6.0000000000000005E-2</c:v>
                </c:pt>
                <c:pt idx="72">
                  <c:v>0.57000000000000028</c:v>
                </c:pt>
                <c:pt idx="73">
                  <c:v>0.63000000000000034</c:v>
                </c:pt>
                <c:pt idx="74">
                  <c:v>0.61000000000000032</c:v>
                </c:pt>
                <c:pt idx="75">
                  <c:v>0</c:v>
                </c:pt>
                <c:pt idx="76">
                  <c:v>0.15</c:v>
                </c:pt>
                <c:pt idx="77">
                  <c:v>1.0000000000000007</c:v>
                </c:pt>
                <c:pt idx="78">
                  <c:v>0.37000000000000016</c:v>
                </c:pt>
                <c:pt idx="79">
                  <c:v>0.4100000000000002</c:v>
                </c:pt>
                <c:pt idx="80">
                  <c:v>0.22000000000000006</c:v>
                </c:pt>
                <c:pt idx="81">
                  <c:v>0.84000000000000052</c:v>
                </c:pt>
                <c:pt idx="82">
                  <c:v>0.66000000000000036</c:v>
                </c:pt>
                <c:pt idx="83">
                  <c:v>0.29000000000000009</c:v>
                </c:pt>
                <c:pt idx="84">
                  <c:v>0.77000000000000046</c:v>
                </c:pt>
                <c:pt idx="85">
                  <c:v>0.54000000000000026</c:v>
                </c:pt>
                <c:pt idx="86">
                  <c:v>0.95000000000000062</c:v>
                </c:pt>
                <c:pt idx="87">
                  <c:v>0.68000000000000038</c:v>
                </c:pt>
                <c:pt idx="88">
                  <c:v>0.79000000000000048</c:v>
                </c:pt>
                <c:pt idx="89">
                  <c:v>0.65000000000000036</c:v>
                </c:pt>
                <c:pt idx="90">
                  <c:v>0.09</c:v>
                </c:pt>
                <c:pt idx="91">
                  <c:v>0.24000000000000007</c:v>
                </c:pt>
                <c:pt idx="92">
                  <c:v>0.64000000000000035</c:v>
                </c:pt>
                <c:pt idx="93">
                  <c:v>0.97000000000000064</c:v>
                </c:pt>
                <c:pt idx="94">
                  <c:v>0.8100000000000005</c:v>
                </c:pt>
                <c:pt idx="95">
                  <c:v>0.60000000000000031</c:v>
                </c:pt>
                <c:pt idx="96">
                  <c:v>0.88000000000000056</c:v>
                </c:pt>
                <c:pt idx="97">
                  <c:v>0.01</c:v>
                </c:pt>
                <c:pt idx="98">
                  <c:v>0.05</c:v>
                </c:pt>
                <c:pt idx="99">
                  <c:v>0.25000000000000006</c:v>
                </c:pt>
                <c:pt idx="100">
                  <c:v>0.85000000000000053</c:v>
                </c:pt>
              </c:numCache>
            </c:numRef>
          </c:xVal>
          <c:yVal>
            <c:numRef>
              <c:f>Iris!$AF$2:$AF$102</c:f>
              <c:numCache>
                <c:formatCode>General</c:formatCode>
                <c:ptCount val="101"/>
                <c:pt idx="0">
                  <c:v>-1.5544548452760956</c:v>
                </c:pt>
                <c:pt idx="1">
                  <c:v>-0.61591384657191028</c:v>
                </c:pt>
                <c:pt idx="2">
                  <c:v>-1.3950444955108732</c:v>
                </c:pt>
                <c:pt idx="3">
                  <c:v>-0.33048813093575308</c:v>
                </c:pt>
                <c:pt idx="4">
                  <c:v>1.8300546105888296</c:v>
                </c:pt>
                <c:pt idx="5">
                  <c:v>1.8186485634698273</c:v>
                </c:pt>
                <c:pt idx="6">
                  <c:v>-0.52533593784832744</c:v>
                </c:pt>
                <c:pt idx="7">
                  <c:v>-0.6037830797493724</c:v>
                </c:pt>
                <c:pt idx="8">
                  <c:v>1.3769698209020529</c:v>
                </c:pt>
                <c:pt idx="9">
                  <c:v>0.14729107929989191</c:v>
                </c:pt>
                <c:pt idx="10">
                  <c:v>-0.76994757281236981</c:v>
                </c:pt>
                <c:pt idx="11">
                  <c:v>0.72027335086141797</c:v>
                </c:pt>
                <c:pt idx="12">
                  <c:v>0.96598388666438073</c:v>
                </c:pt>
                <c:pt idx="13">
                  <c:v>-1.7852379687657634</c:v>
                </c:pt>
                <c:pt idx="14">
                  <c:v>-0.93376245019082815</c:v>
                </c:pt>
                <c:pt idx="15">
                  <c:v>8.0485212916618656E-2</c:v>
                </c:pt>
                <c:pt idx="16">
                  <c:v>-0.67682087855348982</c:v>
                </c:pt>
                <c:pt idx="17">
                  <c:v>-0.39290869424875774</c:v>
                </c:pt>
                <c:pt idx="18">
                  <c:v>-0.98681875190269575</c:v>
                </c:pt>
                <c:pt idx="19">
                  <c:v>6.4308257905106248E-2</c:v>
                </c:pt>
                <c:pt idx="20">
                  <c:v>-1.3902450054933866</c:v>
                </c:pt>
                <c:pt idx="21">
                  <c:v>-3.0530543833434357E-2</c:v>
                </c:pt>
                <c:pt idx="22">
                  <c:v>-7.1093975163189244E-2</c:v>
                </c:pt>
                <c:pt idx="23">
                  <c:v>1.3791795964365074</c:v>
                </c:pt>
                <c:pt idx="24">
                  <c:v>-0.3905952026984042</c:v>
                </c:pt>
                <c:pt idx="25">
                  <c:v>1.3144000807026794</c:v>
                </c:pt>
                <c:pt idx="26">
                  <c:v>-1.7027509056411636</c:v>
                </c:pt>
                <c:pt idx="27">
                  <c:v>-1.3668948913591217</c:v>
                </c:pt>
                <c:pt idx="28">
                  <c:v>-1.2056769958121596</c:v>
                </c:pt>
                <c:pt idx="29">
                  <c:v>-1.1538808626920265</c:v>
                </c:pt>
                <c:pt idx="30">
                  <c:v>-0.66020255830828056</c:v>
                </c:pt>
                <c:pt idx="31">
                  <c:v>-4.1548989416199569E-2</c:v>
                </c:pt>
                <c:pt idx="32">
                  <c:v>0.89150683846706236</c:v>
                </c:pt>
                <c:pt idx="33">
                  <c:v>-0.39809084462793204</c:v>
                </c:pt>
                <c:pt idx="34">
                  <c:v>0.89803675613146738</c:v>
                </c:pt>
                <c:pt idx="35">
                  <c:v>-1.7917624268449821</c:v>
                </c:pt>
                <c:pt idx="36">
                  <c:v>-0.87528665264445038</c:v>
                </c:pt>
                <c:pt idx="37">
                  <c:v>-0.42527060030863312</c:v>
                </c:pt>
                <c:pt idx="38">
                  <c:v>-0.85076431090730442</c:v>
                </c:pt>
                <c:pt idx="39">
                  <c:v>-0.9709511362109251</c:v>
                </c:pt>
                <c:pt idx="40">
                  <c:v>0.26751905927586772</c:v>
                </c:pt>
                <c:pt idx="41">
                  <c:v>-0.96662666902966632</c:v>
                </c:pt>
                <c:pt idx="42">
                  <c:v>-1.5462311780104703</c:v>
                </c:pt>
                <c:pt idx="43">
                  <c:v>-1.329852558034371</c:v>
                </c:pt>
                <c:pt idx="44">
                  <c:v>0.48957904940925523</c:v>
                </c:pt>
                <c:pt idx="45">
                  <c:v>0.98760010564206324</c:v>
                </c:pt>
                <c:pt idx="46">
                  <c:v>-0.43597909668473295</c:v>
                </c:pt>
                <c:pt idx="47">
                  <c:v>-0.5545597777602792</c:v>
                </c:pt>
                <c:pt idx="48">
                  <c:v>-1.3188145780024696</c:v>
                </c:pt>
                <c:pt idx="49">
                  <c:v>-1.0060189757556215E-2</c:v>
                </c:pt>
                <c:pt idx="50">
                  <c:v>-0.91869269247967678</c:v>
                </c:pt>
                <c:pt idx="51">
                  <c:v>1.1976128997196374</c:v>
                </c:pt>
                <c:pt idx="52">
                  <c:v>-3.0053910885582177E-2</c:v>
                </c:pt>
                <c:pt idx="53">
                  <c:v>-0.84917424085816084</c:v>
                </c:pt>
                <c:pt idx="54">
                  <c:v>-0.2156831358240911</c:v>
                </c:pt>
                <c:pt idx="55">
                  <c:v>0.41370488461690746</c:v>
                </c:pt>
                <c:pt idx="56">
                  <c:v>0.42984606124468022</c:v>
                </c:pt>
                <c:pt idx="57">
                  <c:v>-0.44143875995841897</c:v>
                </c:pt>
                <c:pt idx="58">
                  <c:v>1.2355467670262945</c:v>
                </c:pt>
                <c:pt idx="59">
                  <c:v>1.5375939510159269</c:v>
                </c:pt>
                <c:pt idx="60">
                  <c:v>0.12162433168497017</c:v>
                </c:pt>
                <c:pt idx="61">
                  <c:v>1.157200219025156</c:v>
                </c:pt>
                <c:pt idx="62">
                  <c:v>-0.57596623077615894</c:v>
                </c:pt>
                <c:pt idx="63">
                  <c:v>1.1377651354458445</c:v>
                </c:pt>
                <c:pt idx="64">
                  <c:v>2.1165246071389476</c:v>
                </c:pt>
                <c:pt idx="65">
                  <c:v>0.59559107452490845</c:v>
                </c:pt>
                <c:pt idx="66">
                  <c:v>-0.78690256730685904</c:v>
                </c:pt>
                <c:pt idx="67">
                  <c:v>-0.66792027056516245</c:v>
                </c:pt>
                <c:pt idx="68">
                  <c:v>0.3376514676773516</c:v>
                </c:pt>
                <c:pt idx="69">
                  <c:v>-0.17463688069501462</c:v>
                </c:pt>
                <c:pt idx="70">
                  <c:v>1.3158098266487348</c:v>
                </c:pt>
                <c:pt idx="71">
                  <c:v>1.1995894221033272</c:v>
                </c:pt>
                <c:pt idx="72">
                  <c:v>-0.13060897886401746</c:v>
                </c:pt>
                <c:pt idx="73">
                  <c:v>0.80788342254245038</c:v>
                </c:pt>
                <c:pt idx="74">
                  <c:v>0.75806957588300194</c:v>
                </c:pt>
                <c:pt idx="75">
                  <c:v>2.0639404483020409</c:v>
                </c:pt>
                <c:pt idx="76">
                  <c:v>1.2542920509944651</c:v>
                </c:pt>
                <c:pt idx="77">
                  <c:v>1.4584598186017315</c:v>
                </c:pt>
                <c:pt idx="78">
                  <c:v>-1.5553137207229291</c:v>
                </c:pt>
                <c:pt idx="79">
                  <c:v>-1.212424388548184</c:v>
                </c:pt>
                <c:pt idx="80">
                  <c:v>0.56207505153349846</c:v>
                </c:pt>
                <c:pt idx="81">
                  <c:v>-1.2042841006390772</c:v>
                </c:pt>
                <c:pt idx="82">
                  <c:v>0.51571860204728837</c:v>
                </c:pt>
                <c:pt idx="83">
                  <c:v>-0.46602817895844928</c:v>
                </c:pt>
                <c:pt idx="84">
                  <c:v>-0.52895814143836328</c:v>
                </c:pt>
                <c:pt idx="85">
                  <c:v>-0.26263623426867927</c:v>
                </c:pt>
                <c:pt idx="86">
                  <c:v>0.57703042287198059</c:v>
                </c:pt>
                <c:pt idx="87">
                  <c:v>0.495428709292761</c:v>
                </c:pt>
                <c:pt idx="88">
                  <c:v>-0.12711987240511324</c:v>
                </c:pt>
                <c:pt idx="89">
                  <c:v>0.51834428671943988</c:v>
                </c:pt>
                <c:pt idx="90">
                  <c:v>1.8008686691338132</c:v>
                </c:pt>
                <c:pt idx="91">
                  <c:v>-3.0333782777252235E-2</c:v>
                </c:pt>
                <c:pt idx="92">
                  <c:v>0.37766253965129049</c:v>
                </c:pt>
                <c:pt idx="93">
                  <c:v>1.1610505397741118</c:v>
                </c:pt>
                <c:pt idx="94">
                  <c:v>-0.38025752111090411</c:v>
                </c:pt>
                <c:pt idx="95">
                  <c:v>0.77187959722011201</c:v>
                </c:pt>
                <c:pt idx="96">
                  <c:v>-0.72111719830586707</c:v>
                </c:pt>
                <c:pt idx="97">
                  <c:v>1.7813480288249628</c:v>
                </c:pt>
                <c:pt idx="98">
                  <c:v>1.3759563371840533</c:v>
                </c:pt>
                <c:pt idx="99">
                  <c:v>3.9628386015104572E-2</c:v>
                </c:pt>
                <c:pt idx="100">
                  <c:v>-1.0097959941424843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25A-A693-4A567B4989AD}"/>
            </c:ext>
          </c:extLst>
        </c:ser>
        <c:ser>
          <c:idx val="1"/>
          <c:order val="1"/>
          <c:tx>
            <c:strRef>
              <c:f>Iris!$AG$1</c:f>
              <c:strCache>
                <c:ptCount val="1"/>
                <c:pt idx="0">
                  <c:v>y_fit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Iris!$AE$2:$AE$102</c:f>
              <c:numCache>
                <c:formatCode>General</c:formatCode>
                <c:ptCount val="101"/>
                <c:pt idx="0">
                  <c:v>0.35000000000000014</c:v>
                </c:pt>
                <c:pt idx="1">
                  <c:v>0.3000000000000001</c:v>
                </c:pt>
                <c:pt idx="2">
                  <c:v>0.34000000000000014</c:v>
                </c:pt>
                <c:pt idx="3">
                  <c:v>0.9200000000000006</c:v>
                </c:pt>
                <c:pt idx="4">
                  <c:v>0.99000000000000066</c:v>
                </c:pt>
                <c:pt idx="5">
                  <c:v>0.04</c:v>
                </c:pt>
                <c:pt idx="6">
                  <c:v>0.80000000000000049</c:v>
                </c:pt>
                <c:pt idx="7">
                  <c:v>0.75000000000000044</c:v>
                </c:pt>
                <c:pt idx="8">
                  <c:v>7.0000000000000007E-2</c:v>
                </c:pt>
                <c:pt idx="9">
                  <c:v>0.73000000000000043</c:v>
                </c:pt>
                <c:pt idx="10">
                  <c:v>0.82000000000000051</c:v>
                </c:pt>
                <c:pt idx="11">
                  <c:v>0.96000000000000063</c:v>
                </c:pt>
                <c:pt idx="12">
                  <c:v>0.19000000000000003</c:v>
                </c:pt>
                <c:pt idx="13">
                  <c:v>0.42000000000000021</c:v>
                </c:pt>
                <c:pt idx="14">
                  <c:v>0.33000000000000013</c:v>
                </c:pt>
                <c:pt idx="15">
                  <c:v>0.20000000000000004</c:v>
                </c:pt>
                <c:pt idx="16">
                  <c:v>0.89000000000000057</c:v>
                </c:pt>
                <c:pt idx="17">
                  <c:v>0.50000000000000022</c:v>
                </c:pt>
                <c:pt idx="18">
                  <c:v>0.78000000000000047</c:v>
                </c:pt>
                <c:pt idx="19">
                  <c:v>0.52000000000000024</c:v>
                </c:pt>
                <c:pt idx="20">
                  <c:v>0.36000000000000015</c:v>
                </c:pt>
                <c:pt idx="21">
                  <c:v>0.9300000000000006</c:v>
                </c:pt>
                <c:pt idx="22">
                  <c:v>0.58000000000000029</c:v>
                </c:pt>
                <c:pt idx="23">
                  <c:v>9.9999999999999992E-2</c:v>
                </c:pt>
                <c:pt idx="24">
                  <c:v>0.71000000000000041</c:v>
                </c:pt>
                <c:pt idx="25">
                  <c:v>0.16</c:v>
                </c:pt>
                <c:pt idx="26">
                  <c:v>0.40000000000000019</c:v>
                </c:pt>
                <c:pt idx="27">
                  <c:v>0.44000000000000022</c:v>
                </c:pt>
                <c:pt idx="28">
                  <c:v>0.43000000000000022</c:v>
                </c:pt>
                <c:pt idx="29">
                  <c:v>0.49000000000000027</c:v>
                </c:pt>
                <c:pt idx="30">
                  <c:v>0.28000000000000008</c:v>
                </c:pt>
                <c:pt idx="31">
                  <c:v>0.23000000000000007</c:v>
                </c:pt>
                <c:pt idx="32">
                  <c:v>0.18000000000000002</c:v>
                </c:pt>
                <c:pt idx="33">
                  <c:v>0.76000000000000045</c:v>
                </c:pt>
                <c:pt idx="34">
                  <c:v>0.13999999999999999</c:v>
                </c:pt>
                <c:pt idx="35">
                  <c:v>0.38000000000000017</c:v>
                </c:pt>
                <c:pt idx="36">
                  <c:v>0.87000000000000055</c:v>
                </c:pt>
                <c:pt idx="37">
                  <c:v>0.90000000000000058</c:v>
                </c:pt>
                <c:pt idx="38">
                  <c:v>0.86000000000000054</c:v>
                </c:pt>
                <c:pt idx="39">
                  <c:v>0.46000000000000024</c:v>
                </c:pt>
                <c:pt idx="40">
                  <c:v>0.62000000000000033</c:v>
                </c:pt>
                <c:pt idx="41">
                  <c:v>0.27000000000000007</c:v>
                </c:pt>
                <c:pt idx="42">
                  <c:v>0.31000000000000011</c:v>
                </c:pt>
                <c:pt idx="43">
                  <c:v>0.32000000000000012</c:v>
                </c:pt>
                <c:pt idx="44">
                  <c:v>0.21000000000000005</c:v>
                </c:pt>
                <c:pt idx="45">
                  <c:v>0.10999999999999999</c:v>
                </c:pt>
                <c:pt idx="46">
                  <c:v>0.55000000000000027</c:v>
                </c:pt>
                <c:pt idx="47">
                  <c:v>0.47000000000000025</c:v>
                </c:pt>
                <c:pt idx="48">
                  <c:v>0.39000000000000018</c:v>
                </c:pt>
                <c:pt idx="49">
                  <c:v>0.26000000000000006</c:v>
                </c:pt>
                <c:pt idx="50">
                  <c:v>0.51000000000000023</c:v>
                </c:pt>
                <c:pt idx="51">
                  <c:v>0.11999999999999998</c:v>
                </c:pt>
                <c:pt idx="52">
                  <c:v>0.53000000000000025</c:v>
                </c:pt>
                <c:pt idx="53">
                  <c:v>0.83000000000000052</c:v>
                </c:pt>
                <c:pt idx="54">
                  <c:v>0.7000000000000004</c:v>
                </c:pt>
                <c:pt idx="55">
                  <c:v>0.56000000000000028</c:v>
                </c:pt>
                <c:pt idx="56">
                  <c:v>0.69000000000000039</c:v>
                </c:pt>
                <c:pt idx="57">
                  <c:v>0.91000000000000059</c:v>
                </c:pt>
                <c:pt idx="58">
                  <c:v>0.17</c:v>
                </c:pt>
                <c:pt idx="59">
                  <c:v>0.12999999999999998</c:v>
                </c:pt>
                <c:pt idx="60">
                  <c:v>0.72000000000000042</c:v>
                </c:pt>
                <c:pt idx="61">
                  <c:v>0.08</c:v>
                </c:pt>
                <c:pt idx="62">
                  <c:v>0.74000000000000044</c:v>
                </c:pt>
                <c:pt idx="63">
                  <c:v>0.98000000000000065</c:v>
                </c:pt>
                <c:pt idx="64">
                  <c:v>0.03</c:v>
                </c:pt>
                <c:pt idx="65">
                  <c:v>0.5900000000000003</c:v>
                </c:pt>
                <c:pt idx="66">
                  <c:v>0.45000000000000023</c:v>
                </c:pt>
                <c:pt idx="67">
                  <c:v>0.48000000000000026</c:v>
                </c:pt>
                <c:pt idx="68">
                  <c:v>0.67000000000000037</c:v>
                </c:pt>
                <c:pt idx="69">
                  <c:v>0.94000000000000061</c:v>
                </c:pt>
                <c:pt idx="70">
                  <c:v>0.02</c:v>
                </c:pt>
                <c:pt idx="71">
                  <c:v>6.0000000000000005E-2</c:v>
                </c:pt>
                <c:pt idx="72">
                  <c:v>0.57000000000000028</c:v>
                </c:pt>
                <c:pt idx="73">
                  <c:v>0.63000000000000034</c:v>
                </c:pt>
                <c:pt idx="74">
                  <c:v>0.61000000000000032</c:v>
                </c:pt>
                <c:pt idx="75">
                  <c:v>0</c:v>
                </c:pt>
                <c:pt idx="76">
                  <c:v>0.15</c:v>
                </c:pt>
                <c:pt idx="77">
                  <c:v>1.0000000000000007</c:v>
                </c:pt>
                <c:pt idx="78">
                  <c:v>0.37000000000000016</c:v>
                </c:pt>
                <c:pt idx="79">
                  <c:v>0.4100000000000002</c:v>
                </c:pt>
                <c:pt idx="80">
                  <c:v>0.22000000000000006</c:v>
                </c:pt>
                <c:pt idx="81">
                  <c:v>0.84000000000000052</c:v>
                </c:pt>
                <c:pt idx="82">
                  <c:v>0.66000000000000036</c:v>
                </c:pt>
                <c:pt idx="83">
                  <c:v>0.29000000000000009</c:v>
                </c:pt>
                <c:pt idx="84">
                  <c:v>0.77000000000000046</c:v>
                </c:pt>
                <c:pt idx="85">
                  <c:v>0.54000000000000026</c:v>
                </c:pt>
                <c:pt idx="86">
                  <c:v>0.95000000000000062</c:v>
                </c:pt>
                <c:pt idx="87">
                  <c:v>0.68000000000000038</c:v>
                </c:pt>
                <c:pt idx="88">
                  <c:v>0.79000000000000048</c:v>
                </c:pt>
                <c:pt idx="89">
                  <c:v>0.65000000000000036</c:v>
                </c:pt>
                <c:pt idx="90">
                  <c:v>0.09</c:v>
                </c:pt>
                <c:pt idx="91">
                  <c:v>0.24000000000000007</c:v>
                </c:pt>
                <c:pt idx="92">
                  <c:v>0.64000000000000035</c:v>
                </c:pt>
                <c:pt idx="93">
                  <c:v>0.97000000000000064</c:v>
                </c:pt>
                <c:pt idx="94">
                  <c:v>0.8100000000000005</c:v>
                </c:pt>
                <c:pt idx="95">
                  <c:v>0.60000000000000031</c:v>
                </c:pt>
                <c:pt idx="96">
                  <c:v>0.88000000000000056</c:v>
                </c:pt>
                <c:pt idx="97">
                  <c:v>0.01</c:v>
                </c:pt>
                <c:pt idx="98">
                  <c:v>0.05</c:v>
                </c:pt>
                <c:pt idx="99">
                  <c:v>0.25000000000000006</c:v>
                </c:pt>
                <c:pt idx="100">
                  <c:v>0.85000000000000053</c:v>
                </c:pt>
              </c:numCache>
            </c:numRef>
          </c:xVal>
          <c:yVal>
            <c:numRef>
              <c:f>Iris!$AG$2:$AG$102</c:f>
              <c:numCache>
                <c:formatCode>General</c:formatCode>
                <c:ptCount val="101"/>
                <c:pt idx="0">
                  <c:v>-1.4405301666455763</c:v>
                </c:pt>
                <c:pt idx="1">
                  <c:v>-0.98515458963224134</c:v>
                </c:pt>
                <c:pt idx="2">
                  <c:v>-1.390218036993808</c:v>
                </c:pt>
                <c:pt idx="3">
                  <c:v>-0.21377495712182792</c:v>
                </c:pt>
                <c:pt idx="4">
                  <c:v>1.4687254527596387</c:v>
                </c:pt>
                <c:pt idx="5">
                  <c:v>1.5882366970983774</c:v>
                </c:pt>
                <c:pt idx="6">
                  <c:v>-0.58216684543059571</c:v>
                </c:pt>
                <c:pt idx="7">
                  <c:v>-0.42612418626779558</c:v>
                </c:pt>
                <c:pt idx="8">
                  <c:v>1.4406269290274771</c:v>
                </c:pt>
                <c:pt idx="9">
                  <c:v>-0.2740563262140725</c:v>
                </c:pt>
                <c:pt idx="10">
                  <c:v>-0.71586748779665399</c:v>
                </c:pt>
                <c:pt idx="11">
                  <c:v>0.70910111882341198</c:v>
                </c:pt>
                <c:pt idx="12">
                  <c:v>0.79423620577016507</c:v>
                </c:pt>
                <c:pt idx="13">
                  <c:v>-1.345248785304701</c:v>
                </c:pt>
                <c:pt idx="14">
                  <c:v>-1.3199671925887486</c:v>
                </c:pt>
                <c:pt idx="15">
                  <c:v>0.67781000562387561</c:v>
                </c:pt>
                <c:pt idx="16">
                  <c:v>-0.74031521855195592</c:v>
                </c:pt>
                <c:pt idx="17">
                  <c:v>-0.62020687971021715</c:v>
                </c:pt>
                <c:pt idx="18">
                  <c:v>-0.51848082223164127</c:v>
                </c:pt>
                <c:pt idx="19">
                  <c:v>-0.38152375128773031</c:v>
                </c:pt>
                <c:pt idx="20">
                  <c:v>-1.4720936533384048</c:v>
                </c:pt>
                <c:pt idx="21">
                  <c:v>2.5535439397081916E-3</c:v>
                </c:pt>
                <c:pt idx="22">
                  <c:v>0.31113382689717639</c:v>
                </c:pt>
                <c:pt idx="23">
                  <c:v>1.3323970635277256</c:v>
                </c:pt>
                <c:pt idx="24">
                  <c:v>-4.9131029455281805E-2</c:v>
                </c:pt>
                <c:pt idx="25">
                  <c:v>1.0557123181314267</c:v>
                </c:pt>
                <c:pt idx="26">
                  <c:v>-1.43908678317419</c:v>
                </c:pt>
                <c:pt idx="27">
                  <c:v>-1.2107141104842327</c:v>
                </c:pt>
                <c:pt idx="28">
                  <c:v>-1.2826686180648572</c:v>
                </c:pt>
                <c:pt idx="29">
                  <c:v>-0.73398207976017105</c:v>
                </c:pt>
                <c:pt idx="30">
                  <c:v>-0.66890140270493248</c:v>
                </c:pt>
                <c:pt idx="31">
                  <c:v>0.23486688362963903</c:v>
                </c:pt>
                <c:pt idx="32">
                  <c:v>0.89518899796977891</c:v>
                </c:pt>
                <c:pt idx="33">
                  <c:v>-0.46994690838887365</c:v>
                </c:pt>
                <c:pt idx="34">
                  <c:v>1.1724269464714894</c:v>
                </c:pt>
                <c:pt idx="35">
                  <c:v>-1.4846247002140771</c:v>
                </c:pt>
                <c:pt idx="36">
                  <c:v>-0.92295839094332877</c:v>
                </c:pt>
                <c:pt idx="37">
                  <c:v>-0.59165964953154315</c:v>
                </c:pt>
                <c:pt idx="38">
                  <c:v>-0.94806326596321</c:v>
                </c:pt>
                <c:pt idx="39">
                  <c:v>-1.0414247535939118</c:v>
                </c:pt>
                <c:pt idx="40">
                  <c:v>0.57128098558172269</c:v>
                </c:pt>
                <c:pt idx="41">
                  <c:v>-0.49149336298475177</c:v>
                </c:pt>
                <c:pt idx="42">
                  <c:v>-1.1171505031981077</c:v>
                </c:pt>
                <c:pt idx="43">
                  <c:v>-1.2289939731987829</c:v>
                </c:pt>
                <c:pt idx="44">
                  <c:v>0.54537912342365047</c:v>
                </c:pt>
                <c:pt idx="45">
                  <c:v>1.2972799252990939</c:v>
                </c:pt>
                <c:pt idx="46">
                  <c:v>-1.643658600156428E-2</c:v>
                </c:pt>
                <c:pt idx="47">
                  <c:v>-0.94539169043006765</c:v>
                </c:pt>
                <c:pt idx="48">
                  <c:v>-1.4684529282460019</c:v>
                </c:pt>
                <c:pt idx="49">
                  <c:v>-0.30731395619110558</c:v>
                </c:pt>
                <c:pt idx="50">
                  <c:v>-0.5023307916673474</c:v>
                </c:pt>
                <c:pt idx="51">
                  <c:v>1.2600110568691285</c:v>
                </c:pt>
                <c:pt idx="52">
                  <c:v>-0.25916095414709517</c:v>
                </c:pt>
                <c:pt idx="53">
                  <c:v>-0.7992879595868736</c:v>
                </c:pt>
                <c:pt idx="54">
                  <c:v>7.5630250873420124E-2</c:v>
                </c:pt>
                <c:pt idx="55">
                  <c:v>9.9966765959738524E-2</c:v>
                </c:pt>
                <c:pt idx="56">
                  <c:v>0.19849764356445476</c:v>
                </c:pt>
                <c:pt idx="57">
                  <c:v>-0.41383757508481978</c:v>
                </c:pt>
                <c:pt idx="58">
                  <c:v>0.98182677809729313</c:v>
                </c:pt>
                <c:pt idx="59">
                  <c:v>1.2189609604590785</c:v>
                </c:pt>
                <c:pt idx="60">
                  <c:v>-0.16812983985808927</c:v>
                </c:pt>
                <c:pt idx="61">
                  <c:v>1.402486234332958</c:v>
                </c:pt>
                <c:pt idx="62">
                  <c:v>-0.36108295013623604</c:v>
                </c:pt>
                <c:pt idx="63">
                  <c:v>1.2097524831236264</c:v>
                </c:pt>
                <c:pt idx="64">
                  <c:v>1.6553189770992027</c:v>
                </c:pt>
                <c:pt idx="65">
                  <c:v>0.40060167231712995</c:v>
                </c:pt>
                <c:pt idx="66">
                  <c:v>-1.1300815261328623</c:v>
                </c:pt>
                <c:pt idx="67">
                  <c:v>-0.84266151179748405</c:v>
                </c:pt>
                <c:pt idx="68">
                  <c:v>0.41116683678725963</c:v>
                </c:pt>
                <c:pt idx="69">
                  <c:v>0.2304747229269104</c:v>
                </c:pt>
                <c:pt idx="70">
                  <c:v>1.7354521512729093</c:v>
                </c:pt>
                <c:pt idx="71">
                  <c:v>1.4830492929186789</c:v>
                </c:pt>
                <c:pt idx="72">
                  <c:v>0.2100122809646443</c:v>
                </c:pt>
                <c:pt idx="73">
                  <c:v>0.58713642097551144</c:v>
                </c:pt>
                <c:pt idx="74">
                  <c:v>0.53336217367985128</c:v>
                </c:pt>
                <c:pt idx="75">
                  <c:v>1.9474934879998713</c:v>
                </c:pt>
                <c:pt idx="76">
                  <c:v>1.1186260580245708</c:v>
                </c:pt>
                <c:pt idx="77">
                  <c:v>1.7351600266929594</c:v>
                </c:pt>
                <c:pt idx="78">
                  <c:v>-1.4863069682519949</c:v>
                </c:pt>
                <c:pt idx="79">
                  <c:v>-1.3976816032988957</c:v>
                </c:pt>
                <c:pt idx="80">
                  <c:v>0.39727084168389126</c:v>
                </c:pt>
                <c:pt idx="81">
                  <c:v>-0.87589664432540459</c:v>
                </c:pt>
                <c:pt idx="82">
                  <c:v>0.49038396195235734</c:v>
                </c:pt>
                <c:pt idx="83">
                  <c:v>-0.83477292232161915</c:v>
                </c:pt>
                <c:pt idx="84">
                  <c:v>-0.49771399514860448</c:v>
                </c:pt>
                <c:pt idx="85">
                  <c:v>-0.13684772985337901</c:v>
                </c:pt>
                <c:pt idx="86">
                  <c:v>0.46667490842684245</c:v>
                </c:pt>
                <c:pt idx="87">
                  <c:v>0.31234605735100374</c:v>
                </c:pt>
                <c:pt idx="88">
                  <c:v>-0.54331431320164469</c:v>
                </c:pt>
                <c:pt idx="89">
                  <c:v>0.54695203355250399</c:v>
                </c:pt>
                <c:pt idx="90">
                  <c:v>1.3669431163100469</c:v>
                </c:pt>
                <c:pt idx="91">
                  <c:v>6.0708332535000409E-2</c:v>
                </c:pt>
                <c:pt idx="92">
                  <c:v>0.57929438184815041</c:v>
                </c:pt>
                <c:pt idx="93">
                  <c:v>0.9568002864984102</c:v>
                </c:pt>
                <c:pt idx="94">
                  <c:v>-0.64033191984075799</c:v>
                </c:pt>
                <c:pt idx="95">
                  <c:v>0.47560407113750358</c:v>
                </c:pt>
                <c:pt idx="96">
                  <c:v>-0.85271963527325312</c:v>
                </c:pt>
                <c:pt idx="97">
                  <c:v>1.8316718436620256</c:v>
                </c:pt>
                <c:pt idx="98">
                  <c:v>1.5315774505983093</c:v>
                </c:pt>
                <c:pt idx="99">
                  <c:v>-0.12154273875840715</c:v>
                </c:pt>
                <c:pt idx="100">
                  <c:v>-0.92982663138518618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FB-425A-A693-4A567B498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77055"/>
        <c:axId val="1703773215"/>
      </c:scatterChart>
      <c:valAx>
        <c:axId val="1703777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3215"/>
        <c:crosses val="autoZero"/>
        <c:crossBetween val="midCat"/>
      </c:valAx>
      <c:valAx>
        <c:axId val="17037732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7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Iris!$AF$1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Iris!$AI$2:$AI$5002</c:f>
              <c:numCache>
                <c:formatCode>General</c:formatCode>
                <c:ptCount val="5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</c:numCache>
            </c:numRef>
          </c:xVal>
          <c:yVal>
            <c:numRef>
              <c:f>Iris!$AJ$2:$AJ$5002</c:f>
              <c:numCache>
                <c:formatCode>General</c:formatCode>
                <c:ptCount val="5001"/>
                <c:pt idx="0">
                  <c:v>0.49785973338975825</c:v>
                </c:pt>
                <c:pt idx="1">
                  <c:v>0.49683383680741983</c:v>
                </c:pt>
                <c:pt idx="2">
                  <c:v>0.48766035766498878</c:v>
                </c:pt>
                <c:pt idx="3">
                  <c:v>0.484065243774566</c:v>
                </c:pt>
                <c:pt idx="4">
                  <c:v>0.47991724379313627</c:v>
                </c:pt>
                <c:pt idx="5">
                  <c:v>0.47888595246357185</c:v>
                </c:pt>
                <c:pt idx="6">
                  <c:v>0.47787178135421859</c:v>
                </c:pt>
                <c:pt idx="7">
                  <c:v>0.47556473123893661</c:v>
                </c:pt>
                <c:pt idx="8">
                  <c:v>0.46742451315634825</c:v>
                </c:pt>
                <c:pt idx="9">
                  <c:v>0.44285023945325397</c:v>
                </c:pt>
                <c:pt idx="10">
                  <c:v>0.42198152791746607</c:v>
                </c:pt>
                <c:pt idx="11">
                  <c:v>0.2973006353431204</c:v>
                </c:pt>
                <c:pt idx="12">
                  <c:v>0.2513190527329493</c:v>
                </c:pt>
                <c:pt idx="13">
                  <c:v>0.23195959093603472</c:v>
                </c:pt>
                <c:pt idx="14">
                  <c:v>0.22259976505473414</c:v>
                </c:pt>
                <c:pt idx="15">
                  <c:v>0.22071568301814351</c:v>
                </c:pt>
                <c:pt idx="16">
                  <c:v>0.21850370804129088</c:v>
                </c:pt>
                <c:pt idx="17">
                  <c:v>0.20955469207762228</c:v>
                </c:pt>
                <c:pt idx="18">
                  <c:v>0.20409511741708738</c:v>
                </c:pt>
                <c:pt idx="19">
                  <c:v>0.20165674799290775</c:v>
                </c:pt>
                <c:pt idx="20">
                  <c:v>0.20103361776023979</c:v>
                </c:pt>
                <c:pt idx="21">
                  <c:v>0.20044273236173693</c:v>
                </c:pt>
                <c:pt idx="22">
                  <c:v>0.19854057058508079</c:v>
                </c:pt>
                <c:pt idx="23">
                  <c:v>0.19630265551628895</c:v>
                </c:pt>
                <c:pt idx="24">
                  <c:v>0.19398278122527857</c:v>
                </c:pt>
                <c:pt idx="25">
                  <c:v>0.18892278845614735</c:v>
                </c:pt>
                <c:pt idx="26">
                  <c:v>0.18671363128390792</c:v>
                </c:pt>
                <c:pt idx="27">
                  <c:v>0.18434070633255104</c:v>
                </c:pt>
                <c:pt idx="28">
                  <c:v>0.18429285282357113</c:v>
                </c:pt>
                <c:pt idx="29">
                  <c:v>0.18417153840848183</c:v>
                </c:pt>
                <c:pt idx="30">
                  <c:v>0.18395771558922475</c:v>
                </c:pt>
                <c:pt idx="31">
                  <c:v>0.18317313000203664</c:v>
                </c:pt>
                <c:pt idx="32">
                  <c:v>0.18120737076732263</c:v>
                </c:pt>
                <c:pt idx="33">
                  <c:v>0.17635514013372874</c:v>
                </c:pt>
                <c:pt idx="34">
                  <c:v>0.173217358683426</c:v>
                </c:pt>
                <c:pt idx="35">
                  <c:v>0.17074414084260045</c:v>
                </c:pt>
                <c:pt idx="36">
                  <c:v>0.16494226132087397</c:v>
                </c:pt>
                <c:pt idx="37">
                  <c:v>0.16347894128722965</c:v>
                </c:pt>
                <c:pt idx="38">
                  <c:v>0.1608518723338121</c:v>
                </c:pt>
                <c:pt idx="39">
                  <c:v>0.15874178677202613</c:v>
                </c:pt>
                <c:pt idx="40">
                  <c:v>0.15699510518894577</c:v>
                </c:pt>
                <c:pt idx="41">
                  <c:v>0.15642380709909745</c:v>
                </c:pt>
                <c:pt idx="42">
                  <c:v>0.15581633998521327</c:v>
                </c:pt>
                <c:pt idx="43">
                  <c:v>0.15518551231999461</c:v>
                </c:pt>
                <c:pt idx="44">
                  <c:v>0.15470074657995841</c:v>
                </c:pt>
                <c:pt idx="45">
                  <c:v>0.15444882597689896</c:v>
                </c:pt>
                <c:pt idx="46">
                  <c:v>0.15435437787630718</c:v>
                </c:pt>
                <c:pt idx="47">
                  <c:v>0.1542180420861482</c:v>
                </c:pt>
                <c:pt idx="48">
                  <c:v>0.15407447555606082</c:v>
                </c:pt>
                <c:pt idx="49">
                  <c:v>0.15304087455525783</c:v>
                </c:pt>
                <c:pt idx="50">
                  <c:v>0.14857855333880476</c:v>
                </c:pt>
                <c:pt idx="51">
                  <c:v>0.14592698214345787</c:v>
                </c:pt>
                <c:pt idx="52">
                  <c:v>0.14234001511270694</c:v>
                </c:pt>
                <c:pt idx="53">
                  <c:v>0.14026435825025821</c:v>
                </c:pt>
                <c:pt idx="54">
                  <c:v>0.13993772764944021</c:v>
                </c:pt>
                <c:pt idx="55">
                  <c:v>0.13962794284951902</c:v>
                </c:pt>
                <c:pt idx="56">
                  <c:v>0.13959314651112284</c:v>
                </c:pt>
                <c:pt idx="57">
                  <c:v>0.13956521143036474</c:v>
                </c:pt>
                <c:pt idx="58">
                  <c:v>0.1395498949149635</c:v>
                </c:pt>
                <c:pt idx="59">
                  <c:v>0.13950470991601441</c:v>
                </c:pt>
                <c:pt idx="60">
                  <c:v>0.13943607693880078</c:v>
                </c:pt>
                <c:pt idx="61">
                  <c:v>0.13929045953119257</c:v>
                </c:pt>
                <c:pt idx="62">
                  <c:v>0.13900521685490316</c:v>
                </c:pt>
                <c:pt idx="63">
                  <c:v>0.13827341708980367</c:v>
                </c:pt>
                <c:pt idx="64">
                  <c:v>0.13749238487568588</c:v>
                </c:pt>
                <c:pt idx="65">
                  <c:v>0.13700869353744657</c:v>
                </c:pt>
                <c:pt idx="66">
                  <c:v>0.13604851576635191</c:v>
                </c:pt>
                <c:pt idx="67">
                  <c:v>0.13471427213896614</c:v>
                </c:pt>
                <c:pt idx="68">
                  <c:v>0.13367674519959338</c:v>
                </c:pt>
                <c:pt idx="69">
                  <c:v>0.13251269983371208</c:v>
                </c:pt>
                <c:pt idx="70">
                  <c:v>0.13112540878192885</c:v>
                </c:pt>
                <c:pt idx="71">
                  <c:v>0.13033896747578719</c:v>
                </c:pt>
                <c:pt idx="72">
                  <c:v>0.12972690431812442</c:v>
                </c:pt>
                <c:pt idx="73">
                  <c:v>0.12860827663476934</c:v>
                </c:pt>
                <c:pt idx="74">
                  <c:v>0.12777722647910569</c:v>
                </c:pt>
                <c:pt idx="75">
                  <c:v>0.12728497377584133</c:v>
                </c:pt>
                <c:pt idx="76">
                  <c:v>0.12639985312354571</c:v>
                </c:pt>
                <c:pt idx="77">
                  <c:v>0.12622953702293377</c:v>
                </c:pt>
                <c:pt idx="78">
                  <c:v>0.12600394689584771</c:v>
                </c:pt>
                <c:pt idx="79">
                  <c:v>0.12572310175555221</c:v>
                </c:pt>
                <c:pt idx="80">
                  <c:v>0.12545589237298241</c:v>
                </c:pt>
                <c:pt idx="81">
                  <c:v>0.12421819187289516</c:v>
                </c:pt>
                <c:pt idx="82">
                  <c:v>0.12267386069080911</c:v>
                </c:pt>
                <c:pt idx="83">
                  <c:v>0.12178235498702042</c:v>
                </c:pt>
                <c:pt idx="84">
                  <c:v>0.12158661316804167</c:v>
                </c:pt>
                <c:pt idx="85">
                  <c:v>0.12109205447802841</c:v>
                </c:pt>
                <c:pt idx="86">
                  <c:v>0.12090601098967646</c:v>
                </c:pt>
                <c:pt idx="87">
                  <c:v>0.12078860161092524</c:v>
                </c:pt>
                <c:pt idx="88">
                  <c:v>0.12037909169897178</c:v>
                </c:pt>
                <c:pt idx="89">
                  <c:v>0.12014455747118588</c:v>
                </c:pt>
                <c:pt idx="90">
                  <c:v>0.11901242105253995</c:v>
                </c:pt>
                <c:pt idx="91">
                  <c:v>0.11695507369103655</c:v>
                </c:pt>
                <c:pt idx="92">
                  <c:v>0.1163392227126179</c:v>
                </c:pt>
                <c:pt idx="93">
                  <c:v>0.11454539584752266</c:v>
                </c:pt>
                <c:pt idx="94">
                  <c:v>0.10739642812007076</c:v>
                </c:pt>
                <c:pt idx="95">
                  <c:v>0.1013832084493187</c:v>
                </c:pt>
                <c:pt idx="96">
                  <c:v>9.9832558692489373E-2</c:v>
                </c:pt>
                <c:pt idx="97">
                  <c:v>9.486891102220997E-2</c:v>
                </c:pt>
                <c:pt idx="98">
                  <c:v>8.8198672858231048E-2</c:v>
                </c:pt>
                <c:pt idx="99">
                  <c:v>8.5172693074064484E-2</c:v>
                </c:pt>
                <c:pt idx="100">
                  <c:v>8.1687727047863923E-2</c:v>
                </c:pt>
                <c:pt idx="101">
                  <c:v>8.0551201295313707E-2</c:v>
                </c:pt>
                <c:pt idx="102">
                  <c:v>7.9771993927028537E-2</c:v>
                </c:pt>
                <c:pt idx="103">
                  <c:v>7.8675947370836177E-2</c:v>
                </c:pt>
                <c:pt idx="104">
                  <c:v>7.763126593403101E-2</c:v>
                </c:pt>
                <c:pt idx="105">
                  <c:v>7.0708588006518622E-2</c:v>
                </c:pt>
                <c:pt idx="106">
                  <c:v>6.885279692576618E-2</c:v>
                </c:pt>
                <c:pt idx="107">
                  <c:v>6.7167890385621098E-2</c:v>
                </c:pt>
                <c:pt idx="108">
                  <c:v>6.5633017914126152E-2</c:v>
                </c:pt>
                <c:pt idx="109">
                  <c:v>6.3699819713650102E-2</c:v>
                </c:pt>
                <c:pt idx="110">
                  <c:v>5.9280164235034349E-2</c:v>
                </c:pt>
                <c:pt idx="111">
                  <c:v>5.5295720556322321E-2</c:v>
                </c:pt>
                <c:pt idx="112">
                  <c:v>4.9166968868569104E-2</c:v>
                </c:pt>
                <c:pt idx="113">
                  <c:v>4.8332503546075947E-2</c:v>
                </c:pt>
                <c:pt idx="114">
                  <c:v>4.738172812537049E-2</c:v>
                </c:pt>
                <c:pt idx="115">
                  <c:v>4.6492205137197179E-2</c:v>
                </c:pt>
                <c:pt idx="116">
                  <c:v>4.5949298870082998E-2</c:v>
                </c:pt>
                <c:pt idx="117">
                  <c:v>4.5436206515765513E-2</c:v>
                </c:pt>
                <c:pt idx="118">
                  <c:v>4.494511265308769E-2</c:v>
                </c:pt>
                <c:pt idx="119">
                  <c:v>4.4414874609140342E-2</c:v>
                </c:pt>
                <c:pt idx="120">
                  <c:v>4.3818243133616881E-2</c:v>
                </c:pt>
                <c:pt idx="121">
                  <c:v>4.338183161139806E-2</c:v>
                </c:pt>
                <c:pt idx="122">
                  <c:v>4.3046992246708E-2</c:v>
                </c:pt>
                <c:pt idx="123">
                  <c:v>4.2923911282648067E-2</c:v>
                </c:pt>
                <c:pt idx="124">
                  <c:v>4.2626267248990171E-2</c:v>
                </c:pt>
                <c:pt idx="125">
                  <c:v>4.2260024183372977E-2</c:v>
                </c:pt>
                <c:pt idx="126">
                  <c:v>4.1739754943155773E-2</c:v>
                </c:pt>
                <c:pt idx="127">
                  <c:v>4.1628440637330094E-2</c:v>
                </c:pt>
                <c:pt idx="128">
                  <c:v>4.1416914000765657E-2</c:v>
                </c:pt>
                <c:pt idx="129">
                  <c:v>4.1357081942398559E-2</c:v>
                </c:pt>
                <c:pt idx="130">
                  <c:v>4.1323000036917641E-2</c:v>
                </c:pt>
                <c:pt idx="131">
                  <c:v>4.1304947731112547E-2</c:v>
                </c:pt>
                <c:pt idx="132">
                  <c:v>4.1281505258938075E-2</c:v>
                </c:pt>
                <c:pt idx="133">
                  <c:v>4.1223122511546813E-2</c:v>
                </c:pt>
                <c:pt idx="134">
                  <c:v>4.1132276399662007E-2</c:v>
                </c:pt>
                <c:pt idx="135">
                  <c:v>4.1032780517105003E-2</c:v>
                </c:pt>
                <c:pt idx="136">
                  <c:v>4.0897556002753944E-2</c:v>
                </c:pt>
                <c:pt idx="137">
                  <c:v>4.0867904477410608E-2</c:v>
                </c:pt>
                <c:pt idx="138">
                  <c:v>4.0838746890364076E-2</c:v>
                </c:pt>
                <c:pt idx="139">
                  <c:v>4.0814239386948253E-2</c:v>
                </c:pt>
                <c:pt idx="140">
                  <c:v>4.0801668488704937E-2</c:v>
                </c:pt>
                <c:pt idx="141">
                  <c:v>4.0750294251555734E-2</c:v>
                </c:pt>
                <c:pt idx="142">
                  <c:v>4.0723216545959347E-2</c:v>
                </c:pt>
                <c:pt idx="143">
                  <c:v>4.0708744879108874E-2</c:v>
                </c:pt>
                <c:pt idx="144">
                  <c:v>4.0699704652703859E-2</c:v>
                </c:pt>
                <c:pt idx="145">
                  <c:v>4.0692175296542885E-2</c:v>
                </c:pt>
                <c:pt idx="146">
                  <c:v>4.0682407802900951E-2</c:v>
                </c:pt>
                <c:pt idx="147">
                  <c:v>4.0670766825571379E-2</c:v>
                </c:pt>
                <c:pt idx="148">
                  <c:v>4.0651410290393854E-2</c:v>
                </c:pt>
                <c:pt idx="149">
                  <c:v>4.0605743241852059E-2</c:v>
                </c:pt>
                <c:pt idx="150">
                  <c:v>4.0590683192773688E-2</c:v>
                </c:pt>
                <c:pt idx="151">
                  <c:v>4.0546754302162362E-2</c:v>
                </c:pt>
                <c:pt idx="152">
                  <c:v>4.0422658258860739E-2</c:v>
                </c:pt>
                <c:pt idx="153">
                  <c:v>4.031109036733628E-2</c:v>
                </c:pt>
                <c:pt idx="154">
                  <c:v>4.0154510365540234E-2</c:v>
                </c:pt>
                <c:pt idx="155">
                  <c:v>4.0041354579012818E-2</c:v>
                </c:pt>
                <c:pt idx="156">
                  <c:v>3.9764706763696915E-2</c:v>
                </c:pt>
                <c:pt idx="157">
                  <c:v>3.9539781406099136E-2</c:v>
                </c:pt>
                <c:pt idx="158">
                  <c:v>3.9264997701107258E-2</c:v>
                </c:pt>
                <c:pt idx="159">
                  <c:v>3.901580205426726E-2</c:v>
                </c:pt>
                <c:pt idx="160">
                  <c:v>3.8883110558499676E-2</c:v>
                </c:pt>
                <c:pt idx="161">
                  <c:v>3.8824096481012843E-2</c:v>
                </c:pt>
                <c:pt idx="162">
                  <c:v>3.8643385906482773E-2</c:v>
                </c:pt>
                <c:pt idx="163">
                  <c:v>3.8572905014303355E-2</c:v>
                </c:pt>
                <c:pt idx="164">
                  <c:v>3.8560860400273379E-2</c:v>
                </c:pt>
                <c:pt idx="165">
                  <c:v>3.8555649496993437E-2</c:v>
                </c:pt>
                <c:pt idx="166">
                  <c:v>3.8545162765269425E-2</c:v>
                </c:pt>
                <c:pt idx="167">
                  <c:v>3.8510431375607897E-2</c:v>
                </c:pt>
                <c:pt idx="168">
                  <c:v>3.8491737556728321E-2</c:v>
                </c:pt>
                <c:pt idx="169">
                  <c:v>3.8488143408857818E-2</c:v>
                </c:pt>
                <c:pt idx="170">
                  <c:v>3.8485187828482696E-2</c:v>
                </c:pt>
                <c:pt idx="171">
                  <c:v>3.8479079035830185E-2</c:v>
                </c:pt>
                <c:pt idx="172">
                  <c:v>3.8464726637109564E-2</c:v>
                </c:pt>
                <c:pt idx="173">
                  <c:v>3.8428155140952144E-2</c:v>
                </c:pt>
                <c:pt idx="174">
                  <c:v>3.8338285556789607E-2</c:v>
                </c:pt>
                <c:pt idx="175">
                  <c:v>3.8136942418571983E-2</c:v>
                </c:pt>
                <c:pt idx="176">
                  <c:v>3.7787563812241867E-2</c:v>
                </c:pt>
                <c:pt idx="177">
                  <c:v>3.7418267653598375E-2</c:v>
                </c:pt>
                <c:pt idx="178">
                  <c:v>3.7109385824082276E-2</c:v>
                </c:pt>
                <c:pt idx="179">
                  <c:v>3.7043382003075311E-2</c:v>
                </c:pt>
                <c:pt idx="180">
                  <c:v>3.7024463398067614E-2</c:v>
                </c:pt>
                <c:pt idx="181">
                  <c:v>3.7016499530280605E-2</c:v>
                </c:pt>
                <c:pt idx="182">
                  <c:v>3.7011492007552396E-2</c:v>
                </c:pt>
                <c:pt idx="183">
                  <c:v>3.7009609020560386E-2</c:v>
                </c:pt>
                <c:pt idx="184">
                  <c:v>3.7009296118486558E-2</c:v>
                </c:pt>
                <c:pt idx="185">
                  <c:v>3.7009093382974777E-2</c:v>
                </c:pt>
                <c:pt idx="186">
                  <c:v>3.7008895289961381E-2</c:v>
                </c:pt>
                <c:pt idx="187">
                  <c:v>3.7008385790394997E-2</c:v>
                </c:pt>
                <c:pt idx="188">
                  <c:v>3.7007450484823325E-2</c:v>
                </c:pt>
                <c:pt idx="189">
                  <c:v>3.7005162995133921E-2</c:v>
                </c:pt>
                <c:pt idx="190">
                  <c:v>3.6999648152755485E-2</c:v>
                </c:pt>
                <c:pt idx="191">
                  <c:v>3.6985567078245928E-2</c:v>
                </c:pt>
                <c:pt idx="192">
                  <c:v>3.6964750736903293E-2</c:v>
                </c:pt>
                <c:pt idx="193">
                  <c:v>3.6933683321912152E-2</c:v>
                </c:pt>
                <c:pt idx="194">
                  <c:v>3.6887960016211564E-2</c:v>
                </c:pt>
                <c:pt idx="195">
                  <c:v>3.6859463238000996E-2</c:v>
                </c:pt>
                <c:pt idx="196">
                  <c:v>3.6854547179445495E-2</c:v>
                </c:pt>
                <c:pt idx="197">
                  <c:v>3.6840996358136549E-2</c:v>
                </c:pt>
                <c:pt idx="198">
                  <c:v>3.6826296481024486E-2</c:v>
                </c:pt>
                <c:pt idx="199">
                  <c:v>3.6801596178584091E-2</c:v>
                </c:pt>
                <c:pt idx="200">
                  <c:v>3.6786876218563989E-2</c:v>
                </c:pt>
                <c:pt idx="201">
                  <c:v>3.6766724998648692E-2</c:v>
                </c:pt>
                <c:pt idx="202">
                  <c:v>3.6755968058315443E-2</c:v>
                </c:pt>
                <c:pt idx="203">
                  <c:v>3.6746645346835888E-2</c:v>
                </c:pt>
                <c:pt idx="204">
                  <c:v>3.6736808131500237E-2</c:v>
                </c:pt>
                <c:pt idx="205">
                  <c:v>3.672974717372407E-2</c:v>
                </c:pt>
                <c:pt idx="206">
                  <c:v>3.6725064620475992E-2</c:v>
                </c:pt>
                <c:pt idx="207">
                  <c:v>3.6720696139878876E-2</c:v>
                </c:pt>
                <c:pt idx="208">
                  <c:v>3.6717777714531302E-2</c:v>
                </c:pt>
                <c:pt idx="209">
                  <c:v>3.6714092364183153E-2</c:v>
                </c:pt>
                <c:pt idx="210">
                  <c:v>3.6711447618504735E-2</c:v>
                </c:pt>
                <c:pt idx="211">
                  <c:v>3.6707768722450275E-2</c:v>
                </c:pt>
                <c:pt idx="212">
                  <c:v>3.6705073644576869E-2</c:v>
                </c:pt>
                <c:pt idx="213">
                  <c:v>3.6704216320957252E-2</c:v>
                </c:pt>
                <c:pt idx="214">
                  <c:v>3.6703371164075828E-2</c:v>
                </c:pt>
                <c:pt idx="215">
                  <c:v>3.6702988998433952E-2</c:v>
                </c:pt>
                <c:pt idx="216">
                  <c:v>3.6702810585876502E-2</c:v>
                </c:pt>
                <c:pt idx="217">
                  <c:v>3.6702461938332431E-2</c:v>
                </c:pt>
                <c:pt idx="218">
                  <c:v>3.6700697670098988E-2</c:v>
                </c:pt>
                <c:pt idx="219">
                  <c:v>3.6698017110834154E-2</c:v>
                </c:pt>
                <c:pt idx="220">
                  <c:v>3.6685717178791988E-2</c:v>
                </c:pt>
                <c:pt idx="221">
                  <c:v>3.6678597987681881E-2</c:v>
                </c:pt>
                <c:pt idx="222">
                  <c:v>3.6665051239972421E-2</c:v>
                </c:pt>
                <c:pt idx="223">
                  <c:v>3.6658654790150527E-2</c:v>
                </c:pt>
                <c:pt idx="224">
                  <c:v>3.6653336188537312E-2</c:v>
                </c:pt>
                <c:pt idx="225">
                  <c:v>3.6638708809225561E-2</c:v>
                </c:pt>
                <c:pt idx="226">
                  <c:v>3.6624076067207564E-2</c:v>
                </c:pt>
                <c:pt idx="227">
                  <c:v>3.6599389475940929E-2</c:v>
                </c:pt>
                <c:pt idx="228">
                  <c:v>3.655247080718959E-2</c:v>
                </c:pt>
                <c:pt idx="229">
                  <c:v>3.6513200142656986E-2</c:v>
                </c:pt>
                <c:pt idx="230">
                  <c:v>3.6437364406331572E-2</c:v>
                </c:pt>
                <c:pt idx="231">
                  <c:v>3.636523804510372E-2</c:v>
                </c:pt>
                <c:pt idx="232">
                  <c:v>3.6284401988028896E-2</c:v>
                </c:pt>
                <c:pt idx="233">
                  <c:v>3.6236390389699606E-2</c:v>
                </c:pt>
                <c:pt idx="234">
                  <c:v>3.6155528253441559E-2</c:v>
                </c:pt>
                <c:pt idx="235">
                  <c:v>3.6095723646151809E-2</c:v>
                </c:pt>
                <c:pt idx="236">
                  <c:v>3.6021857534357306E-2</c:v>
                </c:pt>
                <c:pt idx="237">
                  <c:v>3.5992058504094801E-2</c:v>
                </c:pt>
                <c:pt idx="238">
                  <c:v>3.5964988909585993E-2</c:v>
                </c:pt>
                <c:pt idx="239">
                  <c:v>3.5921358192741032E-2</c:v>
                </c:pt>
                <c:pt idx="240">
                  <c:v>3.5868013111399775E-2</c:v>
                </c:pt>
                <c:pt idx="241">
                  <c:v>3.5838515500687985E-2</c:v>
                </c:pt>
                <c:pt idx="242">
                  <c:v>3.5781464653038469E-2</c:v>
                </c:pt>
                <c:pt idx="243">
                  <c:v>3.5763850758240019E-2</c:v>
                </c:pt>
                <c:pt idx="244">
                  <c:v>3.5736571425137691E-2</c:v>
                </c:pt>
                <c:pt idx="245">
                  <c:v>3.5729419504980209E-2</c:v>
                </c:pt>
                <c:pt idx="246">
                  <c:v>3.5723437090622021E-2</c:v>
                </c:pt>
                <c:pt idx="247">
                  <c:v>3.5712721507666481E-2</c:v>
                </c:pt>
                <c:pt idx="248">
                  <c:v>3.570863711296627E-2</c:v>
                </c:pt>
                <c:pt idx="249">
                  <c:v>3.5705482455350102E-2</c:v>
                </c:pt>
                <c:pt idx="250">
                  <c:v>3.5704433684459927E-2</c:v>
                </c:pt>
                <c:pt idx="251">
                  <c:v>3.5702020998753727E-2</c:v>
                </c:pt>
                <c:pt idx="252">
                  <c:v>3.5699964790402432E-2</c:v>
                </c:pt>
                <c:pt idx="253">
                  <c:v>3.5697411285323152E-2</c:v>
                </c:pt>
                <c:pt idx="254">
                  <c:v>3.5694618975026876E-2</c:v>
                </c:pt>
                <c:pt idx="255">
                  <c:v>3.569006921410222E-2</c:v>
                </c:pt>
                <c:pt idx="256">
                  <c:v>3.5684178773750817E-2</c:v>
                </c:pt>
                <c:pt idx="257">
                  <c:v>3.5677175310835751E-2</c:v>
                </c:pt>
                <c:pt idx="258">
                  <c:v>3.56685573260088E-2</c:v>
                </c:pt>
                <c:pt idx="259">
                  <c:v>3.5658078313574162E-2</c:v>
                </c:pt>
                <c:pt idx="260">
                  <c:v>3.5643977900449347E-2</c:v>
                </c:pt>
                <c:pt idx="261">
                  <c:v>3.5636500460560439E-2</c:v>
                </c:pt>
                <c:pt idx="262">
                  <c:v>3.5600922195934519E-2</c:v>
                </c:pt>
                <c:pt idx="263">
                  <c:v>3.5560749053831456E-2</c:v>
                </c:pt>
                <c:pt idx="264">
                  <c:v>3.5475104482969005E-2</c:v>
                </c:pt>
                <c:pt idx="265">
                  <c:v>3.5454609909117175E-2</c:v>
                </c:pt>
                <c:pt idx="266">
                  <c:v>3.5414289020094206E-2</c:v>
                </c:pt>
                <c:pt idx="267">
                  <c:v>3.5386509291488795E-2</c:v>
                </c:pt>
                <c:pt idx="268">
                  <c:v>3.5372183194557802E-2</c:v>
                </c:pt>
                <c:pt idx="269">
                  <c:v>3.5355897250594723E-2</c:v>
                </c:pt>
                <c:pt idx="270">
                  <c:v>3.5335459851537028E-2</c:v>
                </c:pt>
                <c:pt idx="271">
                  <c:v>3.5312731333814074E-2</c:v>
                </c:pt>
                <c:pt idx="272">
                  <c:v>3.5299850170945259E-2</c:v>
                </c:pt>
                <c:pt idx="273">
                  <c:v>3.5288299209064941E-2</c:v>
                </c:pt>
                <c:pt idx="274">
                  <c:v>3.5285332647541683E-2</c:v>
                </c:pt>
                <c:pt idx="275">
                  <c:v>3.528180780136677E-2</c:v>
                </c:pt>
                <c:pt idx="276">
                  <c:v>3.5280314054273565E-2</c:v>
                </c:pt>
                <c:pt idx="277">
                  <c:v>3.5279463976794136E-2</c:v>
                </c:pt>
                <c:pt idx="278">
                  <c:v>3.5278726045929631E-2</c:v>
                </c:pt>
                <c:pt idx="279">
                  <c:v>3.527803063062087E-2</c:v>
                </c:pt>
                <c:pt idx="280">
                  <c:v>3.5277432794988059E-2</c:v>
                </c:pt>
                <c:pt idx="281">
                  <c:v>3.5277138801543449E-2</c:v>
                </c:pt>
                <c:pt idx="282">
                  <c:v>3.5276602432493941E-2</c:v>
                </c:pt>
                <c:pt idx="283">
                  <c:v>3.5275512895712374E-2</c:v>
                </c:pt>
                <c:pt idx="284">
                  <c:v>3.5274006135399917E-2</c:v>
                </c:pt>
                <c:pt idx="285">
                  <c:v>3.5272795528010929E-2</c:v>
                </c:pt>
                <c:pt idx="286">
                  <c:v>3.5271928387180913E-2</c:v>
                </c:pt>
                <c:pt idx="287">
                  <c:v>3.5271197944605391E-2</c:v>
                </c:pt>
                <c:pt idx="288">
                  <c:v>3.5270962121694692E-2</c:v>
                </c:pt>
                <c:pt idx="289">
                  <c:v>3.52706170662105E-2</c:v>
                </c:pt>
                <c:pt idx="290">
                  <c:v>3.5269552308259428E-2</c:v>
                </c:pt>
                <c:pt idx="291">
                  <c:v>3.5267214808413508E-2</c:v>
                </c:pt>
                <c:pt idx="292">
                  <c:v>3.5260590760006337E-2</c:v>
                </c:pt>
                <c:pt idx="293">
                  <c:v>3.5246678244493027E-2</c:v>
                </c:pt>
                <c:pt idx="294">
                  <c:v>3.5228502011049455E-2</c:v>
                </c:pt>
                <c:pt idx="295">
                  <c:v>3.5192530389815901E-2</c:v>
                </c:pt>
                <c:pt idx="296">
                  <c:v>3.5129531571570567E-2</c:v>
                </c:pt>
                <c:pt idx="297">
                  <c:v>3.5084638612503126E-2</c:v>
                </c:pt>
                <c:pt idx="298">
                  <c:v>3.5027107547119483E-2</c:v>
                </c:pt>
                <c:pt idx="299">
                  <c:v>3.500753622053001E-2</c:v>
                </c:pt>
                <c:pt idx="300">
                  <c:v>3.4967160928969537E-2</c:v>
                </c:pt>
                <c:pt idx="301">
                  <c:v>3.4953073239278695E-2</c:v>
                </c:pt>
                <c:pt idx="302">
                  <c:v>3.4951273818696865E-2</c:v>
                </c:pt>
                <c:pt idx="303">
                  <c:v>3.4938460803406776E-2</c:v>
                </c:pt>
                <c:pt idx="304">
                  <c:v>3.4931343290319043E-2</c:v>
                </c:pt>
                <c:pt idx="305">
                  <c:v>3.4917797854861536E-2</c:v>
                </c:pt>
                <c:pt idx="306">
                  <c:v>3.4892467111946893E-2</c:v>
                </c:pt>
                <c:pt idx="307">
                  <c:v>3.4879240856304713E-2</c:v>
                </c:pt>
                <c:pt idx="308">
                  <c:v>3.4860863650806942E-2</c:v>
                </c:pt>
                <c:pt idx="309">
                  <c:v>3.4850739615124859E-2</c:v>
                </c:pt>
                <c:pt idx="310">
                  <c:v>3.4832333376791501E-2</c:v>
                </c:pt>
                <c:pt idx="311">
                  <c:v>3.4814308134003671E-2</c:v>
                </c:pt>
                <c:pt idx="312">
                  <c:v>3.4805015198428192E-2</c:v>
                </c:pt>
                <c:pt idx="313">
                  <c:v>3.4796838239391899E-2</c:v>
                </c:pt>
                <c:pt idx="314">
                  <c:v>3.4792464613415404E-2</c:v>
                </c:pt>
                <c:pt idx="315">
                  <c:v>3.478704895506398E-2</c:v>
                </c:pt>
                <c:pt idx="316">
                  <c:v>3.4773817913194824E-2</c:v>
                </c:pt>
                <c:pt idx="317">
                  <c:v>3.4746794775231675E-2</c:v>
                </c:pt>
                <c:pt idx="318">
                  <c:v>3.4729164450659031E-2</c:v>
                </c:pt>
                <c:pt idx="319">
                  <c:v>3.4710716599104172E-2</c:v>
                </c:pt>
                <c:pt idx="320">
                  <c:v>3.4691684788741253E-2</c:v>
                </c:pt>
                <c:pt idx="321">
                  <c:v>3.4656314649762217E-2</c:v>
                </c:pt>
                <c:pt idx="322">
                  <c:v>3.4642178152482807E-2</c:v>
                </c:pt>
                <c:pt idx="323">
                  <c:v>3.4625257935884987E-2</c:v>
                </c:pt>
                <c:pt idx="324">
                  <c:v>3.4602692091717055E-2</c:v>
                </c:pt>
                <c:pt idx="325">
                  <c:v>3.4598247247014012E-2</c:v>
                </c:pt>
                <c:pt idx="326">
                  <c:v>3.4588337267008128E-2</c:v>
                </c:pt>
                <c:pt idx="327">
                  <c:v>3.4583036412725421E-2</c:v>
                </c:pt>
                <c:pt idx="328">
                  <c:v>3.4574805651774211E-2</c:v>
                </c:pt>
                <c:pt idx="329">
                  <c:v>3.4570946463594397E-2</c:v>
                </c:pt>
                <c:pt idx="330">
                  <c:v>3.4565530806448329E-2</c:v>
                </c:pt>
                <c:pt idx="331">
                  <c:v>3.4556195499451242E-2</c:v>
                </c:pt>
                <c:pt idx="332">
                  <c:v>3.4513617476151691E-2</c:v>
                </c:pt>
                <c:pt idx="333">
                  <c:v>3.4475319783910718E-2</c:v>
                </c:pt>
                <c:pt idx="334">
                  <c:v>3.442469149116089E-2</c:v>
                </c:pt>
                <c:pt idx="335">
                  <c:v>3.4398911594789645E-2</c:v>
                </c:pt>
                <c:pt idx="336">
                  <c:v>3.4383404823219395E-2</c:v>
                </c:pt>
                <c:pt idx="337">
                  <c:v>3.4380568554131338E-2</c:v>
                </c:pt>
                <c:pt idx="338">
                  <c:v>3.4379688624911933E-2</c:v>
                </c:pt>
                <c:pt idx="339">
                  <c:v>3.4378774968752288E-2</c:v>
                </c:pt>
                <c:pt idx="340">
                  <c:v>3.4377116790502496E-2</c:v>
                </c:pt>
                <c:pt idx="341">
                  <c:v>3.4373750222822318E-2</c:v>
                </c:pt>
                <c:pt idx="342">
                  <c:v>3.4372503866672066E-2</c:v>
                </c:pt>
                <c:pt idx="343">
                  <c:v>3.4372184131840663E-2</c:v>
                </c:pt>
                <c:pt idx="344">
                  <c:v>3.4371846659906079E-2</c:v>
                </c:pt>
                <c:pt idx="345">
                  <c:v>3.4370485393549387E-2</c:v>
                </c:pt>
                <c:pt idx="346">
                  <c:v>3.4365790997212813E-2</c:v>
                </c:pt>
                <c:pt idx="347">
                  <c:v>3.4358158763178569E-2</c:v>
                </c:pt>
                <c:pt idx="348">
                  <c:v>3.4348345724365001E-2</c:v>
                </c:pt>
                <c:pt idx="349">
                  <c:v>3.4339679269535357E-2</c:v>
                </c:pt>
                <c:pt idx="350">
                  <c:v>3.4328093418875535E-2</c:v>
                </c:pt>
                <c:pt idx="351">
                  <c:v>3.4322472681635255E-2</c:v>
                </c:pt>
                <c:pt idx="352">
                  <c:v>3.4320538436624463E-2</c:v>
                </c:pt>
                <c:pt idx="353">
                  <c:v>3.4317242135252696E-2</c:v>
                </c:pt>
                <c:pt idx="354">
                  <c:v>3.4315001747002145E-2</c:v>
                </c:pt>
                <c:pt idx="355">
                  <c:v>3.4310680398804971E-2</c:v>
                </c:pt>
                <c:pt idx="356">
                  <c:v>3.4308544215099407E-2</c:v>
                </c:pt>
                <c:pt idx="357">
                  <c:v>3.4307224401914659E-2</c:v>
                </c:pt>
                <c:pt idx="358">
                  <c:v>3.4305211735420969E-2</c:v>
                </c:pt>
                <c:pt idx="359">
                  <c:v>3.4304148395995708E-2</c:v>
                </c:pt>
                <c:pt idx="360">
                  <c:v>3.4303655560983158E-2</c:v>
                </c:pt>
                <c:pt idx="361">
                  <c:v>3.4302820881851437E-2</c:v>
                </c:pt>
                <c:pt idx="362">
                  <c:v>3.4301297580366319E-2</c:v>
                </c:pt>
                <c:pt idx="363">
                  <c:v>3.429906850452355E-2</c:v>
                </c:pt>
                <c:pt idx="364">
                  <c:v>3.4293854433735484E-2</c:v>
                </c:pt>
                <c:pt idx="365">
                  <c:v>3.4280150535466652E-2</c:v>
                </c:pt>
                <c:pt idx="366">
                  <c:v>3.4242943021602815E-2</c:v>
                </c:pt>
                <c:pt idx="367">
                  <c:v>3.4079903958511633E-2</c:v>
                </c:pt>
                <c:pt idx="368">
                  <c:v>3.4070748650616954E-2</c:v>
                </c:pt>
                <c:pt idx="369">
                  <c:v>3.3959971500411468E-2</c:v>
                </c:pt>
                <c:pt idx="370">
                  <c:v>3.3870669777219579E-2</c:v>
                </c:pt>
                <c:pt idx="371">
                  <c:v>3.3829797704441951E-2</c:v>
                </c:pt>
                <c:pt idx="372">
                  <c:v>3.374806993519467E-2</c:v>
                </c:pt>
                <c:pt idx="373">
                  <c:v>3.3713298372233975E-2</c:v>
                </c:pt>
                <c:pt idx="374">
                  <c:v>3.3643612268697824E-2</c:v>
                </c:pt>
                <c:pt idx="375">
                  <c:v>3.3612809273901229E-2</c:v>
                </c:pt>
                <c:pt idx="376">
                  <c:v>3.359141714934108E-2</c:v>
                </c:pt>
                <c:pt idx="377">
                  <c:v>3.3551978372831186E-2</c:v>
                </c:pt>
                <c:pt idx="378">
                  <c:v>3.3534553720900979E-2</c:v>
                </c:pt>
                <c:pt idx="379">
                  <c:v>3.3520877483101036E-2</c:v>
                </c:pt>
                <c:pt idx="380">
                  <c:v>3.3518876953806342E-2</c:v>
                </c:pt>
                <c:pt idx="381">
                  <c:v>3.3518130741684173E-2</c:v>
                </c:pt>
                <c:pt idx="382">
                  <c:v>3.3517403773253268E-2</c:v>
                </c:pt>
                <c:pt idx="383">
                  <c:v>3.3517213171279862E-2</c:v>
                </c:pt>
                <c:pt idx="384">
                  <c:v>3.3516962200143233E-2</c:v>
                </c:pt>
                <c:pt idx="385">
                  <c:v>3.3516618275147202E-2</c:v>
                </c:pt>
                <c:pt idx="386">
                  <c:v>3.3516046493392571E-2</c:v>
                </c:pt>
                <c:pt idx="387">
                  <c:v>3.3514755613054309E-2</c:v>
                </c:pt>
                <c:pt idx="388">
                  <c:v>3.3512960692209715E-2</c:v>
                </c:pt>
                <c:pt idx="389">
                  <c:v>3.3511584115537091E-2</c:v>
                </c:pt>
                <c:pt idx="390">
                  <c:v>3.3511232021316548E-2</c:v>
                </c:pt>
                <c:pt idx="391">
                  <c:v>3.3511186189645097E-2</c:v>
                </c:pt>
                <c:pt idx="392">
                  <c:v>3.3511157998311641E-2</c:v>
                </c:pt>
                <c:pt idx="393">
                  <c:v>3.3511108217910861E-2</c:v>
                </c:pt>
                <c:pt idx="394">
                  <c:v>3.351098441779627E-2</c:v>
                </c:pt>
                <c:pt idx="395">
                  <c:v>3.3510658857512324E-2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CB-43E1-AB18-9CAA8B4E2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77055"/>
        <c:axId val="1703773215"/>
      </c:scatterChart>
      <c:scatterChart>
        <c:scatterStyle val="lineMarker"/>
        <c:varyColors val="0"/>
        <c:ser>
          <c:idx val="1"/>
          <c:order val="1"/>
          <c:tx>
            <c:strRef>
              <c:f>Iris!$AK$1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Iris!$AI$2:$AI$5002</c:f>
              <c:numCache>
                <c:formatCode>General</c:formatCode>
                <c:ptCount val="50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</c:numCache>
            </c:numRef>
          </c:xVal>
          <c:yVal>
            <c:numRef>
              <c:f>Iris!$AK$2:$AK$5002</c:f>
              <c:numCache>
                <c:formatCode>General</c:formatCode>
                <c:ptCount val="5001"/>
                <c:pt idx="0">
                  <c:v>1</c:v>
                </c:pt>
                <c:pt idx="1">
                  <c:v>9.9999914169311523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0.5</c:v>
                </c:pt>
                <c:pt idx="11">
                  <c:v>1</c:v>
                </c:pt>
                <c:pt idx="12">
                  <c:v>0.25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0.5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0.5</c:v>
                </c:pt>
                <c:pt idx="38">
                  <c:v>1</c:v>
                </c:pt>
                <c:pt idx="39">
                  <c:v>0.5</c:v>
                </c:pt>
                <c:pt idx="40">
                  <c:v>1</c:v>
                </c:pt>
                <c:pt idx="41">
                  <c:v>0.5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5.5</c:v>
                </c:pt>
                <c:pt idx="51">
                  <c:v>0.5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0.5</c:v>
                </c:pt>
                <c:pt idx="65">
                  <c:v>1</c:v>
                </c:pt>
                <c:pt idx="66">
                  <c:v>1</c:v>
                </c:pt>
                <c:pt idx="67">
                  <c:v>0.5</c:v>
                </c:pt>
                <c:pt idx="68">
                  <c:v>0.5</c:v>
                </c:pt>
                <c:pt idx="69">
                  <c:v>1</c:v>
                </c:pt>
                <c:pt idx="70">
                  <c:v>0.5</c:v>
                </c:pt>
                <c:pt idx="71">
                  <c:v>0.5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0.5</c:v>
                </c:pt>
                <c:pt idx="76">
                  <c:v>1</c:v>
                </c:pt>
                <c:pt idx="77">
                  <c:v>0.5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0.5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0.5</c:v>
                </c:pt>
                <c:pt idx="92">
                  <c:v>7.8125E-3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0.25</c:v>
                </c:pt>
                <c:pt idx="97">
                  <c:v>1</c:v>
                </c:pt>
                <c:pt idx="98">
                  <c:v>0.5</c:v>
                </c:pt>
                <c:pt idx="99">
                  <c:v>0.5</c:v>
                </c:pt>
                <c:pt idx="100">
                  <c:v>1</c:v>
                </c:pt>
                <c:pt idx="101">
                  <c:v>1</c:v>
                </c:pt>
                <c:pt idx="102">
                  <c:v>0.5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0.5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0.5</c:v>
                </c:pt>
                <c:pt idx="114">
                  <c:v>0.5</c:v>
                </c:pt>
                <c:pt idx="115">
                  <c:v>1</c:v>
                </c:pt>
                <c:pt idx="116">
                  <c:v>1</c:v>
                </c:pt>
                <c:pt idx="117">
                  <c:v>0.5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0.25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0.5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0.125</c:v>
                </c:pt>
                <c:pt idx="151">
                  <c:v>1</c:v>
                </c:pt>
                <c:pt idx="152">
                  <c:v>1</c:v>
                </c:pt>
                <c:pt idx="153">
                  <c:v>0.5</c:v>
                </c:pt>
                <c:pt idx="154">
                  <c:v>1</c:v>
                </c:pt>
                <c:pt idx="155">
                  <c:v>1</c:v>
                </c:pt>
                <c:pt idx="156">
                  <c:v>0.125</c:v>
                </c:pt>
                <c:pt idx="157">
                  <c:v>0.25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0.5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0.5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0.5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0.5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0.25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0.5</c:v>
                </c:pt>
                <c:pt idx="222">
                  <c:v>0.5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0.5</c:v>
                </c:pt>
                <c:pt idx="230">
                  <c:v>1</c:v>
                </c:pt>
                <c:pt idx="231">
                  <c:v>1</c:v>
                </c:pt>
                <c:pt idx="232">
                  <c:v>0.5</c:v>
                </c:pt>
                <c:pt idx="233">
                  <c:v>0.5</c:v>
                </c:pt>
                <c:pt idx="234">
                  <c:v>1</c:v>
                </c:pt>
                <c:pt idx="235">
                  <c:v>0.5</c:v>
                </c:pt>
                <c:pt idx="236">
                  <c:v>1</c:v>
                </c:pt>
                <c:pt idx="237">
                  <c:v>0.5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0.5</c:v>
                </c:pt>
                <c:pt idx="265">
                  <c:v>0.5</c:v>
                </c:pt>
                <c:pt idx="266">
                  <c:v>1</c:v>
                </c:pt>
                <c:pt idx="267">
                  <c:v>1</c:v>
                </c:pt>
                <c:pt idx="268">
                  <c:v>0.5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0.5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0.5</c:v>
                </c:pt>
                <c:pt idx="295">
                  <c:v>1</c:v>
                </c:pt>
                <c:pt idx="296">
                  <c:v>0.5</c:v>
                </c:pt>
                <c:pt idx="297">
                  <c:v>0.5</c:v>
                </c:pt>
                <c:pt idx="298">
                  <c:v>1</c:v>
                </c:pt>
                <c:pt idx="299">
                  <c:v>0.125</c:v>
                </c:pt>
                <c:pt idx="300">
                  <c:v>1</c:v>
                </c:pt>
                <c:pt idx="301">
                  <c:v>0.5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0.5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0.5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0.5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0.25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0.5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0.5</c:v>
                </c:pt>
                <c:pt idx="357">
                  <c:v>0.5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0.5</c:v>
                </c:pt>
                <c:pt idx="366">
                  <c:v>0.5</c:v>
                </c:pt>
                <c:pt idx="367">
                  <c:v>1</c:v>
                </c:pt>
                <c:pt idx="368">
                  <c:v>0.25</c:v>
                </c:pt>
                <c:pt idx="369">
                  <c:v>0.125</c:v>
                </c:pt>
                <c:pt idx="370">
                  <c:v>6.25E-2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CB-43E1-AB18-9CAA8B4E2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3798175"/>
        <c:axId val="1703783775"/>
      </c:scatterChart>
      <c:valAx>
        <c:axId val="1703777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3215"/>
        <c:crosses val="autoZero"/>
        <c:crossBetween val="midCat"/>
      </c:valAx>
      <c:valAx>
        <c:axId val="170377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77055"/>
        <c:crosses val="autoZero"/>
        <c:crossBetween val="midCat"/>
      </c:valAx>
      <c:valAx>
        <c:axId val="170378377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798175"/>
        <c:crosses val="max"/>
        <c:crossBetween val="midCat"/>
      </c:valAx>
      <c:valAx>
        <c:axId val="1703798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3783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5</xdr:row>
      <xdr:rowOff>38100</xdr:rowOff>
    </xdr:from>
    <xdr:to>
      <xdr:col>16</xdr:col>
      <xdr:colOff>558600</xdr:colOff>
      <xdr:row>17</xdr:row>
      <xdr:rowOff>92100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09950" y="35337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3409950" y="35337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57212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200775" y="3638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328612</xdr:colOff>
      <xdr:row>1</xdr:row>
      <xdr:rowOff>95250</xdr:rowOff>
    </xdr:from>
    <xdr:to>
      <xdr:col>38</xdr:col>
      <xdr:colOff>23812</xdr:colOff>
      <xdr:row>15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47625</xdr:rowOff>
        </xdr:from>
        <xdr:to>
          <xdr:col>14</xdr:col>
          <xdr:colOff>123825</xdr:colOff>
          <xdr:row>21</xdr:row>
          <xdr:rowOff>142875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219075</xdr:colOff>
      <xdr:row>5</xdr:row>
      <xdr:rowOff>0</xdr:rowOff>
    </xdr:from>
    <xdr:to>
      <xdr:col>15</xdr:col>
      <xdr:colOff>120675</xdr:colOff>
      <xdr:row>17</xdr:row>
      <xdr:rowOff>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38950" y="37242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5400000">
          <a:off x="6838950" y="37242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001125" y="4019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62977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57150</xdr:rowOff>
        </xdr:from>
        <xdr:to>
          <xdr:col>14</xdr:col>
          <xdr:colOff>123825</xdr:colOff>
          <xdr:row>21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66675</xdr:colOff>
      <xdr:row>5</xdr:row>
      <xdr:rowOff>0</xdr:rowOff>
    </xdr:from>
    <xdr:to>
      <xdr:col>16</xdr:col>
      <xdr:colOff>549075</xdr:colOff>
      <xdr:row>17</xdr:row>
      <xdr:rowOff>54000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133350</xdr:colOff>
      <xdr:row>18</xdr:row>
      <xdr:rowOff>104775</xdr:rowOff>
    </xdr:from>
    <xdr:to>
      <xdr:col>11</xdr:col>
      <xdr:colOff>419100</xdr:colOff>
      <xdr:row>22</xdr:row>
      <xdr:rowOff>152400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409950" y="3533775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10</xdr:col>
      <xdr:colOff>481012</xdr:colOff>
      <xdr:row>19</xdr:row>
      <xdr:rowOff>176214</xdr:rowOff>
    </xdr:from>
    <xdr:to>
      <xdr:col>12</xdr:col>
      <xdr:colOff>71437</xdr:colOff>
      <xdr:row>21</xdr:row>
      <xdr:rowOff>80964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3409950" y="3533776"/>
          <a:ext cx="285750" cy="80962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14</xdr:col>
      <xdr:colOff>466725</xdr:colOff>
      <xdr:row>20</xdr:row>
      <xdr:rowOff>19050</xdr:rowOff>
    </xdr:from>
    <xdr:to>
      <xdr:col>15</xdr:col>
      <xdr:colOff>257175</xdr:colOff>
      <xdr:row>22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572125" y="38290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 editAs="oneCell">
    <xdr:from>
      <xdr:col>15</xdr:col>
      <xdr:colOff>485775</xdr:colOff>
      <xdr:row>19</xdr:row>
      <xdr:rowOff>19050</xdr:rowOff>
    </xdr:from>
    <xdr:to>
      <xdr:col>16</xdr:col>
      <xdr:colOff>276225</xdr:colOff>
      <xdr:row>21</xdr:row>
      <xdr:rowOff>38100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200775" y="3638550"/>
          <a:ext cx="400050" cy="4000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22</xdr:row>
          <xdr:rowOff>66675</xdr:rowOff>
        </xdr:from>
        <xdr:to>
          <xdr:col>14</xdr:col>
          <xdr:colOff>133350</xdr:colOff>
          <xdr:row>24</xdr:row>
          <xdr:rowOff>76200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Train Mario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18</xdr:row>
          <xdr:rowOff>38100</xdr:rowOff>
        </xdr:from>
        <xdr:to>
          <xdr:col>14</xdr:col>
          <xdr:colOff>123825</xdr:colOff>
          <xdr:row>19</xdr:row>
          <xdr:rowOff>133350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10 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447675</xdr:colOff>
          <xdr:row>20</xdr:row>
          <xdr:rowOff>57150</xdr:rowOff>
        </xdr:from>
        <xdr:to>
          <xdr:col>14</xdr:col>
          <xdr:colOff>123825</xdr:colOff>
          <xdr:row>21</xdr:row>
          <xdr:rowOff>152400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2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HK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15</xdr:col>
      <xdr:colOff>302400</xdr:colOff>
      <xdr:row>17</xdr:row>
      <xdr:rowOff>64500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219075</xdr:colOff>
      <xdr:row>6</xdr:row>
      <xdr:rowOff>0</xdr:rowOff>
    </xdr:from>
    <xdr:to>
      <xdr:col>21</xdr:col>
      <xdr:colOff>521475</xdr:colOff>
      <xdr:row>17</xdr:row>
      <xdr:rowOff>64500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1</xdr:row>
      <xdr:rowOff>38100</xdr:rowOff>
    </xdr:from>
    <xdr:to>
      <xdr:col>14</xdr:col>
      <xdr:colOff>197625</xdr:colOff>
      <xdr:row>12</xdr:row>
      <xdr:rowOff>102600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302400</xdr:colOff>
      <xdr:row>24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504825</xdr:colOff>
      <xdr:row>1</xdr:row>
      <xdr:rowOff>38100</xdr:rowOff>
    </xdr:from>
    <xdr:to>
      <xdr:col>14</xdr:col>
      <xdr:colOff>197625</xdr:colOff>
      <xdr:row>12</xdr:row>
      <xdr:rowOff>102600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302400</xdr:colOff>
      <xdr:row>24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200025</xdr:colOff>
      <xdr:row>2</xdr:row>
      <xdr:rowOff>152400</xdr:rowOff>
    </xdr:from>
    <xdr:to>
      <xdr:col>15</xdr:col>
      <xdr:colOff>502425</xdr:colOff>
      <xdr:row>14</xdr:row>
      <xdr:rowOff>26400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15</xdr:col>
      <xdr:colOff>302400</xdr:colOff>
      <xdr:row>26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2</xdr:row>
      <xdr:rowOff>0</xdr:rowOff>
    </xdr:from>
    <xdr:to>
      <xdr:col>28</xdr:col>
      <xdr:colOff>52800</xdr:colOff>
      <xdr:row>13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13</xdr:row>
      <xdr:rowOff>0</xdr:rowOff>
    </xdr:from>
    <xdr:to>
      <xdr:col>28</xdr:col>
      <xdr:colOff>52800</xdr:colOff>
      <xdr:row>24</xdr:row>
      <xdr:rowOff>64500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0</xdr:colOff>
      <xdr:row>2</xdr:row>
      <xdr:rowOff>0</xdr:rowOff>
    </xdr:from>
    <xdr:to>
      <xdr:col>44</xdr:col>
      <xdr:colOff>482400</xdr:colOff>
      <xdr:row>13</xdr:row>
      <xdr:rowOff>64500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9525</xdr:colOff>
      <xdr:row>13</xdr:row>
      <xdr:rowOff>85725</xdr:rowOff>
    </xdr:from>
    <xdr:to>
      <xdr:col>44</xdr:col>
      <xdr:colOff>491925</xdr:colOff>
      <xdr:row>24</xdr:row>
      <xdr:rowOff>150225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EB90-1DCD-4F83-902E-4B746ADCC875}">
  <sheetPr codeName="Sheet8">
    <tabColor rgb="FFFFFF00"/>
  </sheetPr>
  <dimension ref="B1:AD25"/>
  <sheetViews>
    <sheetView topLeftCell="B1" workbookViewId="0">
      <selection activeCell="B3" sqref="B3"/>
    </sheetView>
  </sheetViews>
  <sheetFormatPr defaultRowHeight="15" x14ac:dyDescent="0.25"/>
  <cols>
    <col min="2" max="10" width="3.42578125" customWidth="1"/>
  </cols>
  <sheetData>
    <row r="1" spans="2:30" x14ac:dyDescent="0.25">
      <c r="U1" t="s">
        <v>35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36</v>
      </c>
    </row>
    <row r="2" spans="2:30" x14ac:dyDescent="0.25">
      <c r="K2" s="12" t="s">
        <v>19</v>
      </c>
      <c r="L2" s="16" t="s">
        <v>21</v>
      </c>
      <c r="M2" s="2"/>
      <c r="N2" s="2"/>
      <c r="O2" s="2"/>
      <c r="P2" s="2"/>
      <c r="Q2" s="2"/>
    </row>
    <row r="3" spans="2:30" x14ac:dyDescent="0.25">
      <c r="B3" t="s">
        <v>0</v>
      </c>
      <c r="E3" t="s">
        <v>16</v>
      </c>
      <c r="H3" t="s">
        <v>17</v>
      </c>
      <c r="K3" s="12" t="s">
        <v>3</v>
      </c>
      <c r="L3" s="16">
        <v>30</v>
      </c>
      <c r="M3" s="13" t="s">
        <v>4</v>
      </c>
      <c r="N3" s="2"/>
      <c r="O3" s="2"/>
      <c r="P3" s="2"/>
      <c r="Q3" s="2"/>
    </row>
    <row r="4" spans="2:30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</row>
    <row r="5" spans="2:30" x14ac:dyDescent="0.25">
      <c r="B5">
        <v>0</v>
      </c>
      <c r="C5" s="1">
        <v>0</v>
      </c>
      <c r="E5" s="1">
        <v>30</v>
      </c>
      <c r="F5">
        <v>10</v>
      </c>
      <c r="H5">
        <v>15</v>
      </c>
      <c r="I5">
        <v>30</v>
      </c>
      <c r="K5" s="3" t="s">
        <v>38</v>
      </c>
      <c r="L5" s="4"/>
      <c r="M5" s="4"/>
      <c r="N5" s="4"/>
      <c r="O5" s="4"/>
      <c r="P5" s="4"/>
      <c r="Q5" s="5"/>
    </row>
    <row r="6" spans="2:30" x14ac:dyDescent="0.25">
      <c r="B6">
        <f>B5-4</f>
        <v>-4</v>
      </c>
      <c r="C6">
        <f>C5+8</f>
        <v>8</v>
      </c>
      <c r="E6">
        <f>E$5+10</f>
        <v>40</v>
      </c>
      <c r="F6">
        <f>$F$5</f>
        <v>10</v>
      </c>
      <c r="K6" s="6"/>
      <c r="L6" s="7"/>
      <c r="M6" s="7"/>
      <c r="N6" s="7"/>
      <c r="O6" s="7"/>
      <c r="P6" s="7"/>
      <c r="Q6" s="8"/>
    </row>
    <row r="7" spans="2:30" x14ac:dyDescent="0.25">
      <c r="B7">
        <f>B5</f>
        <v>0</v>
      </c>
      <c r="C7">
        <f>C6+8</f>
        <v>16</v>
      </c>
      <c r="E7">
        <f>E$5+12</f>
        <v>42</v>
      </c>
      <c r="F7">
        <v>0</v>
      </c>
      <c r="K7" s="6"/>
      <c r="L7" s="7"/>
      <c r="M7" s="7"/>
      <c r="N7" s="7"/>
      <c r="O7" s="7"/>
      <c r="P7" s="7"/>
      <c r="Q7" s="8"/>
    </row>
    <row r="8" spans="2:30" x14ac:dyDescent="0.25">
      <c r="B8">
        <f>B7+4</f>
        <v>4</v>
      </c>
      <c r="C8">
        <f>C6</f>
        <v>8</v>
      </c>
      <c r="E8">
        <f>E$5-2</f>
        <v>28</v>
      </c>
      <c r="F8">
        <v>0</v>
      </c>
      <c r="K8" s="6"/>
      <c r="L8" s="7"/>
      <c r="M8" s="7"/>
      <c r="N8" s="7"/>
      <c r="O8" s="7"/>
      <c r="P8" s="7"/>
      <c r="Q8" s="8"/>
    </row>
    <row r="9" spans="2:30" x14ac:dyDescent="0.25">
      <c r="B9">
        <f>B5</f>
        <v>0</v>
      </c>
      <c r="C9">
        <f>C5</f>
        <v>0</v>
      </c>
      <c r="E9">
        <f>E$5</f>
        <v>30</v>
      </c>
      <c r="F9">
        <f>$F$5</f>
        <v>10</v>
      </c>
      <c r="K9" s="6"/>
      <c r="L9" s="7"/>
      <c r="M9" s="7"/>
      <c r="N9" s="7"/>
      <c r="O9" s="7"/>
      <c r="P9" s="7"/>
      <c r="Q9" s="8"/>
    </row>
    <row r="10" spans="2:30" x14ac:dyDescent="0.25">
      <c r="K10" s="6"/>
      <c r="L10" s="7"/>
      <c r="M10" s="7"/>
      <c r="N10" s="7"/>
      <c r="O10" s="7"/>
      <c r="P10" s="7"/>
      <c r="Q10" s="8"/>
    </row>
    <row r="11" spans="2:30" x14ac:dyDescent="0.25">
      <c r="K11" s="6"/>
      <c r="L11" s="7"/>
      <c r="M11" s="7"/>
      <c r="N11" s="7"/>
      <c r="O11" s="7"/>
      <c r="P11" s="7"/>
      <c r="Q11" s="8"/>
    </row>
    <row r="12" spans="2:30" x14ac:dyDescent="0.25">
      <c r="B12">
        <v>0</v>
      </c>
      <c r="C12">
        <f>C5+8</f>
        <v>8</v>
      </c>
      <c r="D12" t="s">
        <v>18</v>
      </c>
      <c r="E12">
        <f>$E$5+5</f>
        <v>35</v>
      </c>
      <c r="F12">
        <v>5</v>
      </c>
      <c r="G12" t="s">
        <v>16</v>
      </c>
      <c r="K12" s="6"/>
      <c r="L12" s="7"/>
      <c r="M12" s="7"/>
      <c r="N12" s="7"/>
      <c r="O12" s="7"/>
      <c r="P12" s="7"/>
      <c r="Q12" s="8"/>
    </row>
    <row r="13" spans="2:30" x14ac:dyDescent="0.25">
      <c r="K13" s="6"/>
      <c r="L13" s="7"/>
      <c r="M13" s="7"/>
      <c r="N13" s="7"/>
      <c r="O13" s="7"/>
      <c r="P13" s="7"/>
      <c r="Q13" s="8"/>
    </row>
    <row r="14" spans="2:30" x14ac:dyDescent="0.25">
      <c r="K14" s="6"/>
      <c r="L14" s="7"/>
      <c r="M14" s="7"/>
      <c r="N14" s="7"/>
      <c r="O14" s="7"/>
      <c r="P14" s="7"/>
      <c r="Q14" s="8"/>
    </row>
    <row r="15" spans="2:30" x14ac:dyDescent="0.25">
      <c r="K15" s="6"/>
      <c r="L15" s="7"/>
      <c r="M15" s="7"/>
      <c r="N15" s="7"/>
      <c r="O15" s="7"/>
      <c r="P15" s="7"/>
      <c r="Q15" s="8"/>
    </row>
    <row r="16" spans="2:30" x14ac:dyDescent="0.25">
      <c r="K16" s="6"/>
      <c r="L16" s="7"/>
      <c r="M16" s="7"/>
      <c r="N16" s="7"/>
      <c r="O16" s="7"/>
      <c r="P16" s="7"/>
      <c r="Q16" s="8"/>
    </row>
    <row r="17" spans="11:17" x14ac:dyDescent="0.25">
      <c r="K17" s="6"/>
      <c r="L17" s="7"/>
      <c r="M17" s="7"/>
      <c r="N17" s="7"/>
      <c r="O17" s="7"/>
      <c r="P17" s="7"/>
      <c r="Q17" s="8"/>
    </row>
    <row r="18" spans="11:17" x14ac:dyDescent="0.25">
      <c r="K18" s="6"/>
      <c r="L18" s="7"/>
      <c r="M18" s="7"/>
      <c r="N18" s="7"/>
      <c r="O18" s="7"/>
      <c r="P18" s="7"/>
      <c r="Q18" s="8"/>
    </row>
    <row r="19" spans="11:17" x14ac:dyDescent="0.25">
      <c r="K19" s="6"/>
      <c r="L19" s="7"/>
      <c r="M19" s="7"/>
      <c r="N19" s="7"/>
      <c r="O19" s="7"/>
      <c r="P19" s="7"/>
      <c r="Q19" s="8"/>
    </row>
    <row r="20" spans="11:17" x14ac:dyDescent="0.25">
      <c r="K20" s="6"/>
      <c r="L20" s="7"/>
      <c r="M20" s="7"/>
      <c r="N20" s="7"/>
      <c r="O20" s="7"/>
      <c r="P20" s="7"/>
      <c r="Q20" s="8"/>
    </row>
    <row r="21" spans="11:17" x14ac:dyDescent="0.25">
      <c r="K21" s="6"/>
      <c r="L21" s="7"/>
      <c r="M21" s="7"/>
      <c r="N21" s="7"/>
      <c r="O21" s="7"/>
      <c r="P21" s="7"/>
      <c r="Q21" s="8"/>
    </row>
    <row r="22" spans="11:17" x14ac:dyDescent="0.25">
      <c r="K22" s="6"/>
      <c r="L22" s="7"/>
      <c r="M22" s="7"/>
      <c r="N22" s="7"/>
      <c r="O22" s="7"/>
      <c r="P22" s="7"/>
      <c r="Q22" s="8"/>
    </row>
    <row r="23" spans="11:17" x14ac:dyDescent="0.25">
      <c r="K23" s="6"/>
      <c r="L23" s="7"/>
      <c r="M23" s="7"/>
      <c r="N23" s="7"/>
      <c r="O23" s="7"/>
      <c r="P23" s="7"/>
      <c r="Q23" s="8"/>
    </row>
    <row r="24" spans="11:17" x14ac:dyDescent="0.25">
      <c r="K24" s="6"/>
      <c r="L24" s="7"/>
      <c r="M24" s="7"/>
      <c r="N24" s="7"/>
      <c r="O24" s="7"/>
      <c r="P24" s="7"/>
      <c r="Q24" s="8"/>
    </row>
    <row r="25" spans="11:17" x14ac:dyDescent="0.25">
      <c r="K25" s="9"/>
      <c r="L25" s="10"/>
      <c r="M25" s="10"/>
      <c r="N25" s="10"/>
      <c r="O25" s="10"/>
      <c r="P25" s="10"/>
      <c r="Q25" s="11"/>
    </row>
  </sheetData>
  <dataValidations count="1">
    <dataValidation type="list" allowBlank="1" showInputMessage="1" showErrorMessage="1" sqref="L4" xr:uid="{428D0302-D0FD-4F15-B59C-3373CE7EF431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47625</xdr:rowOff>
                  </from>
                  <to>
                    <xdr:col>14</xdr:col>
                    <xdr:colOff>123825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ED7C-F1D2-4530-9248-1E307884DE02}">
  <sheetPr codeName="Sheet1">
    <tabColor rgb="FFFFFF00"/>
  </sheetPr>
  <dimension ref="B2:Q25"/>
  <sheetViews>
    <sheetView workbookViewId="0">
      <selection activeCell="F29" sqref="F29"/>
    </sheetView>
  </sheetViews>
  <sheetFormatPr defaultRowHeight="15" x14ac:dyDescent="0.25"/>
  <cols>
    <col min="2" max="10" width="3.42578125" customWidth="1"/>
  </cols>
  <sheetData>
    <row r="2" spans="2:17" x14ac:dyDescent="0.25">
      <c r="K2" s="12" t="s">
        <v>19</v>
      </c>
      <c r="L2" s="16" t="s">
        <v>9</v>
      </c>
      <c r="M2" s="2"/>
      <c r="N2" s="2"/>
      <c r="O2" s="2"/>
      <c r="P2" s="2"/>
      <c r="Q2" s="2"/>
    </row>
    <row r="3" spans="2:17" x14ac:dyDescent="0.25">
      <c r="B3" t="s">
        <v>0</v>
      </c>
      <c r="E3" t="s">
        <v>9</v>
      </c>
      <c r="H3" t="s">
        <v>10</v>
      </c>
      <c r="K3" s="12" t="s">
        <v>3</v>
      </c>
      <c r="L3" s="16">
        <v>10</v>
      </c>
      <c r="M3" s="13" t="s">
        <v>4</v>
      </c>
      <c r="N3" s="2"/>
      <c r="O3" s="2"/>
      <c r="P3" s="2"/>
      <c r="Q3" s="2"/>
    </row>
    <row r="4" spans="2:17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</row>
    <row r="5" spans="2:17" x14ac:dyDescent="0.25">
      <c r="B5" s="1">
        <v>1</v>
      </c>
      <c r="C5" s="1">
        <v>7</v>
      </c>
      <c r="D5" t="s">
        <v>18</v>
      </c>
      <c r="E5">
        <v>1</v>
      </c>
      <c r="F5">
        <v>5</v>
      </c>
      <c r="H5">
        <v>7</v>
      </c>
      <c r="I5">
        <v>1</v>
      </c>
      <c r="J5" t="s">
        <v>41</v>
      </c>
      <c r="K5" s="3" t="s">
        <v>38</v>
      </c>
      <c r="L5" s="4"/>
      <c r="M5" s="49"/>
      <c r="N5" s="50"/>
      <c r="O5" s="50"/>
      <c r="P5" s="4"/>
      <c r="Q5" s="5"/>
    </row>
    <row r="6" spans="2:17" x14ac:dyDescent="0.25">
      <c r="E6">
        <v>2</v>
      </c>
      <c r="F6">
        <v>2</v>
      </c>
      <c r="K6" s="6"/>
      <c r="L6" s="7"/>
      <c r="M6" s="7"/>
      <c r="N6" s="7"/>
      <c r="O6" s="7"/>
      <c r="P6" s="7"/>
      <c r="Q6" s="8"/>
    </row>
    <row r="7" spans="2:17" x14ac:dyDescent="0.25">
      <c r="E7">
        <v>2</v>
      </c>
      <c r="F7">
        <v>3</v>
      </c>
      <c r="K7" s="6"/>
      <c r="L7" s="7"/>
      <c r="M7" s="7"/>
      <c r="N7" s="7"/>
      <c r="O7" s="7"/>
      <c r="P7" s="7"/>
      <c r="Q7" s="8"/>
    </row>
    <row r="8" spans="2:17" x14ac:dyDescent="0.25">
      <c r="E8">
        <v>2</v>
      </c>
      <c r="F8">
        <v>5</v>
      </c>
      <c r="K8" s="6"/>
      <c r="L8" s="7"/>
      <c r="M8" s="7"/>
      <c r="N8" s="7"/>
      <c r="O8" s="7"/>
      <c r="P8" s="7"/>
      <c r="Q8" s="8"/>
    </row>
    <row r="9" spans="2:17" x14ac:dyDescent="0.25">
      <c r="E9">
        <v>2</v>
      </c>
      <c r="F9">
        <v>7</v>
      </c>
      <c r="K9" s="6"/>
      <c r="L9" s="7"/>
      <c r="M9" s="7"/>
      <c r="N9" s="7"/>
      <c r="O9" s="7"/>
      <c r="P9" s="7"/>
      <c r="Q9" s="8"/>
    </row>
    <row r="10" spans="2:17" x14ac:dyDescent="0.25">
      <c r="E10">
        <v>3</v>
      </c>
      <c r="F10">
        <v>3</v>
      </c>
      <c r="K10" s="6"/>
      <c r="L10" s="7"/>
      <c r="M10" s="7"/>
      <c r="N10" s="7"/>
      <c r="O10" s="7"/>
      <c r="P10" s="7"/>
      <c r="Q10" s="8"/>
    </row>
    <row r="11" spans="2:17" x14ac:dyDescent="0.25">
      <c r="E11">
        <v>3</v>
      </c>
      <c r="F11">
        <v>5</v>
      </c>
      <c r="K11" s="6"/>
      <c r="L11" s="7"/>
      <c r="M11" s="7"/>
      <c r="N11" s="7"/>
      <c r="O11" s="7"/>
      <c r="P11" s="7"/>
      <c r="Q11" s="8"/>
    </row>
    <row r="12" spans="2:17" x14ac:dyDescent="0.25">
      <c r="E12">
        <v>4</v>
      </c>
      <c r="F12">
        <v>1</v>
      </c>
      <c r="K12" s="6"/>
      <c r="L12" s="7"/>
      <c r="M12" s="7"/>
      <c r="N12" s="7"/>
      <c r="O12" s="7"/>
      <c r="P12" s="7"/>
      <c r="Q12" s="8"/>
    </row>
    <row r="13" spans="2:17" x14ac:dyDescent="0.25">
      <c r="E13">
        <v>4</v>
      </c>
      <c r="F13">
        <v>3</v>
      </c>
      <c r="K13" s="6"/>
      <c r="L13" s="7"/>
      <c r="M13" s="7"/>
      <c r="N13" s="7"/>
      <c r="O13" s="7"/>
      <c r="P13" s="7"/>
      <c r="Q13" s="8"/>
    </row>
    <row r="14" spans="2:17" x14ac:dyDescent="0.25">
      <c r="E14">
        <v>4</v>
      </c>
      <c r="F14">
        <v>6</v>
      </c>
      <c r="K14" s="6"/>
      <c r="L14" s="7"/>
      <c r="M14" s="7"/>
      <c r="N14" s="7"/>
      <c r="O14" s="7"/>
      <c r="P14" s="7"/>
      <c r="Q14" s="8"/>
    </row>
    <row r="15" spans="2:17" x14ac:dyDescent="0.25">
      <c r="E15">
        <v>5</v>
      </c>
      <c r="F15">
        <v>4</v>
      </c>
      <c r="K15" s="6"/>
      <c r="L15" s="7"/>
      <c r="M15" s="7"/>
      <c r="N15" s="7"/>
      <c r="O15" s="7"/>
      <c r="P15" s="7"/>
      <c r="Q15" s="8"/>
    </row>
    <row r="16" spans="2:17" x14ac:dyDescent="0.25">
      <c r="E16">
        <v>5</v>
      </c>
      <c r="F16">
        <v>6</v>
      </c>
      <c r="K16" s="6"/>
      <c r="L16" s="7"/>
      <c r="M16" s="7"/>
      <c r="N16" s="7"/>
      <c r="O16" s="7"/>
      <c r="P16" s="7"/>
      <c r="Q16" s="8"/>
    </row>
    <row r="17" spans="5:17" x14ac:dyDescent="0.25">
      <c r="E17">
        <v>6</v>
      </c>
      <c r="F17">
        <v>4</v>
      </c>
      <c r="K17" s="6"/>
      <c r="L17" s="7"/>
      <c r="M17" s="7"/>
      <c r="N17" s="7"/>
      <c r="O17" s="7"/>
      <c r="P17" s="7"/>
      <c r="Q17" s="8"/>
    </row>
    <row r="18" spans="5:17" x14ac:dyDescent="0.25">
      <c r="E18">
        <v>7</v>
      </c>
      <c r="F18">
        <v>5</v>
      </c>
      <c r="K18" s="6"/>
      <c r="L18" s="7"/>
      <c r="M18" s="7"/>
      <c r="N18" s="7"/>
      <c r="O18" s="7"/>
      <c r="P18" s="7"/>
      <c r="Q18" s="8"/>
    </row>
    <row r="19" spans="5:17" x14ac:dyDescent="0.25">
      <c r="E19">
        <v>7</v>
      </c>
      <c r="F19">
        <v>6</v>
      </c>
      <c r="K19" s="6"/>
      <c r="L19" s="7"/>
      <c r="M19" s="7"/>
      <c r="N19" s="7"/>
      <c r="O19" s="7"/>
      <c r="P19" s="7"/>
      <c r="Q19" s="8"/>
    </row>
    <row r="20" spans="5:17" x14ac:dyDescent="0.25">
      <c r="K20" s="6"/>
      <c r="L20" s="7"/>
      <c r="M20" s="7"/>
      <c r="N20" s="7"/>
      <c r="O20" s="7"/>
      <c r="P20" s="7"/>
      <c r="Q20" s="8"/>
    </row>
    <row r="21" spans="5:17" x14ac:dyDescent="0.25">
      <c r="K21" s="6"/>
      <c r="L21" s="7"/>
      <c r="M21" s="7"/>
      <c r="N21" s="7"/>
      <c r="O21" s="7"/>
      <c r="P21" s="7"/>
      <c r="Q21" s="8"/>
    </row>
    <row r="22" spans="5:17" x14ac:dyDescent="0.25">
      <c r="K22" s="6"/>
      <c r="L22" s="7"/>
      <c r="M22" s="7"/>
      <c r="N22" s="7"/>
      <c r="O22" s="7"/>
      <c r="P22" s="7"/>
      <c r="Q22" s="8"/>
    </row>
    <row r="23" spans="5:17" x14ac:dyDescent="0.25">
      <c r="K23" s="6"/>
      <c r="L23" s="7"/>
      <c r="M23" s="7"/>
      <c r="N23" s="7"/>
      <c r="O23" s="7"/>
      <c r="P23" s="7"/>
      <c r="Q23" s="8"/>
    </row>
    <row r="24" spans="5:17" x14ac:dyDescent="0.25">
      <c r="K24" s="6"/>
      <c r="L24" s="7"/>
      <c r="M24" s="7"/>
      <c r="N24" s="7"/>
      <c r="O24" s="7"/>
      <c r="P24" s="7"/>
      <c r="Q24" s="8"/>
    </row>
    <row r="25" spans="5:17" x14ac:dyDescent="0.25">
      <c r="K25" s="9"/>
      <c r="L25" s="10"/>
      <c r="M25" s="10"/>
      <c r="N25" s="10"/>
      <c r="O25" s="10"/>
      <c r="P25" s="10"/>
      <c r="Q25" s="11"/>
    </row>
  </sheetData>
  <dataValidations count="1">
    <dataValidation type="list" allowBlank="1" showInputMessage="1" showErrorMessage="1" sqref="L4" xr:uid="{4BE1D0A3-074D-46EE-AB76-01D49BB338D5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57150</xdr:rowOff>
                  </from>
                  <to>
                    <xdr:col>14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3F5AD-59FC-4B82-BDBE-FBE01B58E86E}">
  <sheetPr codeName="Sheet12">
    <tabColor rgb="FFFFFF00"/>
  </sheetPr>
  <dimension ref="B2:Y31"/>
  <sheetViews>
    <sheetView tabSelected="1" workbookViewId="0">
      <selection activeCell="L2" sqref="L2"/>
    </sheetView>
  </sheetViews>
  <sheetFormatPr defaultRowHeight="15" x14ac:dyDescent="0.25"/>
  <cols>
    <col min="2" max="10" width="3.42578125" customWidth="1"/>
    <col min="23" max="23" width="9.140625" customWidth="1"/>
  </cols>
  <sheetData>
    <row r="2" spans="2:25" x14ac:dyDescent="0.25">
      <c r="K2" s="12" t="s">
        <v>19</v>
      </c>
      <c r="L2" s="16" t="s">
        <v>40</v>
      </c>
      <c r="M2" s="2"/>
      <c r="N2" s="2"/>
      <c r="O2" s="2"/>
      <c r="P2" s="2"/>
      <c r="Q2" s="2"/>
    </row>
    <row r="3" spans="2:25" x14ac:dyDescent="0.25">
      <c r="B3" t="s">
        <v>0</v>
      </c>
      <c r="E3" t="s">
        <v>9</v>
      </c>
      <c r="H3" t="s">
        <v>10</v>
      </c>
      <c r="K3" s="12" t="s">
        <v>3</v>
      </c>
      <c r="L3" s="16">
        <v>10</v>
      </c>
      <c r="M3" s="13" t="s">
        <v>4</v>
      </c>
      <c r="N3" s="2"/>
      <c r="O3" s="2"/>
      <c r="P3" s="2"/>
      <c r="Q3" s="2"/>
    </row>
    <row r="4" spans="2:25" x14ac:dyDescent="0.25">
      <c r="B4" t="s">
        <v>1</v>
      </c>
      <c r="C4" t="s">
        <v>2</v>
      </c>
      <c r="E4" t="s">
        <v>1</v>
      </c>
      <c r="F4" t="s">
        <v>2</v>
      </c>
      <c r="H4" t="s">
        <v>1</v>
      </c>
      <c r="I4" t="s">
        <v>2</v>
      </c>
      <c r="K4" s="12" t="s">
        <v>8</v>
      </c>
      <c r="L4" s="16" t="s">
        <v>20</v>
      </c>
      <c r="M4" s="13" t="s">
        <v>59</v>
      </c>
      <c r="N4" s="2"/>
      <c r="O4" s="2"/>
      <c r="P4" s="2"/>
      <c r="Q4" s="2"/>
      <c r="W4">
        <v>-1</v>
      </c>
      <c r="X4">
        <v>0</v>
      </c>
      <c r="Y4">
        <v>1</v>
      </c>
    </row>
    <row r="5" spans="2:25" x14ac:dyDescent="0.25">
      <c r="B5" s="1">
        <v>1</v>
      </c>
      <c r="C5" s="1">
        <v>7</v>
      </c>
      <c r="D5" t="s">
        <v>18</v>
      </c>
      <c r="E5">
        <v>1</v>
      </c>
      <c r="F5">
        <v>5</v>
      </c>
      <c r="H5">
        <v>13</v>
      </c>
      <c r="I5">
        <v>6</v>
      </c>
      <c r="J5" t="s">
        <v>41</v>
      </c>
      <c r="K5" s="3" t="s">
        <v>38</v>
      </c>
      <c r="L5" s="4"/>
      <c r="M5" s="49"/>
      <c r="N5" s="50"/>
      <c r="O5" s="50"/>
      <c r="P5" s="4"/>
      <c r="Q5" s="5"/>
      <c r="V5">
        <v>1</v>
      </c>
      <c r="W5">
        <v>10</v>
      </c>
      <c r="X5">
        <v>11</v>
      </c>
      <c r="Y5">
        <v>12</v>
      </c>
    </row>
    <row r="6" spans="2:25" x14ac:dyDescent="0.25">
      <c r="E6">
        <v>2</v>
      </c>
      <c r="F6">
        <v>2</v>
      </c>
      <c r="K6" s="6"/>
      <c r="L6" s="7"/>
      <c r="M6" s="7"/>
      <c r="N6" s="7"/>
      <c r="O6" s="7"/>
      <c r="P6" s="7"/>
      <c r="Q6" s="8"/>
      <c r="V6">
        <v>0</v>
      </c>
      <c r="W6">
        <v>8</v>
      </c>
      <c r="Y6">
        <v>9</v>
      </c>
    </row>
    <row r="7" spans="2:25" x14ac:dyDescent="0.25">
      <c r="E7">
        <v>2</v>
      </c>
      <c r="F7">
        <v>3</v>
      </c>
      <c r="K7" s="6"/>
      <c r="L7" s="7"/>
      <c r="M7" s="7"/>
      <c r="N7" s="7"/>
      <c r="O7" s="7"/>
      <c r="P7" s="7"/>
      <c r="Q7" s="8"/>
      <c r="V7">
        <v>-1</v>
      </c>
      <c r="W7">
        <v>5</v>
      </c>
      <c r="X7">
        <v>6</v>
      </c>
      <c r="Y7">
        <v>7</v>
      </c>
    </row>
    <row r="8" spans="2:25" x14ac:dyDescent="0.25">
      <c r="E8">
        <v>2</v>
      </c>
      <c r="F8">
        <v>5</v>
      </c>
      <c r="K8" s="6"/>
      <c r="L8" s="7"/>
      <c r="M8" s="7"/>
      <c r="N8" s="7"/>
      <c r="O8" s="7"/>
      <c r="P8" s="7"/>
      <c r="Q8" s="8"/>
    </row>
    <row r="9" spans="2:25" x14ac:dyDescent="0.25">
      <c r="E9">
        <v>2</v>
      </c>
      <c r="F9">
        <v>7</v>
      </c>
      <c r="K9" s="6"/>
      <c r="L9" s="7"/>
      <c r="M9" s="7"/>
      <c r="N9" s="7"/>
      <c r="O9" s="7"/>
      <c r="P9" s="7"/>
      <c r="Q9" s="8"/>
    </row>
    <row r="10" spans="2:25" x14ac:dyDescent="0.25">
      <c r="E10">
        <v>3</v>
      </c>
      <c r="F10">
        <v>3</v>
      </c>
      <c r="K10" s="6"/>
      <c r="L10" s="7"/>
      <c r="M10" s="7"/>
      <c r="N10" s="7"/>
      <c r="O10" s="7"/>
      <c r="P10" s="7"/>
      <c r="Q10" s="8"/>
      <c r="W10">
        <v>-1</v>
      </c>
      <c r="X10">
        <v>0</v>
      </c>
      <c r="Y10">
        <v>1</v>
      </c>
    </row>
    <row r="11" spans="2:25" x14ac:dyDescent="0.25">
      <c r="E11">
        <v>3</v>
      </c>
      <c r="F11">
        <v>5</v>
      </c>
      <c r="K11" s="6"/>
      <c r="L11" s="7"/>
      <c r="M11" s="7"/>
      <c r="N11" s="7"/>
      <c r="O11" s="7"/>
      <c r="P11" s="7"/>
      <c r="Q11" s="8"/>
      <c r="V11">
        <v>1</v>
      </c>
      <c r="W11">
        <v>18</v>
      </c>
      <c r="X11">
        <v>19</v>
      </c>
      <c r="Y11">
        <v>20</v>
      </c>
    </row>
    <row r="12" spans="2:25" x14ac:dyDescent="0.25">
      <c r="E12">
        <v>4</v>
      </c>
      <c r="F12">
        <v>1</v>
      </c>
      <c r="K12" s="6"/>
      <c r="L12" s="7"/>
      <c r="M12" s="7"/>
      <c r="N12" s="7"/>
      <c r="O12" s="7"/>
      <c r="P12" s="7"/>
      <c r="Q12" s="8"/>
      <c r="V12">
        <v>0</v>
      </c>
      <c r="W12">
        <v>16</v>
      </c>
      <c r="Y12">
        <v>17</v>
      </c>
    </row>
    <row r="13" spans="2:25" x14ac:dyDescent="0.25">
      <c r="E13">
        <v>4</v>
      </c>
      <c r="F13">
        <v>3</v>
      </c>
      <c r="K13" s="6"/>
      <c r="L13" s="7"/>
      <c r="M13" s="7"/>
      <c r="N13" s="7"/>
      <c r="O13" s="7"/>
      <c r="P13" s="7"/>
      <c r="Q13" s="8"/>
      <c r="V13">
        <v>-1</v>
      </c>
      <c r="W13">
        <v>13</v>
      </c>
      <c r="X13">
        <v>14</v>
      </c>
      <c r="Y13">
        <v>15</v>
      </c>
    </row>
    <row r="14" spans="2:25" x14ac:dyDescent="0.25">
      <c r="E14">
        <v>4</v>
      </c>
      <c r="F14">
        <v>6</v>
      </c>
      <c r="K14" s="6"/>
      <c r="L14" s="7"/>
      <c r="M14" s="7"/>
      <c r="N14" s="7"/>
      <c r="O14" s="7"/>
      <c r="P14" s="7"/>
      <c r="Q14" s="8"/>
    </row>
    <row r="15" spans="2:25" x14ac:dyDescent="0.25">
      <c r="E15">
        <v>5</v>
      </c>
      <c r="F15">
        <v>4</v>
      </c>
      <c r="K15" s="6"/>
      <c r="L15" s="7"/>
      <c r="M15" s="7"/>
      <c r="N15" s="7"/>
      <c r="O15" s="7"/>
      <c r="P15" s="7"/>
      <c r="Q15" s="8"/>
    </row>
    <row r="16" spans="2:25" x14ac:dyDescent="0.25">
      <c r="E16">
        <v>5</v>
      </c>
      <c r="F16">
        <v>6</v>
      </c>
      <c r="K16" s="6"/>
      <c r="L16" s="7"/>
      <c r="M16" s="7"/>
      <c r="N16" s="7"/>
      <c r="O16" s="7"/>
      <c r="P16" s="7"/>
      <c r="Q16" s="8"/>
    </row>
    <row r="17" spans="5:17" x14ac:dyDescent="0.25">
      <c r="E17">
        <v>6</v>
      </c>
      <c r="F17">
        <v>4</v>
      </c>
      <c r="K17" s="6"/>
      <c r="L17" s="7"/>
      <c r="M17" s="7"/>
      <c r="N17" s="7"/>
      <c r="O17" s="7"/>
      <c r="P17" s="7"/>
      <c r="Q17" s="8"/>
    </row>
    <row r="18" spans="5:17" x14ac:dyDescent="0.25">
      <c r="E18">
        <v>7</v>
      </c>
      <c r="F18">
        <v>5</v>
      </c>
      <c r="K18" s="6"/>
      <c r="L18" s="7"/>
      <c r="M18" s="7"/>
      <c r="N18" s="7"/>
      <c r="O18" s="7"/>
      <c r="P18" s="7"/>
      <c r="Q18" s="8"/>
    </row>
    <row r="19" spans="5:17" x14ac:dyDescent="0.25">
      <c r="E19">
        <v>7</v>
      </c>
      <c r="F19">
        <v>6</v>
      </c>
      <c r="K19" s="6"/>
      <c r="L19" s="7"/>
      <c r="M19" s="7"/>
      <c r="N19" s="7"/>
      <c r="O19" s="7"/>
      <c r="P19" s="7"/>
      <c r="Q19" s="8"/>
    </row>
    <row r="20" spans="5:17" x14ac:dyDescent="0.25">
      <c r="E20">
        <v>7</v>
      </c>
      <c r="F20">
        <v>7</v>
      </c>
      <c r="K20" s="6"/>
      <c r="L20" s="7"/>
      <c r="M20" s="7"/>
      <c r="N20" s="7"/>
      <c r="O20" s="7"/>
      <c r="P20" s="7"/>
      <c r="Q20" s="8"/>
    </row>
    <row r="21" spans="5:17" x14ac:dyDescent="0.25">
      <c r="E21">
        <v>8</v>
      </c>
      <c r="F21">
        <v>2</v>
      </c>
      <c r="K21" s="6"/>
      <c r="L21" s="7"/>
      <c r="M21" s="7"/>
      <c r="N21" s="7"/>
      <c r="O21" s="7"/>
      <c r="P21" s="7"/>
      <c r="Q21" s="8"/>
    </row>
    <row r="22" spans="5:17" x14ac:dyDescent="0.25">
      <c r="E22">
        <v>9</v>
      </c>
      <c r="F22">
        <v>2</v>
      </c>
      <c r="K22" s="6"/>
      <c r="L22" s="7"/>
      <c r="M22" s="7"/>
      <c r="N22" s="7"/>
      <c r="O22" s="7"/>
      <c r="P22" s="7"/>
      <c r="Q22" s="8"/>
    </row>
    <row r="23" spans="5:17" x14ac:dyDescent="0.25">
      <c r="E23">
        <v>10</v>
      </c>
      <c r="F23">
        <v>2</v>
      </c>
      <c r="K23" s="6"/>
      <c r="L23" s="7"/>
      <c r="M23" s="7"/>
      <c r="N23" s="7"/>
      <c r="O23" s="7"/>
      <c r="P23" s="7"/>
      <c r="Q23" s="8"/>
    </row>
    <row r="24" spans="5:17" x14ac:dyDescent="0.25">
      <c r="E24">
        <v>11</v>
      </c>
      <c r="F24">
        <v>2</v>
      </c>
      <c r="K24" s="6"/>
      <c r="L24" s="7"/>
      <c r="M24" s="7"/>
      <c r="N24" s="7"/>
      <c r="O24" s="7"/>
      <c r="P24" s="7"/>
      <c r="Q24" s="8"/>
    </row>
    <row r="25" spans="5:17" x14ac:dyDescent="0.25">
      <c r="E25">
        <v>12</v>
      </c>
      <c r="F25">
        <v>2</v>
      </c>
      <c r="K25" s="9"/>
      <c r="L25" s="10"/>
      <c r="M25" s="10"/>
      <c r="N25" s="10"/>
      <c r="O25" s="10"/>
      <c r="P25" s="10"/>
      <c r="Q25" s="11"/>
    </row>
    <row r="26" spans="5:17" x14ac:dyDescent="0.25">
      <c r="E26">
        <v>13</v>
      </c>
      <c r="F26">
        <v>2</v>
      </c>
    </row>
    <row r="27" spans="5:17" x14ac:dyDescent="0.25">
      <c r="E27">
        <v>9</v>
      </c>
      <c r="F27">
        <v>5</v>
      </c>
    </row>
    <row r="28" spans="5:17" x14ac:dyDescent="0.25">
      <c r="E28">
        <v>10</v>
      </c>
      <c r="F28">
        <v>5</v>
      </c>
    </row>
    <row r="29" spans="5:17" x14ac:dyDescent="0.25">
      <c r="E29">
        <v>11</v>
      </c>
      <c r="F29">
        <v>5</v>
      </c>
    </row>
    <row r="30" spans="5:17" x14ac:dyDescent="0.25">
      <c r="E30">
        <v>12</v>
      </c>
      <c r="F30">
        <v>5</v>
      </c>
    </row>
    <row r="31" spans="5:17" x14ac:dyDescent="0.25">
      <c r="E31">
        <v>13</v>
      </c>
      <c r="F31">
        <v>5</v>
      </c>
    </row>
  </sheetData>
  <dataValidations count="1">
    <dataValidation type="list" allowBlank="1" showInputMessage="1" showErrorMessage="1" sqref="L4" xr:uid="{8F63F489-F9E9-4CAA-9A4F-8A5074CDA36B}">
      <formula1>"Random,Trained"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TrainMario">
                <anchor moveWithCells="1" sizeWithCells="1">
                  <from>
                    <xdr:col>12</xdr:col>
                    <xdr:colOff>409575</xdr:colOff>
                    <xdr:row>22</xdr:row>
                    <xdr:rowOff>66675</xdr:rowOff>
                  </from>
                  <to>
                    <xdr:col>14</xdr:col>
                    <xdr:colOff>133350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ingleRun">
                <anchor moveWithCells="1" sizeWithCells="1">
                  <from>
                    <xdr:col>12</xdr:col>
                    <xdr:colOff>447675</xdr:colOff>
                    <xdr:row>18</xdr:row>
                    <xdr:rowOff>38100</xdr:rowOff>
                  </from>
                  <to>
                    <xdr:col>14</xdr:col>
                    <xdr:colOff>123825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setGame">
                <anchor moveWithCells="1" sizeWithCells="1">
                  <from>
                    <xdr:col>12</xdr:col>
                    <xdr:colOff>447675</xdr:colOff>
                    <xdr:row>20</xdr:row>
                    <xdr:rowOff>57150</xdr:rowOff>
                  </from>
                  <to>
                    <xdr:col>14</xdr:col>
                    <xdr:colOff>123825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8272D-4E35-4D91-B186-EE1A06BCAB60}">
  <sheetPr codeName="Sheet17"/>
  <dimension ref="A4:H5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33" sqref="G33"/>
    </sheetView>
  </sheetViews>
  <sheetFormatPr defaultRowHeight="15" x14ac:dyDescent="0.25"/>
  <sheetData>
    <row r="4" spans="1:8" x14ac:dyDescent="0.25">
      <c r="B4" t="s">
        <v>13</v>
      </c>
      <c r="C4" t="s">
        <v>14</v>
      </c>
      <c r="D4" t="s">
        <v>15</v>
      </c>
      <c r="F4" t="s">
        <v>13</v>
      </c>
      <c r="G4" t="s">
        <v>14</v>
      </c>
      <c r="H4" t="s">
        <v>15</v>
      </c>
    </row>
    <row r="5" spans="1:8" x14ac:dyDescent="0.25">
      <c r="A5" t="s">
        <v>12</v>
      </c>
      <c r="B5" t="s">
        <v>43</v>
      </c>
      <c r="C5" t="s">
        <v>43</v>
      </c>
      <c r="D5" t="s">
        <v>43</v>
      </c>
      <c r="F5" t="s">
        <v>42</v>
      </c>
      <c r="G5" t="s">
        <v>42</v>
      </c>
      <c r="H5" t="s">
        <v>42</v>
      </c>
    </row>
    <row r="6" spans="1:8" x14ac:dyDescent="0.25">
      <c r="A6">
        <v>1</v>
      </c>
      <c r="B6">
        <v>-72.997000000000071</v>
      </c>
      <c r="C6">
        <v>109</v>
      </c>
      <c r="D6">
        <v>0</v>
      </c>
      <c r="F6">
        <v>-71.258000000000052</v>
      </c>
      <c r="G6">
        <v>109</v>
      </c>
      <c r="H6">
        <v>0</v>
      </c>
    </row>
    <row r="7" spans="1:8" x14ac:dyDescent="0.25">
      <c r="A7">
        <v>2</v>
      </c>
      <c r="B7">
        <v>-57.000999999999941</v>
      </c>
      <c r="C7">
        <v>109</v>
      </c>
      <c r="D7">
        <v>0</v>
      </c>
      <c r="F7">
        <v>-57.991999999999962</v>
      </c>
      <c r="G7">
        <v>109</v>
      </c>
      <c r="H7">
        <v>0</v>
      </c>
    </row>
    <row r="8" spans="1:8" x14ac:dyDescent="0.25">
      <c r="A8">
        <v>3</v>
      </c>
      <c r="B8">
        <v>-48.777999999999935</v>
      </c>
      <c r="C8">
        <v>109</v>
      </c>
      <c r="D8">
        <v>0</v>
      </c>
      <c r="F8">
        <v>-45.920999999999943</v>
      </c>
      <c r="G8">
        <v>109</v>
      </c>
      <c r="H8">
        <v>0</v>
      </c>
    </row>
    <row r="9" spans="1:8" x14ac:dyDescent="0.25">
      <c r="A9">
        <v>4</v>
      </c>
      <c r="B9">
        <v>-36.893999999999934</v>
      </c>
      <c r="C9">
        <v>109</v>
      </c>
      <c r="D9">
        <v>0</v>
      </c>
      <c r="F9">
        <v>-35.180999999999948</v>
      </c>
      <c r="G9">
        <v>109</v>
      </c>
      <c r="H9">
        <v>0</v>
      </c>
    </row>
    <row r="10" spans="1:8" x14ac:dyDescent="0.25">
      <c r="A10">
        <v>5</v>
      </c>
      <c r="B10">
        <v>-28.066999999999947</v>
      </c>
      <c r="C10">
        <v>109</v>
      </c>
      <c r="D10">
        <v>0</v>
      </c>
      <c r="F10">
        <v>-23.431999999999952</v>
      </c>
      <c r="G10">
        <v>109</v>
      </c>
      <c r="H10">
        <v>0</v>
      </c>
    </row>
    <row r="11" spans="1:8" x14ac:dyDescent="0.25">
      <c r="A11">
        <v>6</v>
      </c>
      <c r="B11">
        <v>-19.472999999999971</v>
      </c>
      <c r="C11">
        <v>109</v>
      </c>
      <c r="D11">
        <v>0</v>
      </c>
      <c r="F11">
        <v>-9.9979999999999869</v>
      </c>
      <c r="G11">
        <v>108.32</v>
      </c>
      <c r="H11">
        <v>0.02</v>
      </c>
    </row>
    <row r="12" spans="1:8" x14ac:dyDescent="0.25">
      <c r="A12">
        <v>7</v>
      </c>
      <c r="B12">
        <v>-10.707999999999988</v>
      </c>
      <c r="C12">
        <v>109</v>
      </c>
      <c r="D12">
        <v>0</v>
      </c>
      <c r="F12">
        <v>-1.0161999999999802</v>
      </c>
      <c r="G12">
        <v>106.94</v>
      </c>
      <c r="H12">
        <v>0.06</v>
      </c>
    </row>
    <row r="13" spans="1:8" x14ac:dyDescent="0.25">
      <c r="A13">
        <v>8</v>
      </c>
      <c r="B13">
        <v>-7.9189999999999916</v>
      </c>
      <c r="C13">
        <v>109</v>
      </c>
      <c r="D13">
        <v>0</v>
      </c>
      <c r="F13">
        <v>4.5876000000000428</v>
      </c>
      <c r="G13">
        <v>106.04</v>
      </c>
      <c r="H13">
        <v>0.08</v>
      </c>
    </row>
    <row r="14" spans="1:8" x14ac:dyDescent="0.25">
      <c r="A14">
        <v>9</v>
      </c>
      <c r="B14">
        <v>-6.8579999999999934</v>
      </c>
      <c r="C14">
        <v>109</v>
      </c>
      <c r="D14">
        <v>0</v>
      </c>
      <c r="F14">
        <v>29.94800000000005</v>
      </c>
      <c r="G14">
        <v>90.64</v>
      </c>
      <c r="H14">
        <v>0.44</v>
      </c>
    </row>
    <row r="15" spans="1:8" x14ac:dyDescent="0.25">
      <c r="A15">
        <v>10</v>
      </c>
      <c r="B15">
        <v>-6.4549999999999832</v>
      </c>
      <c r="C15">
        <v>109</v>
      </c>
      <c r="D15">
        <v>0</v>
      </c>
      <c r="F15">
        <v>38.705200000000055</v>
      </c>
      <c r="G15">
        <v>87.6</v>
      </c>
      <c r="H15">
        <v>0.57999999999999996</v>
      </c>
    </row>
    <row r="16" spans="1:8" x14ac:dyDescent="0.25">
      <c r="A16">
        <v>11</v>
      </c>
      <c r="B16">
        <v>-6.3249999999999762</v>
      </c>
      <c r="C16">
        <v>109</v>
      </c>
      <c r="D16">
        <v>0</v>
      </c>
      <c r="F16">
        <v>54.173800000000028</v>
      </c>
      <c r="G16">
        <v>75.599999999999994</v>
      </c>
      <c r="H16">
        <v>0.82</v>
      </c>
    </row>
    <row r="17" spans="1:8" x14ac:dyDescent="0.25">
      <c r="A17">
        <v>12</v>
      </c>
      <c r="B17">
        <v>-6.3689999999999714</v>
      </c>
      <c r="C17">
        <v>109</v>
      </c>
      <c r="D17">
        <v>0</v>
      </c>
      <c r="F17">
        <v>57.382000000000026</v>
      </c>
      <c r="G17">
        <v>66.36</v>
      </c>
      <c r="H17">
        <v>0.86</v>
      </c>
    </row>
    <row r="18" spans="1:8" x14ac:dyDescent="0.25">
      <c r="A18">
        <v>13</v>
      </c>
      <c r="B18">
        <v>-5.8519999999999675</v>
      </c>
      <c r="C18">
        <v>109</v>
      </c>
      <c r="D18">
        <v>0</v>
      </c>
      <c r="F18">
        <v>60.468600000000016</v>
      </c>
      <c r="G18">
        <v>57.88</v>
      </c>
      <c r="H18">
        <v>0.92</v>
      </c>
    </row>
    <row r="19" spans="1:8" x14ac:dyDescent="0.25">
      <c r="A19">
        <v>14</v>
      </c>
      <c r="B19">
        <v>-5.2649999999999659</v>
      </c>
      <c r="C19">
        <v>109</v>
      </c>
      <c r="D19">
        <v>0</v>
      </c>
      <c r="F19">
        <v>67.551000000000002</v>
      </c>
      <c r="G19">
        <v>47.7</v>
      </c>
      <c r="H19">
        <v>1</v>
      </c>
    </row>
    <row r="20" spans="1:8" x14ac:dyDescent="0.25">
      <c r="A20">
        <v>15</v>
      </c>
      <c r="B20">
        <v>-5.0049999999999644</v>
      </c>
      <c r="C20">
        <v>109</v>
      </c>
      <c r="D20">
        <v>0</v>
      </c>
      <c r="F20">
        <v>64.918000000000006</v>
      </c>
      <c r="G20">
        <v>43.38</v>
      </c>
      <c r="H20">
        <v>0.98</v>
      </c>
    </row>
    <row r="21" spans="1:8" x14ac:dyDescent="0.25">
      <c r="A21">
        <v>16</v>
      </c>
      <c r="B21">
        <v>-4.6579999999999622</v>
      </c>
      <c r="C21">
        <v>109</v>
      </c>
      <c r="D21">
        <v>0</v>
      </c>
      <c r="F21">
        <v>66.058199999999985</v>
      </c>
      <c r="G21">
        <v>38.520000000000003</v>
      </c>
      <c r="H21">
        <v>1</v>
      </c>
    </row>
    <row r="22" spans="1:8" x14ac:dyDescent="0.25">
      <c r="A22">
        <v>17</v>
      </c>
      <c r="B22">
        <v>-4.7179999999999618</v>
      </c>
      <c r="C22">
        <v>109</v>
      </c>
      <c r="D22">
        <v>0</v>
      </c>
      <c r="F22">
        <v>63.839999999999989</v>
      </c>
      <c r="G22">
        <v>39.08</v>
      </c>
      <c r="H22">
        <v>0.98</v>
      </c>
    </row>
    <row r="23" spans="1:8" x14ac:dyDescent="0.25">
      <c r="A23">
        <v>18</v>
      </c>
      <c r="B23">
        <v>-3.2019999999999591</v>
      </c>
      <c r="C23">
        <v>109</v>
      </c>
      <c r="D23">
        <v>0</v>
      </c>
      <c r="F23">
        <v>61.837399999999988</v>
      </c>
      <c r="G23">
        <v>39</v>
      </c>
      <c r="H23">
        <v>0.96</v>
      </c>
    </row>
    <row r="24" spans="1:8" x14ac:dyDescent="0.25">
      <c r="A24">
        <v>19</v>
      </c>
      <c r="B24">
        <v>-2.8549999999999573</v>
      </c>
      <c r="C24">
        <v>109</v>
      </c>
      <c r="D24">
        <v>0</v>
      </c>
      <c r="F24">
        <v>65.527600000000007</v>
      </c>
      <c r="G24">
        <v>37.56</v>
      </c>
      <c r="H24">
        <v>1</v>
      </c>
    </row>
    <row r="25" spans="1:8" x14ac:dyDescent="0.25">
      <c r="A25">
        <v>20</v>
      </c>
      <c r="B25">
        <v>-2.5849999999999569</v>
      </c>
      <c r="C25">
        <v>109</v>
      </c>
      <c r="D25">
        <v>0</v>
      </c>
      <c r="F25">
        <v>65.363599999999991</v>
      </c>
      <c r="G25">
        <v>36.159999999999997</v>
      </c>
      <c r="H25">
        <v>1</v>
      </c>
    </row>
    <row r="26" spans="1:8" x14ac:dyDescent="0.25">
      <c r="A26">
        <v>21</v>
      </c>
      <c r="B26">
        <v>-3.0799999999999579</v>
      </c>
      <c r="C26">
        <v>109</v>
      </c>
      <c r="D26">
        <v>0</v>
      </c>
      <c r="F26">
        <v>65.470399999999984</v>
      </c>
      <c r="G26">
        <v>35.74</v>
      </c>
      <c r="H26">
        <v>1</v>
      </c>
    </row>
    <row r="27" spans="1:8" x14ac:dyDescent="0.25">
      <c r="A27">
        <v>22</v>
      </c>
      <c r="B27">
        <v>-2.5419999999999567</v>
      </c>
      <c r="C27">
        <v>109</v>
      </c>
      <c r="D27">
        <v>0</v>
      </c>
      <c r="F27">
        <v>65.845199999999977</v>
      </c>
      <c r="G27">
        <v>36.72</v>
      </c>
      <c r="H27">
        <v>1</v>
      </c>
    </row>
    <row r="28" spans="1:8" x14ac:dyDescent="0.25">
      <c r="A28">
        <v>23</v>
      </c>
      <c r="B28">
        <v>-2.0459999999999554</v>
      </c>
      <c r="C28">
        <v>109</v>
      </c>
      <c r="D28">
        <v>0</v>
      </c>
    </row>
    <row r="29" spans="1:8" x14ac:dyDescent="0.25">
      <c r="A29">
        <v>24</v>
      </c>
      <c r="B29">
        <v>-2.4499999999999567</v>
      </c>
      <c r="C29">
        <v>109</v>
      </c>
      <c r="D29">
        <v>0</v>
      </c>
    </row>
    <row r="30" spans="1:8" x14ac:dyDescent="0.25">
      <c r="A30">
        <v>25</v>
      </c>
      <c r="B30">
        <v>-2.2099999999999556</v>
      </c>
      <c r="C30">
        <v>109</v>
      </c>
      <c r="D30">
        <v>0</v>
      </c>
    </row>
    <row r="31" spans="1:8" x14ac:dyDescent="0.25">
      <c r="A31">
        <v>26</v>
      </c>
      <c r="B31">
        <v>-2.1049999999999547</v>
      </c>
      <c r="C31">
        <v>109</v>
      </c>
      <c r="D31">
        <v>0</v>
      </c>
    </row>
    <row r="32" spans="1:8" x14ac:dyDescent="0.25">
      <c r="A32">
        <v>27</v>
      </c>
      <c r="B32">
        <v>-1.5059999999999525</v>
      </c>
      <c r="C32">
        <v>109</v>
      </c>
      <c r="D32">
        <v>0</v>
      </c>
    </row>
    <row r="33" spans="1:4" x14ac:dyDescent="0.25">
      <c r="A33">
        <v>28</v>
      </c>
      <c r="B33">
        <v>-1.7319999999999545</v>
      </c>
      <c r="C33">
        <v>109</v>
      </c>
      <c r="D33">
        <v>0</v>
      </c>
    </row>
    <row r="34" spans="1:4" x14ac:dyDescent="0.25">
      <c r="A34">
        <v>29</v>
      </c>
      <c r="B34">
        <v>-3.5149999999999593</v>
      </c>
      <c r="C34">
        <v>109</v>
      </c>
      <c r="D34">
        <v>0</v>
      </c>
    </row>
    <row r="35" spans="1:4" x14ac:dyDescent="0.25">
      <c r="A35">
        <v>30</v>
      </c>
      <c r="B35">
        <v>-3.7699999999999556</v>
      </c>
      <c r="C35">
        <v>109</v>
      </c>
      <c r="D35">
        <v>0</v>
      </c>
    </row>
    <row r="36" spans="1:4" x14ac:dyDescent="0.25">
      <c r="A36">
        <v>31</v>
      </c>
      <c r="B36">
        <v>-5.6749999999999625</v>
      </c>
      <c r="C36">
        <v>109</v>
      </c>
      <c r="D36">
        <v>0</v>
      </c>
    </row>
    <row r="37" spans="1:4" x14ac:dyDescent="0.25">
      <c r="A37">
        <v>32</v>
      </c>
      <c r="B37">
        <v>-4.7649999999999606</v>
      </c>
      <c r="C37">
        <v>109</v>
      </c>
      <c r="D37">
        <v>0</v>
      </c>
    </row>
    <row r="38" spans="1:4" x14ac:dyDescent="0.25">
      <c r="A38">
        <v>33</v>
      </c>
      <c r="B38">
        <v>-4.0879999999999583</v>
      </c>
      <c r="C38">
        <v>109</v>
      </c>
      <c r="D38">
        <v>0</v>
      </c>
    </row>
    <row r="39" spans="1:4" x14ac:dyDescent="0.25">
      <c r="A39">
        <v>34</v>
      </c>
      <c r="B39">
        <v>-5.5579999999999616</v>
      </c>
      <c r="C39">
        <v>109</v>
      </c>
      <c r="D39">
        <v>0</v>
      </c>
    </row>
    <row r="40" spans="1:4" x14ac:dyDescent="0.25">
      <c r="A40">
        <v>35</v>
      </c>
      <c r="B40">
        <v>-6.2769999999999619</v>
      </c>
      <c r="C40">
        <v>109</v>
      </c>
      <c r="D40">
        <v>0</v>
      </c>
    </row>
    <row r="41" spans="1:4" x14ac:dyDescent="0.25">
      <c r="A41">
        <v>36</v>
      </c>
      <c r="B41">
        <v>-2.824999999999954</v>
      </c>
      <c r="C41">
        <v>109</v>
      </c>
      <c r="D41">
        <v>0</v>
      </c>
    </row>
    <row r="42" spans="1:4" x14ac:dyDescent="0.25">
      <c r="A42">
        <v>37</v>
      </c>
      <c r="B42">
        <v>-5.1209999999999605</v>
      </c>
      <c r="C42">
        <v>109</v>
      </c>
      <c r="D42">
        <v>0</v>
      </c>
    </row>
    <row r="43" spans="1:4" x14ac:dyDescent="0.25">
      <c r="A43">
        <v>38</v>
      </c>
      <c r="B43">
        <v>-5.6459999999999608</v>
      </c>
      <c r="C43">
        <v>109</v>
      </c>
      <c r="D43">
        <v>0</v>
      </c>
    </row>
    <row r="44" spans="1:4" x14ac:dyDescent="0.25">
      <c r="A44">
        <v>39</v>
      </c>
      <c r="B44">
        <v>-1.9699999999999531</v>
      </c>
      <c r="C44">
        <v>109</v>
      </c>
      <c r="D44">
        <v>0</v>
      </c>
    </row>
    <row r="45" spans="1:4" x14ac:dyDescent="0.25">
      <c r="A45">
        <v>40</v>
      </c>
      <c r="B45">
        <v>-4.8959999999999608</v>
      </c>
      <c r="C45">
        <v>109</v>
      </c>
      <c r="D45">
        <v>0</v>
      </c>
    </row>
    <row r="46" spans="1:4" x14ac:dyDescent="0.25">
      <c r="A46">
        <v>41</v>
      </c>
      <c r="B46">
        <v>-2.9599999999999556</v>
      </c>
      <c r="C46">
        <v>109</v>
      </c>
      <c r="D46">
        <v>0</v>
      </c>
    </row>
    <row r="47" spans="1:4" x14ac:dyDescent="0.25">
      <c r="A47">
        <v>42</v>
      </c>
      <c r="B47">
        <v>-1.9999999999999531</v>
      </c>
      <c r="C47">
        <v>109</v>
      </c>
      <c r="D47">
        <v>0</v>
      </c>
    </row>
    <row r="48" spans="1:4" x14ac:dyDescent="0.25">
      <c r="A48">
        <v>43</v>
      </c>
      <c r="B48">
        <v>-3.5449999999999564</v>
      </c>
      <c r="C48">
        <v>109</v>
      </c>
      <c r="D48">
        <v>0</v>
      </c>
    </row>
    <row r="49" spans="1:4" x14ac:dyDescent="0.25">
      <c r="A49">
        <v>44</v>
      </c>
      <c r="B49">
        <v>-3.4549999999999561</v>
      </c>
      <c r="C49">
        <v>109</v>
      </c>
      <c r="D49">
        <v>0</v>
      </c>
    </row>
    <row r="50" spans="1:4" x14ac:dyDescent="0.25">
      <c r="A50">
        <v>45</v>
      </c>
      <c r="B50">
        <v>-2.2399999999999536</v>
      </c>
      <c r="C50">
        <v>109</v>
      </c>
      <c r="D50">
        <v>0</v>
      </c>
    </row>
    <row r="51" spans="1:4" x14ac:dyDescent="0.25">
      <c r="A51">
        <v>46</v>
      </c>
      <c r="B51">
        <v>-1.3709999999999505</v>
      </c>
      <c r="C51">
        <v>109</v>
      </c>
      <c r="D51">
        <v>0</v>
      </c>
    </row>
    <row r="52" spans="1:4" x14ac:dyDescent="0.25">
      <c r="A52">
        <v>47</v>
      </c>
      <c r="B52">
        <v>0.74500000000005562</v>
      </c>
      <c r="C52">
        <v>109</v>
      </c>
      <c r="D52">
        <v>0</v>
      </c>
    </row>
    <row r="53" spans="1:4" x14ac:dyDescent="0.25">
      <c r="A53">
        <v>48</v>
      </c>
      <c r="B53">
        <v>0.52000000000005409</v>
      </c>
      <c r="C53">
        <v>109</v>
      </c>
      <c r="D53">
        <v>0</v>
      </c>
    </row>
    <row r="54" spans="1:4" x14ac:dyDescent="0.25">
      <c r="A54">
        <v>49</v>
      </c>
      <c r="B54">
        <v>-1.1599999999999511</v>
      </c>
      <c r="C54">
        <v>109</v>
      </c>
      <c r="D54">
        <v>0</v>
      </c>
    </row>
    <row r="55" spans="1:4" x14ac:dyDescent="0.25">
      <c r="A55">
        <v>50</v>
      </c>
      <c r="B55">
        <v>1.7350000000000589</v>
      </c>
      <c r="C55">
        <v>109</v>
      </c>
      <c r="D55"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E152B-B384-4488-A135-AC4BFC1F8691}">
  <sheetPr codeName="Sheet9"/>
  <dimension ref="A1:P14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5" sqref="D15"/>
    </sheetView>
  </sheetViews>
  <sheetFormatPr defaultRowHeight="15" x14ac:dyDescent="0.25"/>
  <sheetData>
    <row r="1" spans="1:16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39</v>
      </c>
    </row>
    <row r="2" spans="1:16" x14ac:dyDescent="0.25">
      <c r="A2">
        <v>1</v>
      </c>
      <c r="B2">
        <v>-39.762</v>
      </c>
      <c r="C2">
        <v>58</v>
      </c>
      <c r="D2">
        <v>0</v>
      </c>
      <c r="F2">
        <v>1</v>
      </c>
      <c r="G2">
        <v>0.1642192729595002</v>
      </c>
    </row>
    <row r="3" spans="1:16" x14ac:dyDescent="0.25">
      <c r="A3">
        <v>2</v>
      </c>
      <c r="B3">
        <v>-30.424999999999983</v>
      </c>
      <c r="C3">
        <v>58</v>
      </c>
      <c r="D3">
        <v>0</v>
      </c>
      <c r="F3">
        <v>2</v>
      </c>
      <c r="G3">
        <v>0.1649347672416023</v>
      </c>
    </row>
    <row r="4" spans="1:16" x14ac:dyDescent="0.25">
      <c r="A4">
        <v>3</v>
      </c>
      <c r="B4">
        <v>-25.156999999999972</v>
      </c>
      <c r="C4">
        <v>58</v>
      </c>
      <c r="D4">
        <v>0</v>
      </c>
      <c r="F4">
        <v>3</v>
      </c>
      <c r="G4">
        <v>0.16689497196973113</v>
      </c>
    </row>
    <row r="5" spans="1:16" x14ac:dyDescent="0.25">
      <c r="A5">
        <v>4</v>
      </c>
      <c r="B5">
        <v>-19.486999999999977</v>
      </c>
      <c r="C5">
        <v>58</v>
      </c>
      <c r="D5">
        <v>0</v>
      </c>
      <c r="F5">
        <v>4</v>
      </c>
      <c r="G5">
        <v>0.16355587499829766</v>
      </c>
      <c r="P5">
        <f>17*50</f>
        <v>850</v>
      </c>
    </row>
    <row r="6" spans="1:16" x14ac:dyDescent="0.25">
      <c r="A6">
        <v>5</v>
      </c>
      <c r="B6">
        <v>-15.484999999999991</v>
      </c>
      <c r="C6">
        <v>58</v>
      </c>
      <c r="D6">
        <v>0</v>
      </c>
      <c r="F6">
        <v>5</v>
      </c>
      <c r="G6">
        <v>0.16922111552477753</v>
      </c>
    </row>
    <row r="7" spans="1:16" x14ac:dyDescent="0.25">
      <c r="A7">
        <v>6</v>
      </c>
      <c r="B7">
        <v>-8.8811999999999944</v>
      </c>
      <c r="C7">
        <v>57.72</v>
      </c>
      <c r="D7">
        <v>0.14000000000000001</v>
      </c>
      <c r="F7">
        <v>6</v>
      </c>
      <c r="G7">
        <v>0.16777719021729448</v>
      </c>
    </row>
    <row r="8" spans="1:16" x14ac:dyDescent="0.25">
      <c r="A8">
        <v>7</v>
      </c>
      <c r="B8">
        <v>4.0684000000000005</v>
      </c>
      <c r="C8">
        <v>50.44</v>
      </c>
      <c r="D8">
        <v>0.7</v>
      </c>
      <c r="F8">
        <v>7</v>
      </c>
      <c r="G8">
        <v>0.16402254902499494</v>
      </c>
    </row>
    <row r="9" spans="1:16" x14ac:dyDescent="0.25">
      <c r="A9">
        <v>8</v>
      </c>
      <c r="B9">
        <v>11.934599999999998</v>
      </c>
      <c r="C9">
        <v>41.6</v>
      </c>
      <c r="D9">
        <v>0.94</v>
      </c>
      <c r="F9">
        <v>8</v>
      </c>
      <c r="G9">
        <v>0.16254490689143897</v>
      </c>
    </row>
    <row r="10" spans="1:16" x14ac:dyDescent="0.25">
      <c r="A10">
        <v>9</v>
      </c>
      <c r="B10">
        <v>16.7546</v>
      </c>
      <c r="C10">
        <v>34.76</v>
      </c>
      <c r="D10">
        <v>1</v>
      </c>
      <c r="F10">
        <v>9</v>
      </c>
      <c r="G10">
        <v>0.16450665022747549</v>
      </c>
    </row>
    <row r="11" spans="1:16" x14ac:dyDescent="0.25">
      <c r="A11">
        <v>10</v>
      </c>
      <c r="B11">
        <v>18.725999999999999</v>
      </c>
      <c r="C11">
        <v>31.4</v>
      </c>
      <c r="D11">
        <v>1</v>
      </c>
      <c r="F11">
        <v>10</v>
      </c>
      <c r="G11">
        <v>0.15978637784708663</v>
      </c>
    </row>
    <row r="12" spans="1:16" x14ac:dyDescent="0.25">
      <c r="A12">
        <v>11</v>
      </c>
      <c r="B12">
        <v>20.156599999999997</v>
      </c>
      <c r="C12">
        <v>28.46</v>
      </c>
      <c r="D12">
        <v>1</v>
      </c>
      <c r="F12">
        <v>11</v>
      </c>
      <c r="G12">
        <v>0.16042103190483856</v>
      </c>
    </row>
    <row r="13" spans="1:16" x14ac:dyDescent="0.25">
      <c r="A13">
        <v>12</v>
      </c>
      <c r="B13">
        <v>19.919599999999999</v>
      </c>
      <c r="C13">
        <v>29.26</v>
      </c>
      <c r="D13">
        <v>1</v>
      </c>
      <c r="F13">
        <v>12</v>
      </c>
      <c r="G13">
        <v>0.15941635911482227</v>
      </c>
    </row>
    <row r="14" spans="1:16" x14ac:dyDescent="0.25">
      <c r="A14">
        <v>13</v>
      </c>
      <c r="B14">
        <v>20.567200000000003</v>
      </c>
      <c r="C14">
        <v>28.22</v>
      </c>
      <c r="D14">
        <v>1</v>
      </c>
      <c r="F14">
        <v>13</v>
      </c>
      <c r="G14">
        <v>0.15629546938444852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8D4D2-CBF6-4789-B212-64A556CC008D}">
  <sheetPr codeName="Sheet2"/>
  <dimension ref="A1:AW53"/>
  <sheetViews>
    <sheetView workbookViewId="0"/>
  </sheetViews>
  <sheetFormatPr defaultRowHeight="15" x14ac:dyDescent="0.25"/>
  <sheetData>
    <row r="1" spans="1:49" x14ac:dyDescent="0.25">
      <c r="A1" t="s">
        <v>11</v>
      </c>
    </row>
    <row r="2" spans="1:49" x14ac:dyDescent="0.25">
      <c r="A2">
        <v>49</v>
      </c>
    </row>
    <row r="3" spans="1:49" x14ac:dyDescent="0.25">
      <c r="A3">
        <v>4</v>
      </c>
    </row>
    <row r="4" spans="1:49" x14ac:dyDescent="0.25">
      <c r="A4">
        <v>1</v>
      </c>
    </row>
    <row r="5" spans="1:49" x14ac:dyDescent="0.25">
      <c r="A5" t="s">
        <v>6</v>
      </c>
    </row>
    <row r="6" spans="1:49" x14ac:dyDescent="0.25">
      <c r="A6">
        <v>16</v>
      </c>
    </row>
    <row r="7" spans="1:49" x14ac:dyDescent="0.25">
      <c r="A7">
        <v>0.58998242472779083</v>
      </c>
      <c r="B7">
        <v>0.26057185037591873</v>
      </c>
      <c r="C7">
        <v>0.3657179651925026</v>
      </c>
      <c r="D7">
        <v>0.23920269091560339</v>
      </c>
      <c r="E7">
        <v>-5.3597617405208374E-2</v>
      </c>
      <c r="F7">
        <v>0.31686512618037788</v>
      </c>
      <c r="G7">
        <v>3.3948769180810523E-2</v>
      </c>
      <c r="H7">
        <v>0.36697925365066819</v>
      </c>
      <c r="I7">
        <v>-9.6396417452782338E-2</v>
      </c>
      <c r="J7">
        <v>6.2912251555466717E-2</v>
      </c>
      <c r="K7">
        <v>-0.38086328324335217</v>
      </c>
      <c r="L7">
        <v>9.9478592400470592E-2</v>
      </c>
      <c r="M7">
        <v>-0.37209684580033525</v>
      </c>
      <c r="N7">
        <v>3.2258487374791964E-2</v>
      </c>
      <c r="O7">
        <v>-0.38312842861873192</v>
      </c>
      <c r="P7">
        <v>0.38784370401152152</v>
      </c>
      <c r="Q7">
        <v>-4.1427967778778788E-2</v>
      </c>
      <c r="R7">
        <v>-0.37785325040450307</v>
      </c>
      <c r="S7">
        <v>6.0305685730288827E-2</v>
      </c>
      <c r="T7">
        <v>-0.1814496743712167</v>
      </c>
      <c r="U7">
        <v>-7.7334405868808367E-2</v>
      </c>
      <c r="V7">
        <v>-3.1948635786496586E-3</v>
      </c>
      <c r="W7">
        <v>0.38360848865600666</v>
      </c>
      <c r="X7">
        <v>6.3551125527151558E-2</v>
      </c>
      <c r="Y7">
        <v>-0.2673422072609889</v>
      </c>
      <c r="Z7">
        <v>0.29679903840140276</v>
      </c>
      <c r="AA7">
        <v>7.1970921873740039E-3</v>
      </c>
      <c r="AB7">
        <v>9.9754002482475318E-2</v>
      </c>
      <c r="AC7">
        <v>0.18876430699593305</v>
      </c>
      <c r="AD7">
        <v>0.43385945174402241</v>
      </c>
      <c r="AE7">
        <v>6.2951124317206841E-2</v>
      </c>
      <c r="AF7">
        <v>-4.1805687835133415E-2</v>
      </c>
      <c r="AG7">
        <v>-0.34424350153650674</v>
      </c>
      <c r="AH7">
        <v>-7.4763824937162937E-2</v>
      </c>
      <c r="AI7">
        <v>5.4952359021493126E-2</v>
      </c>
      <c r="AJ7">
        <v>0.32173811823463233</v>
      </c>
      <c r="AK7">
        <v>0.33763416649345024</v>
      </c>
      <c r="AL7">
        <v>-2.6753211659457682E-2</v>
      </c>
      <c r="AM7">
        <v>3.463286019054497E-2</v>
      </c>
      <c r="AN7">
        <v>-0.31823408414161702</v>
      </c>
      <c r="AO7">
        <v>0.10421060197638279</v>
      </c>
      <c r="AP7">
        <v>5.7843374822219018E-2</v>
      </c>
      <c r="AQ7">
        <v>8.4264266479570735E-2</v>
      </c>
      <c r="AR7">
        <v>1.931440179149958E-2</v>
      </c>
      <c r="AS7">
        <v>2.0743123805053446E-2</v>
      </c>
      <c r="AT7">
        <v>-6.1622621830093101E-2</v>
      </c>
      <c r="AU7">
        <v>-2.991732627566554E-2</v>
      </c>
      <c r="AV7">
        <v>-5.6645039265810208E-2</v>
      </c>
      <c r="AW7">
        <v>-0.19828782823066121</v>
      </c>
    </row>
    <row r="8" spans="1:49" x14ac:dyDescent="0.25">
      <c r="A8">
        <v>-0.22485228833288498</v>
      </c>
      <c r="B8">
        <v>-0.22332409702119102</v>
      </c>
      <c r="C8">
        <v>-0.22521885933240146</v>
      </c>
      <c r="D8">
        <v>-0.21361971612688468</v>
      </c>
      <c r="E8">
        <v>-9.0111599822405006E-2</v>
      </c>
      <c r="F8">
        <v>-1.6304387875391707E-2</v>
      </c>
      <c r="G8">
        <v>-1.0057828126208078E-2</v>
      </c>
      <c r="H8">
        <v>-0.22268194102369718</v>
      </c>
      <c r="I8">
        <v>-2.1894348528785492E-2</v>
      </c>
      <c r="J8">
        <v>5.2805702205602108E-2</v>
      </c>
      <c r="K8">
        <v>0.39221265185660031</v>
      </c>
      <c r="L8">
        <v>8.6895253392971508E-2</v>
      </c>
      <c r="M8">
        <v>0.10121954131172327</v>
      </c>
      <c r="N8">
        <v>-8.2717898607706036E-2</v>
      </c>
      <c r="O8">
        <v>0.77338215645752306</v>
      </c>
      <c r="P8">
        <v>-0.22454511229504473</v>
      </c>
      <c r="Q8">
        <v>3.925885011527383E-2</v>
      </c>
      <c r="R8">
        <v>0.58932414520239329</v>
      </c>
      <c r="S8">
        <v>4.4311004888231413E-2</v>
      </c>
      <c r="T8">
        <v>0.61136647822021162</v>
      </c>
      <c r="U8">
        <v>-0.15980316030244493</v>
      </c>
      <c r="V8">
        <v>-3.2442536641260677E-2</v>
      </c>
      <c r="W8">
        <v>-0.2243819225160627</v>
      </c>
      <c r="X8">
        <v>-1.1606074010098628E-2</v>
      </c>
      <c r="Y8">
        <v>0.45393265822668494</v>
      </c>
      <c r="Z8">
        <v>-0.19176221457792547</v>
      </c>
      <c r="AA8">
        <v>1.3250945087911649E-2</v>
      </c>
      <c r="AB8">
        <v>-0.21341361333458556</v>
      </c>
      <c r="AC8">
        <v>-0.22767242432123316</v>
      </c>
      <c r="AD8">
        <v>-0.22536801206648763</v>
      </c>
      <c r="AE8">
        <v>-8.2557565221697451E-2</v>
      </c>
      <c r="AF8">
        <v>-4.1240751477693391E-2</v>
      </c>
      <c r="AG8">
        <v>0.43792492497271762</v>
      </c>
      <c r="AH8">
        <v>7.1436150617877101E-2</v>
      </c>
      <c r="AI8">
        <v>1.1478432880109897E-2</v>
      </c>
      <c r="AJ8">
        <v>-0.15144845971898227</v>
      </c>
      <c r="AK8">
        <v>-0.22410560918716627</v>
      </c>
      <c r="AL8">
        <v>-0.13856339122414948</v>
      </c>
      <c r="AM8">
        <v>8.7036878845924828E-2</v>
      </c>
      <c r="AN8">
        <v>0.59928577222394286</v>
      </c>
      <c r="AO8">
        <v>-0.16110833570058036</v>
      </c>
      <c r="AP8">
        <v>-0.21009333782978939</v>
      </c>
      <c r="AQ8">
        <v>-3.7453784887249264E-2</v>
      </c>
      <c r="AR8">
        <v>-0.21898016356471287</v>
      </c>
      <c r="AS8">
        <v>-0.11226848056722138</v>
      </c>
      <c r="AT8">
        <v>-0.1042108993104582</v>
      </c>
      <c r="AU8">
        <v>8.3907993148129786E-2</v>
      </c>
      <c r="AV8">
        <v>-8.7060107780432688E-2</v>
      </c>
      <c r="AW8">
        <v>0.34596632147354761</v>
      </c>
    </row>
    <row r="9" spans="1:49" x14ac:dyDescent="0.25">
      <c r="A9">
        <v>-0.45369842356104412</v>
      </c>
      <c r="B9">
        <v>0.51408429554043988</v>
      </c>
      <c r="C9">
        <v>0.72698134395948133</v>
      </c>
      <c r="D9">
        <v>0.59119470067548152</v>
      </c>
      <c r="E9">
        <v>9.0585306315754011E-2</v>
      </c>
      <c r="F9">
        <v>-3.9188038386314544E-2</v>
      </c>
      <c r="G9">
        <v>0.80878666719950698</v>
      </c>
      <c r="H9">
        <v>-0.45327215324638698</v>
      </c>
      <c r="I9">
        <v>7.7138053249435345E-2</v>
      </c>
      <c r="J9">
        <v>-8.672644924370701E-2</v>
      </c>
      <c r="K9">
        <v>-0.45316025098922336</v>
      </c>
      <c r="L9">
        <v>-7.5236279067013342E-2</v>
      </c>
      <c r="M9">
        <v>-0.45354192254683462</v>
      </c>
      <c r="N9">
        <v>-8.3247335276743162E-2</v>
      </c>
      <c r="O9">
        <v>-0.13722064081343813</v>
      </c>
      <c r="P9">
        <v>-0.39784897083736914</v>
      </c>
      <c r="Q9">
        <v>-9.2173688574605714E-2</v>
      </c>
      <c r="R9">
        <v>-0.4547043705479959</v>
      </c>
      <c r="S9">
        <v>3.2613086874249193E-2</v>
      </c>
      <c r="T9">
        <v>-0.22689216885451879</v>
      </c>
      <c r="U9">
        <v>4.6857929516095041E-2</v>
      </c>
      <c r="V9">
        <v>-8.951175383244124E-2</v>
      </c>
      <c r="W9">
        <v>-0.45503647467636837</v>
      </c>
      <c r="X9">
        <v>-1.0041366238153328E-2</v>
      </c>
      <c r="Y9">
        <v>-0.24558831885511348</v>
      </c>
      <c r="Z9">
        <v>0.38545839771141482</v>
      </c>
      <c r="AA9">
        <v>-4.7073357507462277E-2</v>
      </c>
      <c r="AB9">
        <v>-0.26209220256301041</v>
      </c>
      <c r="AC9">
        <v>-0.30875250840855473</v>
      </c>
      <c r="AD9">
        <v>0.24925905748444407</v>
      </c>
      <c r="AE9">
        <v>-6.2438274877498201E-2</v>
      </c>
      <c r="AF9">
        <v>1.8517627319789683E-2</v>
      </c>
      <c r="AG9">
        <v>-0.32732407679744296</v>
      </c>
      <c r="AH9">
        <v>7.049709474914094E-2</v>
      </c>
      <c r="AI9">
        <v>-0.37670561420551046</v>
      </c>
      <c r="AJ9">
        <v>-0.28598486039083282</v>
      </c>
      <c r="AK9">
        <v>0.28300771569390437</v>
      </c>
      <c r="AL9">
        <v>0.12070377947950958</v>
      </c>
      <c r="AM9">
        <v>-9.1472389099297877E-2</v>
      </c>
      <c r="AN9">
        <v>-0.37263535969383121</v>
      </c>
      <c r="AO9">
        <v>0.5781817241501549</v>
      </c>
      <c r="AP9">
        <v>0.43216517783060393</v>
      </c>
      <c r="AQ9">
        <v>9.0628247933408262E-2</v>
      </c>
      <c r="AR9">
        <v>0.24688570110983099</v>
      </c>
      <c r="AS9">
        <v>0.12256032167247717</v>
      </c>
      <c r="AT9">
        <v>0.13223355366033651</v>
      </c>
      <c r="AU9">
        <v>5.250172709218482E-2</v>
      </c>
      <c r="AV9">
        <v>4.6149197539185546E-2</v>
      </c>
      <c r="AW9">
        <v>-0.24868193347467912</v>
      </c>
    </row>
    <row r="10" spans="1:49" x14ac:dyDescent="0.25">
      <c r="A10">
        <v>0.65601739502561385</v>
      </c>
      <c r="B10">
        <v>-0.33366958593989066</v>
      </c>
      <c r="C10">
        <v>-0.33208771675469362</v>
      </c>
      <c r="D10">
        <v>-0.33285824787790325</v>
      </c>
      <c r="E10">
        <v>8.3293010418572261E-2</v>
      </c>
      <c r="F10">
        <v>0.37280734476813343</v>
      </c>
      <c r="G10">
        <v>-1.5308017410765621E-2</v>
      </c>
      <c r="H10">
        <v>0.61145257960121679</v>
      </c>
      <c r="I10">
        <v>-8.7281161979893968E-2</v>
      </c>
      <c r="J10">
        <v>-1.5497155358321385E-3</v>
      </c>
      <c r="K10">
        <v>-0.3109653154765421</v>
      </c>
      <c r="L10">
        <v>8.8666143547832102E-2</v>
      </c>
      <c r="M10">
        <v>0.28955009856627101</v>
      </c>
      <c r="N10">
        <v>-9.2724234793768456E-2</v>
      </c>
      <c r="O10">
        <v>-0.33185508756160331</v>
      </c>
      <c r="P10">
        <v>0.3797319172159116</v>
      </c>
      <c r="Q10">
        <v>-7.9291371865727073E-2</v>
      </c>
      <c r="R10">
        <v>-0.33162949849431</v>
      </c>
      <c r="S10">
        <v>-7.197301717420887E-2</v>
      </c>
      <c r="T10">
        <v>-0.1677524011296587</v>
      </c>
      <c r="U10">
        <v>0.10299030554738771</v>
      </c>
      <c r="V10">
        <v>-6.4741713787800734E-2</v>
      </c>
      <c r="W10">
        <v>0.55787154307860098</v>
      </c>
      <c r="X10">
        <v>-9.0699331603911054E-2</v>
      </c>
      <c r="Y10">
        <v>-0.22146949446219474</v>
      </c>
      <c r="Z10">
        <v>-0.31570119228318616</v>
      </c>
      <c r="AA10">
        <v>-8.2297020178476246E-2</v>
      </c>
      <c r="AB10">
        <v>0.28964191928880328</v>
      </c>
      <c r="AC10">
        <v>0.24851599644926184</v>
      </c>
      <c r="AD10">
        <v>-3.6390879315482842E-2</v>
      </c>
      <c r="AE10">
        <v>9.5936054996094339E-2</v>
      </c>
      <c r="AF10">
        <v>4.4668157282512728E-2</v>
      </c>
      <c r="AG10">
        <v>-0.33299729779002479</v>
      </c>
      <c r="AH10">
        <v>-1.3125504024786509E-2</v>
      </c>
      <c r="AI10">
        <v>0.28239930551417242</v>
      </c>
      <c r="AJ10">
        <v>0.37117404892232309</v>
      </c>
      <c r="AK10">
        <v>-9.4628067403238897E-2</v>
      </c>
      <c r="AL10">
        <v>-4.7374986003357093E-2</v>
      </c>
      <c r="AM10">
        <v>-5.6380658106079728E-2</v>
      </c>
      <c r="AN10">
        <v>-0.33170471286772291</v>
      </c>
      <c r="AO10">
        <v>-0.31012850266697395</v>
      </c>
      <c r="AP10">
        <v>-0.27048811361705233</v>
      </c>
      <c r="AQ10">
        <v>-3.6533538554905681E-2</v>
      </c>
      <c r="AR10">
        <v>-0.32982241807117108</v>
      </c>
      <c r="AS10">
        <v>-0.29773660510106847</v>
      </c>
      <c r="AT10">
        <v>8.7737440650331108E-2</v>
      </c>
      <c r="AU10">
        <v>-6.4693172660272899E-2</v>
      </c>
      <c r="AV10">
        <v>4.6276770028649668E-2</v>
      </c>
      <c r="AW10">
        <v>-0.21366303739310222</v>
      </c>
    </row>
    <row r="11" spans="1:49" x14ac:dyDescent="0.25">
      <c r="A11">
        <v>-0.31898812727181197</v>
      </c>
      <c r="B11">
        <v>0.51848377907374099</v>
      </c>
      <c r="C11">
        <v>0.85201141077556874</v>
      </c>
      <c r="D11">
        <v>0.40166864325640822</v>
      </c>
      <c r="E11">
        <v>8.7978126350783545E-2</v>
      </c>
      <c r="F11">
        <v>-9.3947544206947078E-2</v>
      </c>
      <c r="G11">
        <v>0.35220864912817829</v>
      </c>
      <c r="H11">
        <v>-0.31478313977948608</v>
      </c>
      <c r="I11">
        <v>-1.9414885556759746E-2</v>
      </c>
      <c r="J11">
        <v>-9.3081796614578154E-3</v>
      </c>
      <c r="K11">
        <v>-0.31370079257745787</v>
      </c>
      <c r="L11">
        <v>-1.6821180541356045E-2</v>
      </c>
      <c r="M11">
        <v>-0.22063667764462697</v>
      </c>
      <c r="N11">
        <v>-4.9862166305601266E-2</v>
      </c>
      <c r="O11">
        <v>0.56175235268350643</v>
      </c>
      <c r="P11">
        <v>-0.3209338602412069</v>
      </c>
      <c r="Q11">
        <v>3.1524421735256082E-2</v>
      </c>
      <c r="R11">
        <v>-0.31304335257848775</v>
      </c>
      <c r="S11">
        <v>7.389142129885759E-2</v>
      </c>
      <c r="T11">
        <v>0.22929920110413654</v>
      </c>
      <c r="U11">
        <v>-8.0935543139029176E-2</v>
      </c>
      <c r="V11">
        <v>-3.7468295445093724E-2</v>
      </c>
      <c r="W11">
        <v>-0.31505155664643419</v>
      </c>
      <c r="X11">
        <v>3.3079483899870747E-2</v>
      </c>
      <c r="Y11">
        <v>-0.14774357764859414</v>
      </c>
      <c r="Z11">
        <v>0.61362363284657684</v>
      </c>
      <c r="AA11">
        <v>-7.4569431629873978E-2</v>
      </c>
      <c r="AB11">
        <v>-0.17741829254538996</v>
      </c>
      <c r="AC11">
        <v>-0.31308554980096498</v>
      </c>
      <c r="AD11">
        <v>0.19644874631997736</v>
      </c>
      <c r="AE11">
        <v>-2.3249854274117319E-2</v>
      </c>
      <c r="AF11">
        <v>7.0000412202375129E-2</v>
      </c>
      <c r="AG11">
        <v>-0.20857183534328003</v>
      </c>
      <c r="AH11">
        <v>-7.0572356978624684E-2</v>
      </c>
      <c r="AI11">
        <v>-0.14943571466679831</v>
      </c>
      <c r="AJ11">
        <v>-0.2634295354849045</v>
      </c>
      <c r="AK11">
        <v>0.23146508732272389</v>
      </c>
      <c r="AL11">
        <v>5.530311904236547E-2</v>
      </c>
      <c r="AM11">
        <v>1.136288669419077E-2</v>
      </c>
      <c r="AN11">
        <v>-0.23488975253455832</v>
      </c>
      <c r="AO11">
        <v>0.54038967856225828</v>
      </c>
      <c r="AP11">
        <v>0.20636781979795399</v>
      </c>
      <c r="AQ11">
        <v>-1.8236772763269803E-2</v>
      </c>
      <c r="AR11">
        <v>0.29704522379461329</v>
      </c>
      <c r="AS11">
        <v>0.12857383976151804</v>
      </c>
      <c r="AT11">
        <v>-4.3287291272064148E-2</v>
      </c>
      <c r="AU11">
        <v>7.2677929236531921E-2</v>
      </c>
      <c r="AV11">
        <v>-5.181621462213349E-2</v>
      </c>
      <c r="AW11">
        <v>8.0623163072908108E-2</v>
      </c>
    </row>
    <row r="12" spans="1:49" x14ac:dyDescent="0.25">
      <c r="A12">
        <v>0.50329275519836458</v>
      </c>
      <c r="B12">
        <v>-0.34634085578104756</v>
      </c>
      <c r="C12">
        <v>-0.34559143273100951</v>
      </c>
      <c r="D12">
        <v>-0.34465856749858409</v>
      </c>
      <c r="E12">
        <v>-6.1215431476374836E-2</v>
      </c>
      <c r="F12">
        <v>0.28777101659676041</v>
      </c>
      <c r="G12">
        <v>-0.34527271408916732</v>
      </c>
      <c r="H12">
        <v>0.59174451521313154</v>
      </c>
      <c r="I12">
        <v>8.5705736866470178E-2</v>
      </c>
      <c r="J12">
        <v>-9.4659533783691685E-3</v>
      </c>
      <c r="K12">
        <v>0.52191840510835741</v>
      </c>
      <c r="L12">
        <v>7.4339731305489612E-2</v>
      </c>
      <c r="M12">
        <v>0.49297580134173818</v>
      </c>
      <c r="N12">
        <v>8.8585101179124007E-2</v>
      </c>
      <c r="O12">
        <v>6.8064723100243182E-2</v>
      </c>
      <c r="P12">
        <v>0.26046470679206274</v>
      </c>
      <c r="Q12">
        <v>-8.9263605230365806E-2</v>
      </c>
      <c r="R12">
        <v>0.58087624850738329</v>
      </c>
      <c r="S12">
        <v>-9.3360254821711272E-2</v>
      </c>
      <c r="T12">
        <v>0.28263773571298079</v>
      </c>
      <c r="U12">
        <v>-0.12664522619658281</v>
      </c>
      <c r="V12">
        <v>4.211480486406903E-2</v>
      </c>
      <c r="W12">
        <v>0.35197977947540748</v>
      </c>
      <c r="X12">
        <v>-8.3801843299665918E-2</v>
      </c>
      <c r="Y12">
        <v>0.12629863730689211</v>
      </c>
      <c r="Z12">
        <v>-0.3454156868920899</v>
      </c>
      <c r="AA12">
        <v>9.128831574891573E-2</v>
      </c>
      <c r="AB12">
        <v>0.31427119272006931</v>
      </c>
      <c r="AC12">
        <v>0.33809160325620047</v>
      </c>
      <c r="AD12">
        <v>-0.31532834142937921</v>
      </c>
      <c r="AE12">
        <v>0.14015611622442636</v>
      </c>
      <c r="AF12">
        <v>2.570915612316025E-2</v>
      </c>
      <c r="AG12">
        <v>0.59792182592527454</v>
      </c>
      <c r="AH12">
        <v>2.705364059065777E-2</v>
      </c>
      <c r="AI12">
        <v>0.30899673903002761</v>
      </c>
      <c r="AJ12">
        <v>0.1515232817140495</v>
      </c>
      <c r="AK12">
        <v>-0.30001055949498623</v>
      </c>
      <c r="AL12">
        <v>-3.3363503839832678E-2</v>
      </c>
      <c r="AM12">
        <v>7.4501779917035632E-2</v>
      </c>
      <c r="AN12">
        <v>0.4637530775720361</v>
      </c>
      <c r="AO12">
        <v>-0.33992174811788956</v>
      </c>
      <c r="AP12">
        <v>-0.25863772332034118</v>
      </c>
      <c r="AQ12">
        <v>-8.8022199912369217E-2</v>
      </c>
      <c r="AR12">
        <v>-0.24825285679511944</v>
      </c>
      <c r="AS12">
        <v>-0.10716482391564242</v>
      </c>
      <c r="AT12">
        <v>-0.10783608534764745</v>
      </c>
      <c r="AU12">
        <v>-1.058793861159932E-2</v>
      </c>
      <c r="AV12">
        <v>7.4203175516314307E-2</v>
      </c>
      <c r="AW12">
        <v>0.30064686175366651</v>
      </c>
    </row>
    <row r="13" spans="1:49" x14ac:dyDescent="0.25">
      <c r="A13">
        <v>-0.11620064581287398</v>
      </c>
      <c r="B13">
        <v>-0.32103209215825984</v>
      </c>
      <c r="C13">
        <v>-0.38103032229335909</v>
      </c>
      <c r="D13">
        <v>-0.26401605059794264</v>
      </c>
      <c r="E13">
        <v>8.1533704626073802E-2</v>
      </c>
      <c r="F13">
        <v>-5.9207887170278584E-2</v>
      </c>
      <c r="G13">
        <v>-0.19000540000695745</v>
      </c>
      <c r="H13">
        <v>4.8321823603924233E-3</v>
      </c>
      <c r="I13">
        <v>-7.0074289606836371E-2</v>
      </c>
      <c r="J13">
        <v>6.6957915502070711E-2</v>
      </c>
      <c r="K13">
        <v>0.72499661719913333</v>
      </c>
      <c r="L13">
        <v>6.4369978583934645E-2</v>
      </c>
      <c r="M13">
        <v>0.40014404976729184</v>
      </c>
      <c r="N13">
        <v>8.2757203554431627E-2</v>
      </c>
      <c r="O13">
        <v>-0.3810712667337966</v>
      </c>
      <c r="P13">
        <v>-1.8676025969647621E-2</v>
      </c>
      <c r="Q13">
        <v>-5.9486519582631091E-2</v>
      </c>
      <c r="R13">
        <v>0.65301192599175217</v>
      </c>
      <c r="S13">
        <v>4.0521955039275172E-2</v>
      </c>
      <c r="T13">
        <v>-0.17863451884449422</v>
      </c>
      <c r="U13">
        <v>-0.16320074296965784</v>
      </c>
      <c r="V13">
        <v>-7.3103383609314329E-2</v>
      </c>
      <c r="W13">
        <v>-0.12070727251477266</v>
      </c>
      <c r="X13">
        <v>2.0920130146434533E-3</v>
      </c>
      <c r="Y13">
        <v>0.51179694592700364</v>
      </c>
      <c r="Z13">
        <v>-0.22620754039086771</v>
      </c>
      <c r="AA13">
        <v>1.3504139269851664E-2</v>
      </c>
      <c r="AB13">
        <v>0.21013379409372912</v>
      </c>
      <c r="AC13">
        <v>-0.1033370031414322</v>
      </c>
      <c r="AD13">
        <v>-0.24494643806385324</v>
      </c>
      <c r="AE13">
        <v>-4.7174448013955012E-2</v>
      </c>
      <c r="AF13">
        <v>1.37606690738024E-2</v>
      </c>
      <c r="AG13">
        <v>0.57836691743237811</v>
      </c>
      <c r="AH13">
        <v>5.1557216217055689E-2</v>
      </c>
      <c r="AI13">
        <v>0.11094890616506146</v>
      </c>
      <c r="AJ13">
        <v>-0.19217018125451726</v>
      </c>
      <c r="AK13">
        <v>-0.30500293541784679</v>
      </c>
      <c r="AL13">
        <v>-3.351788975469646E-2</v>
      </c>
      <c r="AM13">
        <v>5.9242910798238124E-2</v>
      </c>
      <c r="AN13">
        <v>0.34666607990020176</v>
      </c>
      <c r="AO13">
        <v>-0.20201998547231606</v>
      </c>
      <c r="AP13">
        <v>0.12746728275702721</v>
      </c>
      <c r="AQ13">
        <v>4.612743772339721E-2</v>
      </c>
      <c r="AR13">
        <v>-9.211164698076672E-3</v>
      </c>
      <c r="AS13">
        <v>4.8325922510353836E-2</v>
      </c>
      <c r="AT13">
        <v>9.6744278268626804E-2</v>
      </c>
      <c r="AU13">
        <v>1.0696773816411166E-2</v>
      </c>
      <c r="AV13">
        <v>-7.6140341009528739E-2</v>
      </c>
      <c r="AW13">
        <v>0.47441130340592624</v>
      </c>
    </row>
    <row r="14" spans="1:49" x14ac:dyDescent="0.25">
      <c r="A14">
        <v>0.28536780536888035</v>
      </c>
      <c r="B14">
        <v>0.3588619501344012</v>
      </c>
      <c r="C14">
        <v>0.56419904228875495</v>
      </c>
      <c r="D14">
        <v>0.45224133378557119</v>
      </c>
      <c r="E14">
        <v>3.6102508756163131E-2</v>
      </c>
      <c r="F14">
        <v>0.35294916732716564</v>
      </c>
      <c r="G14">
        <v>0.64360351123473825</v>
      </c>
      <c r="H14">
        <v>0.20691606161744888</v>
      </c>
      <c r="I14">
        <v>2.5542627903715347E-2</v>
      </c>
      <c r="J14">
        <v>4.2041493431573512E-2</v>
      </c>
      <c r="K14">
        <v>-0.48341872884069909</v>
      </c>
      <c r="L14">
        <v>-1.6000135848450395E-2</v>
      </c>
      <c r="M14">
        <v>-0.29015524425186634</v>
      </c>
      <c r="N14">
        <v>-5.2781449704773269E-2</v>
      </c>
      <c r="O14">
        <v>-0.48392453902538662</v>
      </c>
      <c r="P14">
        <v>0.17861613749164695</v>
      </c>
      <c r="Q14">
        <v>-6.5617778180948175E-2</v>
      </c>
      <c r="R14">
        <v>-0.48302519358645313</v>
      </c>
      <c r="S14">
        <v>3.7870532925324982E-2</v>
      </c>
      <c r="T14">
        <v>-0.37917176405264363</v>
      </c>
      <c r="U14">
        <v>0.52349324030608757</v>
      </c>
      <c r="V14">
        <v>-2.0282713251512489E-2</v>
      </c>
      <c r="W14">
        <v>0.2369020363351024</v>
      </c>
      <c r="X14">
        <v>8.7079736169882044E-2</v>
      </c>
      <c r="Y14">
        <v>-0.30947299781778126</v>
      </c>
      <c r="Z14">
        <v>0.430959269089353</v>
      </c>
      <c r="AA14">
        <v>-6.9211459324121344E-2</v>
      </c>
      <c r="AB14">
        <v>0.14602392983066129</v>
      </c>
      <c r="AC14">
        <v>0.12748877300216299</v>
      </c>
      <c r="AD14">
        <v>0.43764685794598562</v>
      </c>
      <c r="AE14">
        <v>0.1054725457028233</v>
      </c>
      <c r="AF14">
        <v>-2.6043272254241183E-2</v>
      </c>
      <c r="AG14">
        <v>-0.44757419897846679</v>
      </c>
      <c r="AH14">
        <v>5.7775706749833601E-2</v>
      </c>
      <c r="AI14">
        <v>4.7071764716689009E-2</v>
      </c>
      <c r="AJ14">
        <v>0.20814939656553391</v>
      </c>
      <c r="AK14">
        <v>0.35496682356536402</v>
      </c>
      <c r="AL14">
        <v>8.9856912671710934E-2</v>
      </c>
      <c r="AM14">
        <v>-3.0608076996888941E-2</v>
      </c>
      <c r="AN14">
        <v>-0.41390371100174178</v>
      </c>
      <c r="AO14">
        <v>0.31519181315136152</v>
      </c>
      <c r="AP14">
        <v>0.41603428966850764</v>
      </c>
      <c r="AQ14">
        <v>-5.8831677976338974E-2</v>
      </c>
      <c r="AR14">
        <v>0.17619364231208867</v>
      </c>
      <c r="AS14">
        <v>0.10231978127150423</v>
      </c>
      <c r="AT14">
        <v>1.0214445614835602E-2</v>
      </c>
      <c r="AU14">
        <v>-3.4811297905183378E-2</v>
      </c>
      <c r="AV14">
        <v>-5.6686295009524011E-2</v>
      </c>
      <c r="AW14">
        <v>-0.28709314508238332</v>
      </c>
    </row>
    <row r="15" spans="1:49" x14ac:dyDescent="0.25">
      <c r="A15">
        <v>0.50350746909468058</v>
      </c>
      <c r="B15">
        <v>-0.4277234637253482</v>
      </c>
      <c r="C15">
        <v>-0.42825907223729831</v>
      </c>
      <c r="D15">
        <v>-0.42797241730948093</v>
      </c>
      <c r="E15">
        <v>3.2101231462019458E-2</v>
      </c>
      <c r="F15">
        <v>0.1162886007509859</v>
      </c>
      <c r="G15">
        <v>-0.31824593310086463</v>
      </c>
      <c r="H15">
        <v>0.32711821748318992</v>
      </c>
      <c r="I15">
        <v>3.6940026845858183E-2</v>
      </c>
      <c r="J15">
        <v>-7.9626559730955851E-2</v>
      </c>
      <c r="K15">
        <v>0.61600670435338956</v>
      </c>
      <c r="L15">
        <v>1.6580028316133429E-2</v>
      </c>
      <c r="M15">
        <v>0.51407273284044452</v>
      </c>
      <c r="N15">
        <v>-1.5797397465156279E-2</v>
      </c>
      <c r="O15">
        <v>-0.42796096383451832</v>
      </c>
      <c r="P15">
        <v>0.38177936926683825</v>
      </c>
      <c r="Q15">
        <v>-4.3109410279142543E-2</v>
      </c>
      <c r="R15">
        <v>0.62893827265816293</v>
      </c>
      <c r="S15">
        <v>-7.2809957249981475E-2</v>
      </c>
      <c r="T15">
        <v>-0.31173069120129915</v>
      </c>
      <c r="U15">
        <v>-8.8602362104519813E-2</v>
      </c>
      <c r="V15">
        <v>8.5974380878878626E-2</v>
      </c>
      <c r="W15">
        <v>0.34776531372095831</v>
      </c>
      <c r="X15">
        <v>3.9406520630499285E-2</v>
      </c>
      <c r="Y15">
        <v>0.26715121059479258</v>
      </c>
      <c r="Z15">
        <v>-0.38160653740932793</v>
      </c>
      <c r="AA15">
        <v>-4.0084783842606747E-3</v>
      </c>
      <c r="AB15">
        <v>0.49581300447689475</v>
      </c>
      <c r="AC15">
        <v>0.41203019971856225</v>
      </c>
      <c r="AD15">
        <v>-0.18461228299553836</v>
      </c>
      <c r="AE15">
        <v>-1.1082242399996912E-3</v>
      </c>
      <c r="AF15">
        <v>-8.6314879247019777E-2</v>
      </c>
      <c r="AG15">
        <v>0.51180895759329303</v>
      </c>
      <c r="AH15">
        <v>2.6967588767955238E-2</v>
      </c>
      <c r="AI15">
        <v>0.47483024412179953</v>
      </c>
      <c r="AJ15">
        <v>0.13256350550123827</v>
      </c>
      <c r="AK15">
        <v>-0.14959364480039961</v>
      </c>
      <c r="AL15">
        <v>-1.5178370098630748E-2</v>
      </c>
      <c r="AM15">
        <v>-2.7132744204334359E-2</v>
      </c>
      <c r="AN15">
        <v>0.41897621249825584</v>
      </c>
      <c r="AO15">
        <v>-0.34774757499063702</v>
      </c>
      <c r="AP15">
        <v>-0.20693092333750435</v>
      </c>
      <c r="AQ15">
        <v>-2.8190846857178712E-2</v>
      </c>
      <c r="AR15">
        <v>-0.19886825599624969</v>
      </c>
      <c r="AS15">
        <v>-0.20770984244819618</v>
      </c>
      <c r="AT15">
        <v>2.8093977773947183E-2</v>
      </c>
      <c r="AU15">
        <v>-9.3970324432928104E-2</v>
      </c>
      <c r="AV15">
        <v>6.9419989888596531E-2</v>
      </c>
      <c r="AW15">
        <v>0.34647624809023425</v>
      </c>
    </row>
    <row r="16" spans="1:49" x14ac:dyDescent="0.25">
      <c r="A16">
        <v>0.54726098757167962</v>
      </c>
      <c r="B16">
        <v>-0.35651699268192055</v>
      </c>
      <c r="C16">
        <v>-0.38160357485437879</v>
      </c>
      <c r="D16">
        <v>-0.38257517802275492</v>
      </c>
      <c r="E16">
        <v>4.1040722534660692E-2</v>
      </c>
      <c r="F16">
        <v>0.40709346402827556</v>
      </c>
      <c r="G16">
        <v>-5.7117399745795008E-2</v>
      </c>
      <c r="H16">
        <v>0.46463448639286037</v>
      </c>
      <c r="I16">
        <v>-1.3838953834422206E-2</v>
      </c>
      <c r="J16">
        <v>9.8964533310161567E-3</v>
      </c>
      <c r="K16">
        <v>-0.38289599107251182</v>
      </c>
      <c r="L16">
        <v>-3.0571625993905376E-2</v>
      </c>
      <c r="M16">
        <v>0.13462103555507993</v>
      </c>
      <c r="N16">
        <v>6.6344377807319263E-2</v>
      </c>
      <c r="O16">
        <v>0.65545742117916805</v>
      </c>
      <c r="P16">
        <v>0.25685908534053392</v>
      </c>
      <c r="Q16">
        <v>-8.1442643349376835E-3</v>
      </c>
      <c r="R16">
        <v>-0.38216008312683197</v>
      </c>
      <c r="S16">
        <v>4.5814033757870201E-2</v>
      </c>
      <c r="T16">
        <v>0.55777571487932265</v>
      </c>
      <c r="U16">
        <v>-4.3636668114455497E-2</v>
      </c>
      <c r="V16">
        <v>-3.7708436145952082E-2</v>
      </c>
      <c r="W16">
        <v>0.31981871378497478</v>
      </c>
      <c r="X16">
        <v>-4.9134398609428587E-2</v>
      </c>
      <c r="Y16">
        <v>-0.29815514651820813</v>
      </c>
      <c r="Z16">
        <v>-0.29860652038909435</v>
      </c>
      <c r="AA16">
        <v>-8.0114295103880628E-2</v>
      </c>
      <c r="AB16">
        <v>-1.3621017083478768E-3</v>
      </c>
      <c r="AC16">
        <v>0.21178518660361159</v>
      </c>
      <c r="AD16">
        <v>-5.6233925500633442E-2</v>
      </c>
      <c r="AE16">
        <v>0.14432412282098994</v>
      </c>
      <c r="AF16">
        <v>0.10057862514660493</v>
      </c>
      <c r="AG16">
        <v>-0.38029020576473144</v>
      </c>
      <c r="AH16">
        <v>-1.5500804071206757E-2</v>
      </c>
      <c r="AI16">
        <v>4.5237246249735352E-2</v>
      </c>
      <c r="AJ16">
        <v>0.28290038283560953</v>
      </c>
      <c r="AK16">
        <v>-0.10942805416541199</v>
      </c>
      <c r="AL16">
        <v>-0.18795922434232373</v>
      </c>
      <c r="AM16">
        <v>-1.2916178691167976E-2</v>
      </c>
      <c r="AN16">
        <v>-0.35712841567220699</v>
      </c>
      <c r="AO16">
        <v>-0.15278206855986917</v>
      </c>
      <c r="AP16">
        <v>-0.30035260828662669</v>
      </c>
      <c r="AQ16">
        <v>7.1470434068651528E-2</v>
      </c>
      <c r="AR16">
        <v>-0.38023914451205804</v>
      </c>
      <c r="AS16">
        <v>-0.26125495172622626</v>
      </c>
      <c r="AT16">
        <v>4.5025798402574528E-2</v>
      </c>
      <c r="AU16">
        <v>-4.8074742544167687E-2</v>
      </c>
      <c r="AV16">
        <v>-9.65539864564295E-2</v>
      </c>
      <c r="AW16">
        <v>-0.2605118492801744</v>
      </c>
    </row>
    <row r="17" spans="1:49" x14ac:dyDescent="0.25">
      <c r="A17">
        <v>-0.37175051399048892</v>
      </c>
      <c r="B17">
        <v>0.46339362737810541</v>
      </c>
      <c r="C17">
        <v>0.64652934980287957</v>
      </c>
      <c r="D17">
        <v>0.52750006931155347</v>
      </c>
      <c r="E17">
        <v>-2.5878911587005414E-2</v>
      </c>
      <c r="F17">
        <v>-0.32874866414027154</v>
      </c>
      <c r="G17">
        <v>0.55879415886763684</v>
      </c>
      <c r="H17">
        <v>-0.37297929624188347</v>
      </c>
      <c r="I17">
        <v>-9.0681545633839455E-2</v>
      </c>
      <c r="J17">
        <v>3.3387348565307749E-2</v>
      </c>
      <c r="K17">
        <v>0.40980534129449542</v>
      </c>
      <c r="L17">
        <v>-3.5537319517632039E-2</v>
      </c>
      <c r="M17">
        <v>-0.20858413995279382</v>
      </c>
      <c r="N17">
        <v>-6.5107849481793227E-3</v>
      </c>
      <c r="O17">
        <v>-0.26024087068436536</v>
      </c>
      <c r="P17">
        <v>-0.37024058896851042</v>
      </c>
      <c r="Q17">
        <v>-9.5023489883518331E-2</v>
      </c>
      <c r="R17">
        <v>0.41438140494883535</v>
      </c>
      <c r="S17">
        <v>9.7326176930932665E-2</v>
      </c>
      <c r="T17">
        <v>8.8022013065710888E-3</v>
      </c>
      <c r="U17">
        <v>-0.18804702319252728</v>
      </c>
      <c r="V17">
        <v>5.944108527993635E-2</v>
      </c>
      <c r="W17">
        <v>-0.37119515606697923</v>
      </c>
      <c r="X17">
        <v>-2.015025172762111E-2</v>
      </c>
      <c r="Y17">
        <v>0.47613004854424046</v>
      </c>
      <c r="Z17">
        <v>0.38362430658142205</v>
      </c>
      <c r="AA17">
        <v>7.7303100308204004E-2</v>
      </c>
      <c r="AB17">
        <v>-0.16856679482978773</v>
      </c>
      <c r="AC17">
        <v>-0.30558011870666502</v>
      </c>
      <c r="AD17">
        <v>4.7185359272389121E-2</v>
      </c>
      <c r="AE17">
        <v>-0.20665270453422449</v>
      </c>
      <c r="AF17">
        <v>6.2720471352785426E-2</v>
      </c>
      <c r="AG17">
        <v>0.51353238677389945</v>
      </c>
      <c r="AH17">
        <v>9.3066804378464998E-2</v>
      </c>
      <c r="AI17">
        <v>-0.34088816988903453</v>
      </c>
      <c r="AJ17">
        <v>-0.26922572442426157</v>
      </c>
      <c r="AK17">
        <v>0.21973239413411291</v>
      </c>
      <c r="AL17">
        <v>0.15319614869670059</v>
      </c>
      <c r="AM17">
        <v>-4.3550988831969541E-2</v>
      </c>
      <c r="AN17">
        <v>0.40356972243513378</v>
      </c>
      <c r="AO17">
        <v>0.37532736176001974</v>
      </c>
      <c r="AP17">
        <v>0.24916065448974395</v>
      </c>
      <c r="AQ17">
        <v>-1.3894973017071544E-2</v>
      </c>
      <c r="AR17">
        <v>0.35903454175828009</v>
      </c>
      <c r="AS17">
        <v>0.16152399910581594</v>
      </c>
      <c r="AT17">
        <v>4.2635108724293484E-2</v>
      </c>
      <c r="AU17">
        <v>3.7467392298339924E-2</v>
      </c>
      <c r="AV17">
        <v>-3.4819570729448232E-2</v>
      </c>
      <c r="AW17">
        <v>0.50428317362473973</v>
      </c>
    </row>
    <row r="18" spans="1:49" x14ac:dyDescent="0.25">
      <c r="A18">
        <v>1.6986769660349087E-2</v>
      </c>
      <c r="B18">
        <v>-9.4697333485827595E-2</v>
      </c>
      <c r="C18">
        <v>-7.1469994538252882E-2</v>
      </c>
      <c r="D18">
        <v>-8.1299200748490119E-2</v>
      </c>
      <c r="E18">
        <v>1.6548779438451778E-2</v>
      </c>
      <c r="F18">
        <v>-7.7052635831745625E-2</v>
      </c>
      <c r="G18">
        <v>-8.3649071298352015E-2</v>
      </c>
      <c r="H18">
        <v>1.9594863319949696E-2</v>
      </c>
      <c r="I18">
        <v>6.6221032044662953E-2</v>
      </c>
      <c r="J18">
        <v>1.4806729769929356E-2</v>
      </c>
      <c r="K18">
        <v>-7.6104983447646296E-2</v>
      </c>
      <c r="L18">
        <v>-6.9933747929987619E-2</v>
      </c>
      <c r="M18">
        <v>-8.5649713565443042E-2</v>
      </c>
      <c r="N18">
        <v>-2.975366404191938E-2</v>
      </c>
      <c r="O18">
        <v>-9.0984521264849197E-2</v>
      </c>
      <c r="P18">
        <v>-3.2954021784634448E-2</v>
      </c>
      <c r="Q18">
        <v>-1.5083851319866842E-2</v>
      </c>
      <c r="R18">
        <v>-6.226040170295484E-2</v>
      </c>
      <c r="S18">
        <v>-1.930573726107325E-2</v>
      </c>
      <c r="T18">
        <v>0.54819568465986424</v>
      </c>
      <c r="U18">
        <v>-8.713875272371098E-2</v>
      </c>
      <c r="V18">
        <v>8.5883512273489129E-2</v>
      </c>
      <c r="W18">
        <v>3.021139947237517E-2</v>
      </c>
      <c r="X18">
        <v>-6.838567010026904E-3</v>
      </c>
      <c r="Y18">
        <v>-4.9457901338223302E-2</v>
      </c>
      <c r="Z18">
        <v>-7.9413402676499073E-2</v>
      </c>
      <c r="AA18">
        <v>-3.443265061816151E-2</v>
      </c>
      <c r="AB18">
        <v>-8.2614071808380041E-2</v>
      </c>
      <c r="AC18">
        <v>1.4854189850170538E-2</v>
      </c>
      <c r="AD18">
        <v>2.9197496520754655E-2</v>
      </c>
      <c r="AE18">
        <v>1.2115196522316515E-2</v>
      </c>
      <c r="AF18">
        <v>-6.1756344130163648E-2</v>
      </c>
      <c r="AG18">
        <v>-8.3630063988904477E-2</v>
      </c>
      <c r="AH18">
        <v>7.116838566830902E-2</v>
      </c>
      <c r="AI18">
        <v>-6.9798186409554513E-2</v>
      </c>
      <c r="AJ18">
        <v>-7.6633410969279322E-2</v>
      </c>
      <c r="AK18">
        <v>-5.0769874660462205E-3</v>
      </c>
      <c r="AL18">
        <v>-6.8940021577754473E-2</v>
      </c>
      <c r="AM18">
        <v>4.5416263843581099E-2</v>
      </c>
      <c r="AN18">
        <v>-4.8656191104385293E-2</v>
      </c>
      <c r="AO18">
        <v>6.9258413421139475E-2</v>
      </c>
      <c r="AP18">
        <v>-0.10065848740355471</v>
      </c>
      <c r="AQ18">
        <v>-3.8720550566092693E-2</v>
      </c>
      <c r="AR18">
        <v>2.1249208331809324E-3</v>
      </c>
      <c r="AS18">
        <v>1.7785571440155044E-2</v>
      </c>
      <c r="AT18">
        <v>2.229043932419935E-2</v>
      </c>
      <c r="AU18">
        <v>8.3294455453378352E-3</v>
      </c>
      <c r="AV18">
        <v>9.4149617126493446E-2</v>
      </c>
      <c r="AW18">
        <v>-8.5533600538627241E-2</v>
      </c>
    </row>
    <row r="19" spans="1:49" x14ac:dyDescent="0.25">
      <c r="A19">
        <v>-0.24494801712248668</v>
      </c>
      <c r="B19">
        <v>5.736013638447135E-2</v>
      </c>
      <c r="C19">
        <v>-0.19450433609634543</v>
      </c>
      <c r="D19">
        <v>-8.5939531006839362E-2</v>
      </c>
      <c r="E19">
        <v>-8.2233679486142727E-2</v>
      </c>
      <c r="F19">
        <v>-0.2521340709173065</v>
      </c>
      <c r="G19">
        <v>-0.25155791270139072</v>
      </c>
      <c r="H19">
        <v>-0.24553900525359845</v>
      </c>
      <c r="I19">
        <v>1.7524250184301347E-2</v>
      </c>
      <c r="J19">
        <v>-8.362593439593817E-2</v>
      </c>
      <c r="K19">
        <v>0.39443724908972805</v>
      </c>
      <c r="L19">
        <v>-2.8687228355026587E-2</v>
      </c>
      <c r="M19">
        <v>-0.25364881790059968</v>
      </c>
      <c r="N19">
        <v>9.9432857048857917E-2</v>
      </c>
      <c r="O19">
        <v>0.73243965259781929</v>
      </c>
      <c r="P19">
        <v>-0.24550298378436719</v>
      </c>
      <c r="Q19">
        <v>-2.6897950132258527E-2</v>
      </c>
      <c r="R19">
        <v>0.35219319067384597</v>
      </c>
      <c r="S19">
        <v>-5.2189406902762379E-2</v>
      </c>
      <c r="T19">
        <v>0.54185932772687229</v>
      </c>
      <c r="U19">
        <v>-0.24826312684522261</v>
      </c>
      <c r="V19">
        <v>-9.4044876186965526E-2</v>
      </c>
      <c r="W19">
        <v>-0.24511578962925473</v>
      </c>
      <c r="X19">
        <v>-2.7459960294216223E-2</v>
      </c>
      <c r="Y19">
        <v>0.38558617079976387</v>
      </c>
      <c r="Z19">
        <v>-0.11428755125026326</v>
      </c>
      <c r="AA19">
        <v>5.7196356170202849E-2</v>
      </c>
      <c r="AB19">
        <v>-0.25139760732452926</v>
      </c>
      <c r="AC19">
        <v>-0.24496752116316711</v>
      </c>
      <c r="AD19">
        <v>-0.18936235503504376</v>
      </c>
      <c r="AE19">
        <v>-0.11798590199783142</v>
      </c>
      <c r="AF19">
        <v>8.9519749691701594E-2</v>
      </c>
      <c r="AG19">
        <v>0.44244696703683889</v>
      </c>
      <c r="AH19">
        <v>-3.6556430314625458E-2</v>
      </c>
      <c r="AI19">
        <v>-0.2451483592280779</v>
      </c>
      <c r="AJ19">
        <v>-0.24495489326974282</v>
      </c>
      <c r="AK19">
        <v>-0.16978649932799292</v>
      </c>
      <c r="AL19">
        <v>-5.9534180670798839E-2</v>
      </c>
      <c r="AM19">
        <v>2.1049051335051E-2</v>
      </c>
      <c r="AN19">
        <v>0.41602924214025588</v>
      </c>
      <c r="AO19">
        <v>0.35189723013210056</v>
      </c>
      <c r="AP19">
        <v>-0.14514347814852371</v>
      </c>
      <c r="AQ19">
        <v>2.53009699163106E-2</v>
      </c>
      <c r="AR19">
        <v>-8.2235278798836173E-2</v>
      </c>
      <c r="AS19">
        <v>7.019424280943902E-2</v>
      </c>
      <c r="AT19">
        <v>-8.477791423252358E-2</v>
      </c>
      <c r="AU19">
        <v>-5.8621979342062203E-2</v>
      </c>
      <c r="AV19">
        <v>4.5110494478612919E-3</v>
      </c>
      <c r="AW19">
        <v>0.39986902015120757</v>
      </c>
    </row>
    <row r="20" spans="1:49" x14ac:dyDescent="0.25">
      <c r="A20">
        <v>0.68278326823251945</v>
      </c>
      <c r="B20">
        <v>-5.641242758816311E-2</v>
      </c>
      <c r="C20">
        <v>0.23051117181147238</v>
      </c>
      <c r="D20">
        <v>5.7184233597162341E-2</v>
      </c>
      <c r="E20">
        <v>-5.3933804752844698E-2</v>
      </c>
      <c r="F20">
        <v>2.9324929409595194E-2</v>
      </c>
      <c r="G20">
        <v>0.15987689498722926</v>
      </c>
      <c r="H20">
        <v>0.36782097107234091</v>
      </c>
      <c r="I20">
        <v>-1.5016464530076282E-2</v>
      </c>
      <c r="J20">
        <v>-9.8536164783853561E-2</v>
      </c>
      <c r="K20">
        <v>-0.1994483739419789</v>
      </c>
      <c r="L20">
        <v>-9.2395513459296919E-2</v>
      </c>
      <c r="M20">
        <v>4.6774742963642611E-2</v>
      </c>
      <c r="N20">
        <v>5.9397132137917849E-2</v>
      </c>
      <c r="O20">
        <v>-0.45788418660227098</v>
      </c>
      <c r="P20">
        <v>0.39691897162986889</v>
      </c>
      <c r="Q20">
        <v>-2.1790643197535258E-3</v>
      </c>
      <c r="R20">
        <v>-0.29964337788570944</v>
      </c>
      <c r="S20">
        <v>-8.1024474360408466E-2</v>
      </c>
      <c r="T20">
        <v>-0.30799428451237842</v>
      </c>
      <c r="U20">
        <v>0.29266310594589473</v>
      </c>
      <c r="V20">
        <v>-5.9918332108560277E-2</v>
      </c>
      <c r="W20">
        <v>0.43515345088322688</v>
      </c>
      <c r="X20">
        <v>-1.9963480978934262E-2</v>
      </c>
      <c r="Y20">
        <v>-0.22839186680308055</v>
      </c>
      <c r="Z20">
        <v>0.17508533845541843</v>
      </c>
      <c r="AA20">
        <v>7.374759216782498E-3</v>
      </c>
      <c r="AB20">
        <v>0.39892762173174701</v>
      </c>
      <c r="AC20">
        <v>0.39216444472770712</v>
      </c>
      <c r="AD20">
        <v>0.17916528059214976</v>
      </c>
      <c r="AE20">
        <v>0.12858581063433894</v>
      </c>
      <c r="AF20">
        <v>-1.5967995865971659E-3</v>
      </c>
      <c r="AG20">
        <v>-0.21504389246927055</v>
      </c>
      <c r="AH20">
        <v>9.7367300213122579E-2</v>
      </c>
      <c r="AI20">
        <v>0.27370004155590771</v>
      </c>
      <c r="AJ20">
        <v>0.18293498663612792</v>
      </c>
      <c r="AK20">
        <v>0.29882198433685736</v>
      </c>
      <c r="AL20">
        <v>5.0084239508086381E-2</v>
      </c>
      <c r="AM20">
        <v>-2.2017104235562648E-2</v>
      </c>
      <c r="AN20">
        <v>-0.27912313143172268</v>
      </c>
      <c r="AO20">
        <v>-0.22530204042546156</v>
      </c>
      <c r="AP20">
        <v>0.28769230360962639</v>
      </c>
      <c r="AQ20">
        <v>-7.9737141019491711E-2</v>
      </c>
      <c r="AR20">
        <v>0.14423022933080193</v>
      </c>
      <c r="AS20">
        <v>-6.8031631047468871E-2</v>
      </c>
      <c r="AT20">
        <v>-1.1122069153961345E-2</v>
      </c>
      <c r="AU20">
        <v>1.4162039533150003E-2</v>
      </c>
      <c r="AV20">
        <v>-2.0368187060292583E-2</v>
      </c>
      <c r="AW20">
        <v>-0.18737034468092958</v>
      </c>
    </row>
    <row r="21" spans="1:49" x14ac:dyDescent="0.25">
      <c r="A21">
        <v>0.65128209007635507</v>
      </c>
      <c r="B21">
        <v>-0.31527278511352114</v>
      </c>
      <c r="C21">
        <v>-0.31601073206424285</v>
      </c>
      <c r="D21">
        <v>-0.31556302804740116</v>
      </c>
      <c r="E21">
        <v>3.6222446645068416E-3</v>
      </c>
      <c r="F21">
        <v>0.16756882499892531</v>
      </c>
      <c r="G21">
        <v>1.792223118239001E-2</v>
      </c>
      <c r="H21">
        <v>0.51023071378588303</v>
      </c>
      <c r="I21">
        <v>8.1706193614093814E-2</v>
      </c>
      <c r="J21">
        <v>-8.3562112025335963E-2</v>
      </c>
      <c r="K21">
        <v>-0.31537624345413345</v>
      </c>
      <c r="L21">
        <v>-4.6165357845100299E-2</v>
      </c>
      <c r="M21">
        <v>7.2088879086535454E-2</v>
      </c>
      <c r="N21">
        <v>-1.8312576880805825E-2</v>
      </c>
      <c r="O21">
        <v>-0.31805726707324328</v>
      </c>
      <c r="P21">
        <v>0.45001012376064797</v>
      </c>
      <c r="Q21">
        <v>9.6580105460549528E-3</v>
      </c>
      <c r="R21">
        <v>-0.31548744567754394</v>
      </c>
      <c r="S21">
        <v>5.8704153654701725E-2</v>
      </c>
      <c r="T21">
        <v>-7.9061206896949662E-2</v>
      </c>
      <c r="U21">
        <v>0.31553438286755581</v>
      </c>
      <c r="V21">
        <v>6.317939032328547E-2</v>
      </c>
      <c r="W21">
        <v>0.50698622387933401</v>
      </c>
      <c r="X21">
        <v>-5.8912925058311263E-2</v>
      </c>
      <c r="Y21">
        <v>-0.18077150275447978</v>
      </c>
      <c r="Z21">
        <v>-0.2613087486613575</v>
      </c>
      <c r="AA21">
        <v>-3.4722067005907457E-2</v>
      </c>
      <c r="AB21">
        <v>9.3871608543283205E-2</v>
      </c>
      <c r="AC21">
        <v>0.33681562223767275</v>
      </c>
      <c r="AD21">
        <v>-1.9487577852496447E-2</v>
      </c>
      <c r="AE21">
        <v>0.20663503388455204</v>
      </c>
      <c r="AF21">
        <v>-6.6129139872952492E-2</v>
      </c>
      <c r="AG21">
        <v>-0.29219332163309597</v>
      </c>
      <c r="AH21">
        <v>-7.0435126839873213E-2</v>
      </c>
      <c r="AI21">
        <v>0.34926809753762084</v>
      </c>
      <c r="AJ21">
        <v>0.31686467083455361</v>
      </c>
      <c r="AK21">
        <v>2.7589368636617814E-2</v>
      </c>
      <c r="AL21">
        <v>1.9556734824868104E-2</v>
      </c>
      <c r="AM21">
        <v>-3.7521051257472647E-2</v>
      </c>
      <c r="AN21">
        <v>-0.26229340473094548</v>
      </c>
      <c r="AO21">
        <v>-0.27218461447635267</v>
      </c>
      <c r="AP21">
        <v>-0.23149231059157138</v>
      </c>
      <c r="AQ21">
        <v>-3.4886800973801466E-2</v>
      </c>
      <c r="AR21">
        <v>-0.31728280277852583</v>
      </c>
      <c r="AS21">
        <v>-0.11527531531221033</v>
      </c>
      <c r="AT21">
        <v>-3.1198880066531025E-2</v>
      </c>
      <c r="AU21">
        <v>-9.5161273952278802E-2</v>
      </c>
      <c r="AV21">
        <v>-5.5101212246812872E-2</v>
      </c>
      <c r="AW21">
        <v>-0.12916307977966651</v>
      </c>
    </row>
    <row r="22" spans="1:49" x14ac:dyDescent="0.25">
      <c r="A22">
        <v>0.58160285343924445</v>
      </c>
      <c r="B22">
        <v>-0.36318176519708606</v>
      </c>
      <c r="C22">
        <v>-0.36158754964649265</v>
      </c>
      <c r="D22">
        <v>-0.36122790857503068</v>
      </c>
      <c r="E22">
        <v>-8.6544146060962321E-2</v>
      </c>
      <c r="F22">
        <v>0.22872317247824903</v>
      </c>
      <c r="G22">
        <v>-6.0363659497239897E-3</v>
      </c>
      <c r="H22">
        <v>0.61951771241503395</v>
      </c>
      <c r="I22">
        <v>-8.1157008136040154E-2</v>
      </c>
      <c r="J22">
        <v>-3.8566594149460752E-2</v>
      </c>
      <c r="K22">
        <v>-0.36298587961717782</v>
      </c>
      <c r="L22">
        <v>-7.5008999175929167E-2</v>
      </c>
      <c r="M22">
        <v>0.36887697105223105</v>
      </c>
      <c r="N22">
        <v>-4.0509636117553274E-2</v>
      </c>
      <c r="O22">
        <v>0.66609608303599199</v>
      </c>
      <c r="P22">
        <v>0.361213010011038</v>
      </c>
      <c r="Q22">
        <v>2.2690610874766735E-2</v>
      </c>
      <c r="R22">
        <v>-0.36257774766620515</v>
      </c>
      <c r="S22">
        <v>-8.3988481586828881E-2</v>
      </c>
      <c r="T22">
        <v>0.51081612709061464</v>
      </c>
      <c r="U22">
        <v>0.10990222646295859</v>
      </c>
      <c r="V22">
        <v>8.8522049493751712E-2</v>
      </c>
      <c r="W22">
        <v>0.42839933121984036</v>
      </c>
      <c r="X22">
        <v>-4.1293880590730553E-2</v>
      </c>
      <c r="Y22">
        <v>-0.27558123557808623</v>
      </c>
      <c r="Z22">
        <v>-0.29989020158402219</v>
      </c>
      <c r="AA22">
        <v>7.1067317525579904E-2</v>
      </c>
      <c r="AB22">
        <v>0.12495085336378213</v>
      </c>
      <c r="AC22">
        <v>0.29505171806880459</v>
      </c>
      <c r="AD22">
        <v>-2.2081681897438452E-2</v>
      </c>
      <c r="AE22">
        <v>0.18678376301230667</v>
      </c>
      <c r="AF22">
        <v>4.4561706385130934E-2</v>
      </c>
      <c r="AG22">
        <v>-0.35947189484114972</v>
      </c>
      <c r="AH22">
        <v>-1.9805129248100475E-2</v>
      </c>
      <c r="AI22">
        <v>0.12598656533602559</v>
      </c>
      <c r="AJ22">
        <v>0.30466409750322476</v>
      </c>
      <c r="AK22">
        <v>-0.19199771540351987</v>
      </c>
      <c r="AL22">
        <v>-0.15483593949210195</v>
      </c>
      <c r="AM22">
        <v>-5.8650037101213741E-2</v>
      </c>
      <c r="AN22">
        <v>-0.34360340732674494</v>
      </c>
      <c r="AO22">
        <v>-0.14748013966922244</v>
      </c>
      <c r="AP22">
        <v>-0.29772862757829055</v>
      </c>
      <c r="AQ22">
        <v>-4.7127859403565224E-2</v>
      </c>
      <c r="AR22">
        <v>-0.36200611410735173</v>
      </c>
      <c r="AS22">
        <v>-0.25366198831736753</v>
      </c>
      <c r="AT22">
        <v>1.2751427725460448E-2</v>
      </c>
      <c r="AU22">
        <v>-2.3560642247598764E-2</v>
      </c>
      <c r="AV22">
        <v>5.6546825066823105E-2</v>
      </c>
      <c r="AW22">
        <v>-0.24950290480046738</v>
      </c>
    </row>
    <row r="23" spans="1:49" x14ac:dyDescent="0.25">
      <c r="A23">
        <v>0.37607550728683636</v>
      </c>
      <c r="B23">
        <v>0.22444795348581825</v>
      </c>
      <c r="C23">
        <v>0.45305477573392022</v>
      </c>
      <c r="D23">
        <v>0.32654790987746363</v>
      </c>
      <c r="E23">
        <v>0.31294412506054364</v>
      </c>
      <c r="F23">
        <v>0.34281247554475941</v>
      </c>
      <c r="G23">
        <v>0.38042745246352794</v>
      </c>
      <c r="H23">
        <v>0.4823762831814985</v>
      </c>
      <c r="I23">
        <v>0.4271983696563223</v>
      </c>
      <c r="J23">
        <v>0.37646531253755761</v>
      </c>
      <c r="K23">
        <v>0.37045853982716326</v>
      </c>
      <c r="L23">
        <v>-4.9378363653344894E-2</v>
      </c>
      <c r="M23">
        <v>0.24326117804192518</v>
      </c>
      <c r="N23">
        <v>0.45593330793549197</v>
      </c>
      <c r="O23">
        <v>0.31419647591424454</v>
      </c>
      <c r="P23">
        <v>0.36075965898854295</v>
      </c>
    </row>
    <row r="24" spans="1:49" x14ac:dyDescent="0.25">
      <c r="A24">
        <v>-0.5818967727526656</v>
      </c>
      <c r="B24">
        <v>0.89670481448814587</v>
      </c>
      <c r="C24">
        <v>-0.44498228612715629</v>
      </c>
      <c r="D24">
        <v>-0.50562040741828707</v>
      </c>
      <c r="E24">
        <v>0.32878678558754154</v>
      </c>
      <c r="F24">
        <v>6.0288718545702176E-2</v>
      </c>
      <c r="G24">
        <v>-0.84476838444156177</v>
      </c>
      <c r="H24">
        <v>-0.71147820645698523</v>
      </c>
      <c r="I24">
        <v>-0.91676561352004793</v>
      </c>
      <c r="J24">
        <v>0.88209463373742125</v>
      </c>
      <c r="K24">
        <v>-0.32614069603341828</v>
      </c>
      <c r="L24">
        <v>0.54506931704833039</v>
      </c>
      <c r="M24">
        <v>0.87784030804950619</v>
      </c>
      <c r="N24">
        <v>-0.96061909551680458</v>
      </c>
      <c r="O24">
        <v>-0.67206491937765722</v>
      </c>
      <c r="P24">
        <v>0.79782966065780225</v>
      </c>
    </row>
    <row r="25" spans="1:49" x14ac:dyDescent="0.25">
      <c r="A25">
        <v>0.40803251680543456</v>
      </c>
      <c r="B25">
        <v>-0.86200255870764964</v>
      </c>
      <c r="C25">
        <v>-0.7412995713202446</v>
      </c>
      <c r="D25">
        <v>0.84237772097425856</v>
      </c>
      <c r="E25">
        <v>-0.79761948577017405</v>
      </c>
      <c r="F25">
        <v>0.31483862604275809</v>
      </c>
      <c r="G25">
        <v>-0.18863701544382372</v>
      </c>
      <c r="H25">
        <v>0.33382618621719162</v>
      </c>
      <c r="I25">
        <v>0.52858586114713757</v>
      </c>
      <c r="J25">
        <v>0.35051802742490001</v>
      </c>
      <c r="K25">
        <v>-1.0735336324266471</v>
      </c>
      <c r="L25">
        <v>-8.8316892228246513E-2</v>
      </c>
      <c r="M25">
        <v>-1.0287077680747794</v>
      </c>
      <c r="N25">
        <v>0.54258824134840411</v>
      </c>
      <c r="O25">
        <v>0.82960190618923668</v>
      </c>
      <c r="P25">
        <v>0.57351329759764591</v>
      </c>
    </row>
    <row r="26" spans="1:49" x14ac:dyDescent="0.25">
      <c r="A26">
        <v>0.25586419582204878</v>
      </c>
      <c r="B26">
        <v>-0.85736611083767766</v>
      </c>
      <c r="C26">
        <v>0.87204114502525976</v>
      </c>
      <c r="D26">
        <v>-0.77230690979099892</v>
      </c>
      <c r="E26">
        <v>0.66957013850286307</v>
      </c>
      <c r="F26">
        <v>-0.96360665030608339</v>
      </c>
      <c r="G26">
        <v>-0.33216596263574344</v>
      </c>
      <c r="H26">
        <v>0.82607414125444689</v>
      </c>
      <c r="I26">
        <v>-0.85669770155229219</v>
      </c>
      <c r="J26">
        <v>-0.74678609376916816</v>
      </c>
      <c r="K26">
        <v>0.9198203264218322</v>
      </c>
      <c r="L26">
        <v>-5.7980958757713814E-2</v>
      </c>
      <c r="M26">
        <v>-0.27373924688779594</v>
      </c>
      <c r="N26">
        <v>0.16957157232330131</v>
      </c>
      <c r="O26">
        <v>-0.46616355089641803</v>
      </c>
      <c r="P26">
        <v>-0.75723933016784628</v>
      </c>
    </row>
    <row r="27" spans="1:49" x14ac:dyDescent="0.25">
      <c r="A27">
        <v>-0.95759329887897193</v>
      </c>
      <c r="B27">
        <v>0.69429229064518483</v>
      </c>
      <c r="C27">
        <v>-0.93870991069134269</v>
      </c>
      <c r="D27">
        <v>-0.635185713655669</v>
      </c>
      <c r="E27">
        <v>-0.84554094736693275</v>
      </c>
      <c r="F27">
        <v>0.58164082393656147</v>
      </c>
      <c r="G27">
        <v>0.94889336432034865</v>
      </c>
      <c r="H27">
        <v>-0.84156968381599428</v>
      </c>
      <c r="I27">
        <v>0.98705548410761823</v>
      </c>
      <c r="J27">
        <v>-0.88016879629434885</v>
      </c>
      <c r="K27">
        <v>0.54815217363903401</v>
      </c>
      <c r="L27">
        <v>-0.15578435052940803</v>
      </c>
      <c r="M27">
        <v>0.46972041923752056</v>
      </c>
      <c r="N27">
        <v>-0.39033784842246438</v>
      </c>
      <c r="O27">
        <v>-0.52062656081173098</v>
      </c>
      <c r="P27">
        <v>-0.78768265865961262</v>
      </c>
    </row>
    <row r="28" spans="1:49" x14ac:dyDescent="0.25">
      <c r="A28">
        <v>-0.28110839158099332</v>
      </c>
      <c r="B28">
        <v>0.10086781926320387</v>
      </c>
      <c r="C28">
        <v>0.27349277518175669</v>
      </c>
      <c r="D28">
        <v>-0.10587928787724099</v>
      </c>
    </row>
    <row r="29" spans="1:49" x14ac:dyDescent="0.25">
      <c r="A29" t="s">
        <v>7</v>
      </c>
    </row>
    <row r="30" spans="1:49" x14ac:dyDescent="0.25">
      <c r="A30">
        <v>49</v>
      </c>
    </row>
    <row r="31" spans="1:49" x14ac:dyDescent="0.25">
      <c r="A31">
        <v>1</v>
      </c>
    </row>
    <row r="32" spans="1:49" x14ac:dyDescent="0.25">
      <c r="A32">
        <v>1</v>
      </c>
    </row>
    <row r="33" spans="1:49" x14ac:dyDescent="0.25">
      <c r="A33" t="s">
        <v>6</v>
      </c>
    </row>
    <row r="34" spans="1:49" x14ac:dyDescent="0.25">
      <c r="A34">
        <v>16</v>
      </c>
    </row>
    <row r="35" spans="1:49" x14ac:dyDescent="0.25">
      <c r="A35">
        <v>4.058281223290322E-2</v>
      </c>
      <c r="B35">
        <v>0.24409586954959708</v>
      </c>
      <c r="C35">
        <v>0.13610302006874339</v>
      </c>
      <c r="D35">
        <v>8.888889550494905E-2</v>
      </c>
      <c r="E35">
        <v>-9.2885633139651744E-2</v>
      </c>
      <c r="F35">
        <v>0.27717648072851342</v>
      </c>
      <c r="G35">
        <v>0.18233947735242403</v>
      </c>
      <c r="H35">
        <v>9.004136684694658E-2</v>
      </c>
      <c r="I35">
        <v>-8.9346598396062127E-2</v>
      </c>
      <c r="J35">
        <v>1.0960047116123644E-2</v>
      </c>
      <c r="K35">
        <v>0.14661248572620242</v>
      </c>
      <c r="L35">
        <v>-8.9164849143326425E-2</v>
      </c>
      <c r="M35">
        <v>0.22366917883740675</v>
      </c>
      <c r="N35">
        <v>-6.4332190923755445E-2</v>
      </c>
      <c r="O35">
        <v>5.0338168854488552E-2</v>
      </c>
      <c r="P35">
        <v>-0.17356364380592129</v>
      </c>
      <c r="Q35">
        <v>-4.406797411776088E-2</v>
      </c>
      <c r="R35">
        <v>0.25038531681845949</v>
      </c>
      <c r="S35">
        <v>5.1263332263367578E-3</v>
      </c>
      <c r="T35">
        <v>0.15581201953961463</v>
      </c>
      <c r="U35">
        <v>0.36256079994570378</v>
      </c>
      <c r="V35">
        <v>-6.1634708325361207E-3</v>
      </c>
      <c r="W35">
        <v>-0.17394899555152121</v>
      </c>
      <c r="X35">
        <v>-5.5944510475732276E-2</v>
      </c>
      <c r="Y35">
        <v>0.21104620907956839</v>
      </c>
      <c r="Z35">
        <v>8.0486628734166052E-2</v>
      </c>
      <c r="AA35">
        <v>-6.734572671815453E-2</v>
      </c>
      <c r="AB35">
        <v>0.21208862098817835</v>
      </c>
      <c r="AC35">
        <v>-0.19918154982809549</v>
      </c>
      <c r="AD35">
        <v>-0.17346165203445585</v>
      </c>
      <c r="AE35">
        <v>-1.9482565072732622E-2</v>
      </c>
      <c r="AF35">
        <v>2.9112646601938835E-2</v>
      </c>
      <c r="AG35">
        <v>2.3415235375276917E-2</v>
      </c>
      <c r="AH35">
        <v>6.1532315567393171E-2</v>
      </c>
      <c r="AI35">
        <v>0.15959914644341311</v>
      </c>
      <c r="AJ35">
        <v>-0.18252956648694393</v>
      </c>
      <c r="AK35">
        <v>-0.1770917420503505</v>
      </c>
      <c r="AL35">
        <v>-0.15357315815211617</v>
      </c>
      <c r="AM35">
        <v>-9.1715636624989331E-3</v>
      </c>
      <c r="AN35">
        <v>0.12394228551763535</v>
      </c>
      <c r="AO35">
        <v>0.16596090130081859</v>
      </c>
      <c r="AP35">
        <v>0.20252482153438139</v>
      </c>
      <c r="AQ35">
        <v>7.5092510145764332E-2</v>
      </c>
      <c r="AR35">
        <v>-0.17789426596027996</v>
      </c>
      <c r="AS35">
        <v>-0.10702773430929173</v>
      </c>
      <c r="AT35">
        <v>0.34506231310464813</v>
      </c>
      <c r="AU35">
        <v>1.1912939193128089E-2</v>
      </c>
      <c r="AV35">
        <v>-2.5705230445270375E-2</v>
      </c>
      <c r="AW35">
        <v>0.24518258671783227</v>
      </c>
    </row>
    <row r="36" spans="1:49" x14ac:dyDescent="0.25">
      <c r="A36">
        <v>0.11964679266788843</v>
      </c>
      <c r="B36">
        <v>0.17483066016453563</v>
      </c>
      <c r="C36">
        <v>0.1632229023510462</v>
      </c>
      <c r="D36">
        <v>0.17256470139914454</v>
      </c>
      <c r="E36">
        <v>9.927945456223497E-2</v>
      </c>
      <c r="F36">
        <v>0.24244185581791969</v>
      </c>
      <c r="G36">
        <v>0.15596143810370117</v>
      </c>
      <c r="H36">
        <v>0.14338744938651021</v>
      </c>
      <c r="I36">
        <v>1.2109223087621681E-2</v>
      </c>
      <c r="J36">
        <v>-4.705942496354025E-2</v>
      </c>
      <c r="K36">
        <v>0.11310731580501665</v>
      </c>
      <c r="L36">
        <v>6.010553636768895E-2</v>
      </c>
      <c r="M36">
        <v>0.16343835683803129</v>
      </c>
      <c r="N36">
        <v>-5.2001588503841116E-2</v>
      </c>
      <c r="O36">
        <v>-2.3605845080438833E-2</v>
      </c>
      <c r="P36">
        <v>-7.5735643110665357E-2</v>
      </c>
      <c r="Q36">
        <v>3.2467740456670197E-2</v>
      </c>
      <c r="R36">
        <v>8.7693028778540821E-2</v>
      </c>
      <c r="S36">
        <v>-5.6514685084344367E-2</v>
      </c>
      <c r="T36">
        <v>0.2359506870024542</v>
      </c>
      <c r="U36">
        <v>0.22480680264330444</v>
      </c>
      <c r="V36">
        <v>-8.3604596048634947E-2</v>
      </c>
      <c r="W36">
        <v>-0.21517683237981652</v>
      </c>
      <c r="X36">
        <v>3.4540703095786725E-2</v>
      </c>
      <c r="Y36">
        <v>0.17266673559792053</v>
      </c>
      <c r="Z36">
        <v>0.25733777145051318</v>
      </c>
      <c r="AA36">
        <v>-1.932054886783565E-2</v>
      </c>
      <c r="AB36">
        <v>0.30138265703443917</v>
      </c>
      <c r="AC36">
        <v>-0.2200913832866061</v>
      </c>
      <c r="AD36">
        <v>-0.21203982947480715</v>
      </c>
      <c r="AE36">
        <v>-8.1817743078578087E-2</v>
      </c>
      <c r="AF36">
        <v>1.0102756133498625E-2</v>
      </c>
      <c r="AG36">
        <v>4.3137977585802019E-2</v>
      </c>
      <c r="AH36">
        <v>-9.1948082515505264E-2</v>
      </c>
      <c r="AI36">
        <v>7.4516426964632843E-2</v>
      </c>
      <c r="AJ36">
        <v>-0.22778857065545927</v>
      </c>
      <c r="AK36">
        <v>-0.21571099454069315</v>
      </c>
      <c r="AL36">
        <v>-0.13839664784927738</v>
      </c>
      <c r="AM36">
        <v>9.6920411157383219E-3</v>
      </c>
      <c r="AN36">
        <v>0.11618962404054864</v>
      </c>
      <c r="AO36">
        <v>0.20545084161040972</v>
      </c>
      <c r="AP36">
        <v>0.2376166513859454</v>
      </c>
      <c r="AQ36">
        <v>-2.7306196548891763E-2</v>
      </c>
      <c r="AR36">
        <v>-0.2203816207566591</v>
      </c>
      <c r="AS36">
        <v>-3.1090375157563296E-2</v>
      </c>
      <c r="AT36">
        <v>0.37819271027116286</v>
      </c>
      <c r="AU36">
        <v>7.0415197401505911E-2</v>
      </c>
      <c r="AV36">
        <v>-3.8714565713604147E-2</v>
      </c>
      <c r="AW36">
        <v>0.39675376247167776</v>
      </c>
    </row>
    <row r="37" spans="1:49" x14ac:dyDescent="0.25">
      <c r="A37">
        <v>0.18630184016414564</v>
      </c>
      <c r="B37">
        <v>9.935838807110503E-2</v>
      </c>
      <c r="C37">
        <v>0.11572167456443483</v>
      </c>
      <c r="D37">
        <v>0.12765915986071572</v>
      </c>
      <c r="E37">
        <v>9.3766285518308512E-2</v>
      </c>
      <c r="F37">
        <v>0.23611309561567942</v>
      </c>
      <c r="G37">
        <v>0.15833528686459958</v>
      </c>
      <c r="H37">
        <v>-1.6837518538623707E-2</v>
      </c>
      <c r="I37">
        <v>3.7571820146993201E-2</v>
      </c>
      <c r="J37">
        <v>4.0233995728292025E-2</v>
      </c>
      <c r="K37">
        <v>9.1328272723607579E-2</v>
      </c>
      <c r="L37">
        <v>2.918990779623766E-2</v>
      </c>
      <c r="M37">
        <v>0.24146915932556773</v>
      </c>
      <c r="N37">
        <v>9.8924614223643403E-2</v>
      </c>
      <c r="O37">
        <v>-2.3640053804977801E-2</v>
      </c>
      <c r="P37">
        <v>-0.11923705598042986</v>
      </c>
      <c r="Q37">
        <v>-7.1698147470177526E-2</v>
      </c>
      <c r="R37">
        <v>0.11499675801848804</v>
      </c>
      <c r="S37">
        <v>2.6848144599275366E-2</v>
      </c>
      <c r="T37">
        <v>0.26994363064949561</v>
      </c>
      <c r="U37">
        <v>0.33526408768336136</v>
      </c>
      <c r="V37">
        <v>4.7916523274857792E-2</v>
      </c>
      <c r="W37">
        <v>-0.12292534343064744</v>
      </c>
      <c r="X37">
        <v>8.2055783659556611E-2</v>
      </c>
      <c r="Y37">
        <v>0.29197075861518318</v>
      </c>
      <c r="Z37">
        <v>0.24166379697590179</v>
      </c>
      <c r="AA37">
        <v>-0.10003275120664853</v>
      </c>
      <c r="AB37">
        <v>0.13471460058349047</v>
      </c>
      <c r="AC37">
        <v>-0.13736443864156558</v>
      </c>
      <c r="AD37">
        <v>-0.12582045749684626</v>
      </c>
      <c r="AE37">
        <v>-7.1503849886059859E-2</v>
      </c>
      <c r="AF37">
        <v>-7.0244237741989013E-2</v>
      </c>
      <c r="AG37">
        <v>0.169342737917765</v>
      </c>
      <c r="AH37">
        <v>-1.5777961747014398E-2</v>
      </c>
      <c r="AI37">
        <v>0.13120350945170034</v>
      </c>
      <c r="AJ37">
        <v>-0.13666235062673782</v>
      </c>
      <c r="AK37">
        <v>-0.1262980923607013</v>
      </c>
      <c r="AL37">
        <v>-0.11514509227864075</v>
      </c>
      <c r="AM37">
        <v>8.4323392487053159E-2</v>
      </c>
      <c r="AN37">
        <v>0.15191050234224146</v>
      </c>
      <c r="AO37">
        <v>-0.13400559408366602</v>
      </c>
      <c r="AP37">
        <v>-8.9079491902993406E-3</v>
      </c>
      <c r="AQ37">
        <v>2.5675450686308252E-2</v>
      </c>
      <c r="AR37">
        <v>-0.12958733470819531</v>
      </c>
      <c r="AS37">
        <v>-0.10681023165962104</v>
      </c>
      <c r="AT37">
        <v>0.2420329987195961</v>
      </c>
      <c r="AU37">
        <v>3.178741806996406E-2</v>
      </c>
      <c r="AV37">
        <v>3.8981861026860234E-3</v>
      </c>
      <c r="AW37">
        <v>0.36049163297321485</v>
      </c>
    </row>
    <row r="38" spans="1:49" x14ac:dyDescent="0.25">
      <c r="A38">
        <v>0.13628712766197795</v>
      </c>
      <c r="B38">
        <v>7.0522734251252717E-2</v>
      </c>
      <c r="C38">
        <v>7.8237759603765181E-2</v>
      </c>
      <c r="D38">
        <v>1.2058736113924828E-2</v>
      </c>
      <c r="E38">
        <v>-3.9254250087807786E-2</v>
      </c>
      <c r="F38">
        <v>-0.40654598543856751</v>
      </c>
      <c r="G38">
        <v>-0.35419526187590783</v>
      </c>
      <c r="H38">
        <v>0.18589310991242283</v>
      </c>
      <c r="I38">
        <v>-3.0165125660996162E-2</v>
      </c>
      <c r="J38">
        <v>-9.6963750159609133E-2</v>
      </c>
      <c r="K38">
        <v>-0.11750475964894823</v>
      </c>
      <c r="L38">
        <v>1.5915456808813649E-2</v>
      </c>
      <c r="M38">
        <v>-0.42881607171755876</v>
      </c>
      <c r="N38">
        <v>-3.7660822249091487E-2</v>
      </c>
      <c r="O38">
        <v>0.2923067395652697</v>
      </c>
      <c r="P38">
        <v>0.31627274068782879</v>
      </c>
      <c r="Q38">
        <v>3.5062083695779917E-3</v>
      </c>
      <c r="R38">
        <v>-7.3659913345820782E-2</v>
      </c>
      <c r="S38">
        <v>6.4499513912343695E-2</v>
      </c>
      <c r="T38">
        <v>-0.22659149780445312</v>
      </c>
      <c r="U38">
        <v>-0.24082300326896694</v>
      </c>
      <c r="V38">
        <v>5.605729544234743E-2</v>
      </c>
      <c r="W38">
        <v>0.47715417134076082</v>
      </c>
      <c r="X38">
        <v>-3.5018022176150958E-2</v>
      </c>
      <c r="Y38">
        <v>-6.4317357481773446E-2</v>
      </c>
      <c r="Z38">
        <v>-0.11794106336061136</v>
      </c>
      <c r="AA38">
        <v>-9.9090853436127071E-4</v>
      </c>
      <c r="AB38">
        <v>-0.24352452234144958</v>
      </c>
      <c r="AC38">
        <v>0.55425571024552867</v>
      </c>
      <c r="AD38">
        <v>0.64378292111632562</v>
      </c>
      <c r="AE38">
        <v>0.21601398119100959</v>
      </c>
      <c r="AF38">
        <v>3.2090646582064869E-2</v>
      </c>
      <c r="AG38">
        <v>-0.15481478254687681</v>
      </c>
      <c r="AH38">
        <v>-7.3891842767342689E-2</v>
      </c>
      <c r="AI38">
        <v>-0.30833903125819739</v>
      </c>
      <c r="AJ38">
        <v>0.69996010053859592</v>
      </c>
      <c r="AK38">
        <v>0.67970108726677425</v>
      </c>
      <c r="AL38">
        <v>0.31036352238594589</v>
      </c>
      <c r="AM38">
        <v>-7.4367752938770994E-3</v>
      </c>
      <c r="AN38">
        <v>-0.18750445179864317</v>
      </c>
      <c r="AO38">
        <v>-0.208313303748314</v>
      </c>
      <c r="AP38">
        <v>-0.3520640486694922</v>
      </c>
      <c r="AQ38">
        <v>2.4135164002585835E-2</v>
      </c>
      <c r="AR38">
        <v>0.75158414002483931</v>
      </c>
      <c r="AS38">
        <v>0.16376294348508516</v>
      </c>
      <c r="AT38">
        <v>-0.29575500976205299</v>
      </c>
      <c r="AU38">
        <v>-2.8164258216746695E-2</v>
      </c>
      <c r="AV38">
        <v>-5.425904596182491E-2</v>
      </c>
      <c r="AW38">
        <v>-0.16164168121172404</v>
      </c>
    </row>
    <row r="39" spans="1:49" x14ac:dyDescent="0.25">
      <c r="A39">
        <v>-7.7611374400169394E-2</v>
      </c>
      <c r="B39">
        <v>-4.0818440055614233E-2</v>
      </c>
      <c r="C39">
        <v>1.9877568359483393E-2</v>
      </c>
      <c r="D39">
        <v>-4.5359871360273522E-2</v>
      </c>
      <c r="E39">
        <v>8.1881211413024485E-2</v>
      </c>
      <c r="F39">
        <v>1.5110413639551698E-2</v>
      </c>
      <c r="G39">
        <v>-1.6116479546582348E-2</v>
      </c>
      <c r="H39">
        <v>-2.0877272822477314E-2</v>
      </c>
      <c r="I39">
        <v>2.1306941880110803E-2</v>
      </c>
      <c r="J39">
        <v>6.1062004905838463E-2</v>
      </c>
      <c r="K39">
        <v>4.286406758391232E-2</v>
      </c>
      <c r="L39">
        <v>6.6796119771615745E-2</v>
      </c>
      <c r="M39">
        <v>-1.7426418744082101E-2</v>
      </c>
      <c r="N39">
        <v>9.8920230951398264E-2</v>
      </c>
      <c r="O39">
        <v>-8.685451545339655E-2</v>
      </c>
      <c r="P39">
        <v>-9.0354835306139733E-2</v>
      </c>
      <c r="Q39">
        <v>7.4764077818254004E-2</v>
      </c>
      <c r="R39">
        <v>3.2583813435832019E-2</v>
      </c>
      <c r="S39">
        <v>5.1243463034783873E-2</v>
      </c>
      <c r="T39">
        <v>1.3559285683200735E-2</v>
      </c>
      <c r="U39">
        <v>-2.8204815526970892E-2</v>
      </c>
      <c r="V39">
        <v>-5.9365702630885434E-2</v>
      </c>
      <c r="W39">
        <v>-5.8180304453581466E-2</v>
      </c>
      <c r="X39">
        <v>5.1005501928091369E-2</v>
      </c>
      <c r="Y39">
        <v>2.0972364661336864E-2</v>
      </c>
      <c r="Z39">
        <v>2.4693793586219863E-2</v>
      </c>
      <c r="AA39">
        <v>3.9849748931396568E-2</v>
      </c>
      <c r="AB39">
        <v>-6.9809956614932764E-2</v>
      </c>
      <c r="AC39">
        <v>-2.7168147557083508E-2</v>
      </c>
      <c r="AD39">
        <v>3.4692287246945334E-2</v>
      </c>
      <c r="AE39">
        <v>5.9906004291659924E-2</v>
      </c>
      <c r="AF39">
        <v>-8.0860571287527952E-2</v>
      </c>
      <c r="AG39">
        <v>-2.6915314633845014E-2</v>
      </c>
      <c r="AH39">
        <v>-1.8892059921960466E-2</v>
      </c>
      <c r="AI39">
        <v>3.6963557411064359E-3</v>
      </c>
      <c r="AJ39">
        <v>5.1751477062820753E-2</v>
      </c>
      <c r="AK39">
        <v>-5.9113724686573881E-2</v>
      </c>
      <c r="AL39">
        <v>4.1450137021095519E-2</v>
      </c>
      <c r="AM39">
        <v>1.9165857891843951E-2</v>
      </c>
      <c r="AN39">
        <v>2.3826718610695428E-2</v>
      </c>
      <c r="AO39">
        <v>-6.505565964138002E-2</v>
      </c>
      <c r="AP39">
        <v>-4.8792623793875389E-2</v>
      </c>
      <c r="AQ39">
        <v>5.851593787120879E-2</v>
      </c>
      <c r="AR39">
        <v>-8.7730507594803678E-2</v>
      </c>
      <c r="AS39">
        <v>-8.7640542136167995E-2</v>
      </c>
      <c r="AT39">
        <v>-4.7279913191035812E-2</v>
      </c>
      <c r="AU39">
        <v>-0.10084977388601057</v>
      </c>
      <c r="AV39">
        <v>9.7234959108798369E-2</v>
      </c>
      <c r="AW39">
        <v>1.875747183422221E-2</v>
      </c>
    </row>
    <row r="40" spans="1:49" x14ac:dyDescent="0.25">
      <c r="A40">
        <v>9.9494331561347155E-2</v>
      </c>
      <c r="B40">
        <v>0.15934947785543124</v>
      </c>
      <c r="C40">
        <v>0.10575386184441764</v>
      </c>
      <c r="D40">
        <v>0.12947187259344023</v>
      </c>
      <c r="E40">
        <v>-4.2420947529695448E-2</v>
      </c>
      <c r="F40">
        <v>6.3802743758333919E-2</v>
      </c>
      <c r="G40">
        <v>0.18902778373710663</v>
      </c>
      <c r="H40">
        <v>-6.2807976812753472E-3</v>
      </c>
      <c r="I40">
        <v>-1.4202645011201069E-2</v>
      </c>
      <c r="J40">
        <v>-7.1407972439158376E-2</v>
      </c>
      <c r="K40">
        <v>0.19281285306531307</v>
      </c>
      <c r="L40">
        <v>-9.8856288161228878E-2</v>
      </c>
      <c r="M40">
        <v>0.3461628887473836</v>
      </c>
      <c r="N40">
        <v>6.9070460052917323E-2</v>
      </c>
      <c r="O40">
        <v>-3.931228118519927E-2</v>
      </c>
      <c r="P40">
        <v>-0.17330193845281044</v>
      </c>
      <c r="Q40">
        <v>3.3003463027113808E-2</v>
      </c>
      <c r="R40">
        <v>0.26915107088505508</v>
      </c>
      <c r="S40">
        <v>6.9248909809512454E-2</v>
      </c>
      <c r="T40">
        <v>0.35524090284442189</v>
      </c>
      <c r="U40">
        <v>0.21747842874795376</v>
      </c>
      <c r="V40">
        <v>-4.3617881901534684E-2</v>
      </c>
      <c r="W40">
        <v>-0.20529305987124957</v>
      </c>
      <c r="X40">
        <v>9.7886115876334973E-2</v>
      </c>
      <c r="Y40">
        <v>0.16985237736096828</v>
      </c>
      <c r="Z40">
        <v>0.15938912668897925</v>
      </c>
      <c r="AA40">
        <v>-7.4042186596959408E-2</v>
      </c>
      <c r="AB40">
        <v>0.20067511357497483</v>
      </c>
      <c r="AC40">
        <v>-0.21823279292750444</v>
      </c>
      <c r="AD40">
        <v>-0.2148303043535098</v>
      </c>
      <c r="AE40">
        <v>-6.2639164239358017E-2</v>
      </c>
      <c r="AF40">
        <v>-7.1192650211094584E-3</v>
      </c>
      <c r="AG40">
        <v>6.2604886767393009E-2</v>
      </c>
      <c r="AH40">
        <v>4.5248242421503243E-2</v>
      </c>
      <c r="AI40">
        <v>0.22729584769602704</v>
      </c>
      <c r="AJ40">
        <v>-0.21921037030481189</v>
      </c>
      <c r="AK40">
        <v>-0.21321828985628816</v>
      </c>
      <c r="AL40">
        <v>-0.201774380212531</v>
      </c>
      <c r="AM40">
        <v>3.2160694644289972E-2</v>
      </c>
      <c r="AN40">
        <v>0.13785892176025916</v>
      </c>
      <c r="AO40">
        <v>0.18826598674828557</v>
      </c>
      <c r="AP40">
        <v>0.20123332861845714</v>
      </c>
      <c r="AQ40">
        <v>5.2114554099807031E-2</v>
      </c>
      <c r="AR40">
        <v>-0.21729681502126424</v>
      </c>
      <c r="AS40">
        <v>-7.9696937719480582E-2</v>
      </c>
      <c r="AT40">
        <v>0.29638649813738527</v>
      </c>
      <c r="AU40">
        <v>7.2059936017795048E-2</v>
      </c>
      <c r="AV40">
        <v>-1.8296320239237336E-2</v>
      </c>
      <c r="AW40">
        <v>0.3346295311289964</v>
      </c>
    </row>
    <row r="41" spans="1:49" x14ac:dyDescent="0.25">
      <c r="A41">
        <v>0.21581200503219991</v>
      </c>
      <c r="B41">
        <v>7.3149757627508985E-2</v>
      </c>
      <c r="C41">
        <v>7.3471779489600791E-2</v>
      </c>
      <c r="D41">
        <v>1.0809529941680062E-2</v>
      </c>
      <c r="E41">
        <v>6.7583121852881317E-2</v>
      </c>
      <c r="F41">
        <v>-0.3231972017213165</v>
      </c>
      <c r="G41">
        <v>-0.42491079303000134</v>
      </c>
      <c r="H41">
        <v>0.24418970335708448</v>
      </c>
      <c r="I41">
        <v>4.0028860995611149E-2</v>
      </c>
      <c r="J41">
        <v>-4.437828330041152E-2</v>
      </c>
      <c r="K41">
        <v>-2.7485727742098079E-2</v>
      </c>
      <c r="L41">
        <v>-1.3410765937464958E-3</v>
      </c>
      <c r="M41">
        <v>-0.1477169803111735</v>
      </c>
      <c r="N41">
        <v>-6.2014788605232456E-2</v>
      </c>
      <c r="O41">
        <v>0.28593408726443142</v>
      </c>
      <c r="P41">
        <v>0.22162340843655232</v>
      </c>
      <c r="Q41">
        <v>-8.429413053222988E-2</v>
      </c>
      <c r="R41">
        <v>3.0532602663152913E-2</v>
      </c>
      <c r="S41">
        <v>-7.132395570714109E-2</v>
      </c>
      <c r="T41">
        <v>-0.27604920669850985</v>
      </c>
      <c r="U41">
        <v>-0.30729802851463967</v>
      </c>
      <c r="V41">
        <v>-8.8530502947367321E-2</v>
      </c>
      <c r="W41">
        <v>0.37679732089818668</v>
      </c>
      <c r="X41">
        <v>1.1170179260842244E-2</v>
      </c>
      <c r="Y41">
        <v>-0.10780594374316967</v>
      </c>
      <c r="Z41">
        <v>-0.22727645327095</v>
      </c>
      <c r="AA41">
        <v>-4.7899652493496717E-2</v>
      </c>
      <c r="AB41">
        <v>-0.18183556070681064</v>
      </c>
      <c r="AC41">
        <v>0.53011694259449027</v>
      </c>
      <c r="AD41">
        <v>0.29588655291122007</v>
      </c>
      <c r="AE41">
        <v>0.21956303689611253</v>
      </c>
      <c r="AF41">
        <v>3.1654703664981611E-2</v>
      </c>
      <c r="AG41">
        <v>-0.18227527403770805</v>
      </c>
      <c r="AH41">
        <v>-1.7097663867587511E-2</v>
      </c>
      <c r="AI41">
        <v>-0.28716404967994169</v>
      </c>
      <c r="AJ41">
        <v>1.0750950698232276</v>
      </c>
      <c r="AK41">
        <v>0.75957421812495052</v>
      </c>
      <c r="AL41">
        <v>0.29596987237446654</v>
      </c>
      <c r="AM41">
        <v>7.838844186714311E-2</v>
      </c>
      <c r="AN41">
        <v>-0.18270045267683588</v>
      </c>
      <c r="AO41">
        <v>-0.19005201263727919</v>
      </c>
      <c r="AP41">
        <v>-0.18504521145500907</v>
      </c>
      <c r="AQ41">
        <v>-8.374557123592552E-2</v>
      </c>
      <c r="AR41">
        <v>0.7720969911685277</v>
      </c>
      <c r="AS41">
        <v>0.14879300576109136</v>
      </c>
      <c r="AT41">
        <v>-0.30096645232487457</v>
      </c>
      <c r="AU41">
        <v>3.1589448301530029E-2</v>
      </c>
      <c r="AV41">
        <v>-7.6694969452018674E-2</v>
      </c>
      <c r="AW41">
        <v>-0.22724959967257019</v>
      </c>
    </row>
    <row r="42" spans="1:49" x14ac:dyDescent="0.25">
      <c r="A42">
        <v>0.15642419889046943</v>
      </c>
      <c r="B42">
        <v>0.10802336373652083</v>
      </c>
      <c r="C42">
        <v>5.4863077200329347E-2</v>
      </c>
      <c r="D42">
        <v>1.3065622643384124E-2</v>
      </c>
      <c r="E42">
        <v>4.8458302949530255E-2</v>
      </c>
      <c r="F42">
        <v>-0.28563201483522332</v>
      </c>
      <c r="G42">
        <v>-0.34531133216197785</v>
      </c>
      <c r="H42">
        <v>0.18256871304928307</v>
      </c>
      <c r="I42">
        <v>-4.0133674186879379E-3</v>
      </c>
      <c r="J42">
        <v>-6.8780850993863898E-2</v>
      </c>
      <c r="K42">
        <v>1.7479997276978257E-3</v>
      </c>
      <c r="L42">
        <v>6.7728335808936418E-2</v>
      </c>
      <c r="M42">
        <v>-0.11454873506469274</v>
      </c>
      <c r="N42">
        <v>2.6369729700849848E-2</v>
      </c>
      <c r="O42">
        <v>0.21500604074923341</v>
      </c>
      <c r="P42">
        <v>0.28238005221617313</v>
      </c>
      <c r="Q42">
        <v>7.154933296906392E-2</v>
      </c>
      <c r="R42">
        <v>-7.8742064959416741E-2</v>
      </c>
      <c r="S42">
        <v>4.3372045355148998E-2</v>
      </c>
      <c r="T42">
        <v>-0.11645852160790592</v>
      </c>
      <c r="U42">
        <v>-0.21772147272350664</v>
      </c>
      <c r="V42">
        <v>7.0421808435743763E-2</v>
      </c>
      <c r="W42">
        <v>0.34339215806237794</v>
      </c>
      <c r="X42">
        <v>9.130316348154828E-2</v>
      </c>
      <c r="Y42">
        <v>-5.2922874864567024E-2</v>
      </c>
      <c r="Z42">
        <v>-2.1345642733905341E-2</v>
      </c>
      <c r="AA42">
        <v>9.2205069913811263E-2</v>
      </c>
      <c r="AB42">
        <v>-0.17912053388685784</v>
      </c>
      <c r="AC42">
        <v>0.8834876619073978</v>
      </c>
      <c r="AD42">
        <v>0.58638672377650158</v>
      </c>
      <c r="AE42">
        <v>0.20152653769607026</v>
      </c>
      <c r="AF42">
        <v>8.6430301402156042E-3</v>
      </c>
      <c r="AG42">
        <v>-8.3108197981993148E-2</v>
      </c>
      <c r="AH42">
        <v>-7.7957496362097575E-2</v>
      </c>
      <c r="AI42">
        <v>-0.15694582824252931</v>
      </c>
      <c r="AJ42">
        <v>0.8156653543540584</v>
      </c>
      <c r="AK42">
        <v>0.61307398360480725</v>
      </c>
      <c r="AL42">
        <v>0.17121627035315856</v>
      </c>
      <c r="AM42">
        <v>5.490559065993874E-2</v>
      </c>
      <c r="AN42">
        <v>-0.17994361438824283</v>
      </c>
      <c r="AO42">
        <v>-0.23639501618206979</v>
      </c>
      <c r="AP42">
        <v>-0.12955929446607725</v>
      </c>
      <c r="AQ42">
        <v>6.1366774788399097E-3</v>
      </c>
      <c r="AR42">
        <v>1.0448307082172696</v>
      </c>
      <c r="AS42">
        <v>0.11565425757935137</v>
      </c>
      <c r="AT42">
        <v>-0.27212589713750862</v>
      </c>
      <c r="AU42">
        <v>-3.1974429657785255E-2</v>
      </c>
      <c r="AV42">
        <v>7.880409408715755E-2</v>
      </c>
      <c r="AW42">
        <v>-0.20146697648029108</v>
      </c>
    </row>
    <row r="43" spans="1:49" x14ac:dyDescent="0.25">
      <c r="A43">
        <v>0.13818981383456619</v>
      </c>
      <c r="B43">
        <v>0.15947736420452249</v>
      </c>
      <c r="C43">
        <v>6.0925492948186645E-2</v>
      </c>
      <c r="D43">
        <v>-5.8038555169267793E-2</v>
      </c>
      <c r="E43">
        <v>3.8060145575797136E-2</v>
      </c>
      <c r="F43">
        <v>-0.18263193896025426</v>
      </c>
      <c r="G43">
        <v>-0.15977659473209371</v>
      </c>
      <c r="H43">
        <v>0.15042327419557</v>
      </c>
      <c r="I43">
        <v>-8.5394331865758261E-2</v>
      </c>
      <c r="J43">
        <v>7.1905257083760069E-2</v>
      </c>
      <c r="K43">
        <v>3.565972075275875E-2</v>
      </c>
      <c r="L43">
        <v>-4.8496367574713956E-2</v>
      </c>
      <c r="M43">
        <v>-0.34094297126149442</v>
      </c>
      <c r="N43">
        <v>-2.6220842947995936E-2</v>
      </c>
      <c r="O43">
        <v>0.19490157692902912</v>
      </c>
      <c r="P43">
        <v>0.21666280158745341</v>
      </c>
      <c r="Q43">
        <v>8.5247034651191045E-2</v>
      </c>
      <c r="R43">
        <v>-6.2449708218874564E-2</v>
      </c>
      <c r="S43">
        <v>3.7669480415971297E-2</v>
      </c>
      <c r="T43">
        <v>-0.31655840140160141</v>
      </c>
      <c r="U43">
        <v>-0.14334573754235211</v>
      </c>
      <c r="V43">
        <v>8.1721812031956276E-2</v>
      </c>
      <c r="W43">
        <v>0.27948813515623661</v>
      </c>
      <c r="X43">
        <v>6.9348292078301149E-2</v>
      </c>
      <c r="Y43">
        <v>-5.380550717097924E-3</v>
      </c>
      <c r="Z43">
        <v>-3.3667937903677954E-2</v>
      </c>
      <c r="AA43">
        <v>7.4036671380782848E-2</v>
      </c>
      <c r="AB43">
        <v>-0.29104481667708537</v>
      </c>
      <c r="AC43">
        <v>0.65067001445835315</v>
      </c>
      <c r="AD43">
        <v>0.63649359452636955</v>
      </c>
      <c r="AE43">
        <v>0.17343760156559207</v>
      </c>
      <c r="AF43">
        <v>2.7254717183924883E-2</v>
      </c>
      <c r="AG43">
        <v>-0.25186678452280553</v>
      </c>
      <c r="AH43">
        <v>7.677280866023993E-2</v>
      </c>
      <c r="AI43">
        <v>-0.25096854711111671</v>
      </c>
      <c r="AJ43">
        <v>1.0983884312241452</v>
      </c>
      <c r="AK43">
        <v>0.63824061551939815</v>
      </c>
      <c r="AL43">
        <v>0.22181678224663173</v>
      </c>
      <c r="AM43">
        <v>-9.7962016329524726E-2</v>
      </c>
      <c r="AN43">
        <v>-0.15772487511021005</v>
      </c>
      <c r="AO43">
        <v>-0.16659121535995303</v>
      </c>
      <c r="AP43">
        <v>-0.26686349409286736</v>
      </c>
      <c r="AQ43">
        <v>-1.0353168623436923E-2</v>
      </c>
      <c r="AR43">
        <v>0.99748939436321415</v>
      </c>
      <c r="AS43">
        <v>5.1282375139410717E-2</v>
      </c>
      <c r="AT43">
        <v>-0.36085697716868015</v>
      </c>
      <c r="AU43">
        <v>7.990344044175899E-3</v>
      </c>
      <c r="AV43">
        <v>5.0972747805820041E-2</v>
      </c>
      <c r="AW43">
        <v>-8.0522516510592626E-2</v>
      </c>
    </row>
    <row r="44" spans="1:49" x14ac:dyDescent="0.25">
      <c r="A44">
        <v>0.11726983713133754</v>
      </c>
      <c r="B44">
        <v>8.8721792914951456E-2</v>
      </c>
      <c r="C44">
        <v>6.7890451785850223E-2</v>
      </c>
      <c r="D44">
        <v>5.689951131112321E-2</v>
      </c>
      <c r="E44">
        <v>-3.4235403367130525E-2</v>
      </c>
      <c r="F44">
        <v>-0.23902406211359212</v>
      </c>
      <c r="G44">
        <v>-0.20764206571366794</v>
      </c>
      <c r="H44">
        <v>0.13930972995833873</v>
      </c>
      <c r="I44">
        <v>-8.9564943155261995E-3</v>
      </c>
      <c r="J44">
        <v>5.2637379734606311E-2</v>
      </c>
      <c r="K44">
        <v>-4.2587898888090898E-2</v>
      </c>
      <c r="L44">
        <v>-1.8735478358764136E-3</v>
      </c>
      <c r="M44">
        <v>-0.27588510059945087</v>
      </c>
      <c r="N44">
        <v>5.0337125162448891E-2</v>
      </c>
      <c r="O44">
        <v>0.19116179914248993</v>
      </c>
      <c r="P44">
        <v>0.27209370971343316</v>
      </c>
      <c r="Q44">
        <v>2.9682676707070317E-2</v>
      </c>
      <c r="R44">
        <v>-3.5585787009356946E-2</v>
      </c>
      <c r="S44">
        <v>-8.5920758045616052E-2</v>
      </c>
      <c r="T44">
        <v>-0.13865062955278049</v>
      </c>
      <c r="U44">
        <v>-0.16836611174270449</v>
      </c>
      <c r="V44">
        <v>7.8027556466279402E-2</v>
      </c>
      <c r="W44">
        <v>0.26148549326661608</v>
      </c>
      <c r="X44">
        <v>-8.2425230891646384E-2</v>
      </c>
      <c r="Y44">
        <v>-0.13790932460950495</v>
      </c>
      <c r="Z44">
        <v>-0.13644698332205912</v>
      </c>
      <c r="AA44">
        <v>1.9716392069049966E-2</v>
      </c>
      <c r="AB44">
        <v>-0.1644729471287466</v>
      </c>
      <c r="AC44">
        <v>0.80076277497085013</v>
      </c>
      <c r="AD44">
        <v>0.42489313820172087</v>
      </c>
      <c r="AE44">
        <v>0.20779680326397626</v>
      </c>
      <c r="AF44">
        <v>-6.4685116591228956E-2</v>
      </c>
      <c r="AG44">
        <v>-0.15940059590558578</v>
      </c>
      <c r="AH44">
        <v>-9.8575012136223897E-2</v>
      </c>
      <c r="AI44">
        <v>-0.17338913742214856</v>
      </c>
      <c r="AJ44">
        <v>1.0635281201249942</v>
      </c>
      <c r="AK44">
        <v>0.77971045038653186</v>
      </c>
      <c r="AL44">
        <v>0.23862479512211449</v>
      </c>
      <c r="AM44">
        <v>-3.9026536686281783E-3</v>
      </c>
      <c r="AN44">
        <v>-0.13285350580633054</v>
      </c>
      <c r="AO44">
        <v>-0.25409707964873274</v>
      </c>
      <c r="AP44">
        <v>-0.15672625317295094</v>
      </c>
      <c r="AQ44">
        <v>-5.1243487118697306E-2</v>
      </c>
      <c r="AR44">
        <v>1.0426079645740223</v>
      </c>
      <c r="AS44">
        <v>4.5043384785385901E-2</v>
      </c>
      <c r="AT44">
        <v>-0.30617759377654208</v>
      </c>
      <c r="AU44">
        <v>-7.1538663795412308E-2</v>
      </c>
      <c r="AV44">
        <v>4.9574556211362926E-2</v>
      </c>
      <c r="AW44">
        <v>-0.25972896768927328</v>
      </c>
    </row>
    <row r="45" spans="1:49" x14ac:dyDescent="0.25">
      <c r="A45">
        <v>9.4643248498855137E-2</v>
      </c>
      <c r="B45">
        <v>0.10510615738062348</v>
      </c>
      <c r="C45">
        <v>0.10571167099464729</v>
      </c>
      <c r="D45">
        <v>0.14236156388303217</v>
      </c>
      <c r="E45">
        <v>-9.9009642480024945E-2</v>
      </c>
      <c r="F45">
        <v>0.26903533849804362</v>
      </c>
      <c r="G45">
        <v>0.22880243379752477</v>
      </c>
      <c r="H45">
        <v>7.7061305578745949E-3</v>
      </c>
      <c r="I45">
        <v>9.6658908025308188E-2</v>
      </c>
      <c r="J45">
        <v>7.7827443229549681E-2</v>
      </c>
      <c r="K45">
        <v>0.14272941847803677</v>
      </c>
      <c r="L45">
        <v>-7.7249513600811575E-3</v>
      </c>
      <c r="M45">
        <v>0.21833277080712374</v>
      </c>
      <c r="N45">
        <v>2.5937062195993729E-2</v>
      </c>
      <c r="O45">
        <v>0.11052107053852482</v>
      </c>
      <c r="P45">
        <v>-0.13156899498137559</v>
      </c>
      <c r="Q45">
        <v>-1.4207919388243291E-2</v>
      </c>
      <c r="R45">
        <v>0.25408750357391291</v>
      </c>
      <c r="S45">
        <v>-2.5134381487082112E-2</v>
      </c>
      <c r="T45">
        <v>0.28213630565126196</v>
      </c>
      <c r="U45">
        <v>0.20004297345374294</v>
      </c>
      <c r="V45">
        <v>6.6233591805519201E-2</v>
      </c>
      <c r="W45">
        <v>-0.14678526933934979</v>
      </c>
      <c r="X45">
        <v>1.6862942047251982E-2</v>
      </c>
      <c r="Y45">
        <v>0.23134052688304038</v>
      </c>
      <c r="Z45">
        <v>0.21245350632608676</v>
      </c>
      <c r="AA45">
        <v>6.740805588612378E-2</v>
      </c>
      <c r="AB45">
        <v>0.22963916129511619</v>
      </c>
      <c r="AC45">
        <v>-0.15875996514030438</v>
      </c>
      <c r="AD45">
        <v>-0.16373698554269972</v>
      </c>
      <c r="AE45">
        <v>-0.13953474958209883</v>
      </c>
      <c r="AF45">
        <v>3.8583645560172589E-2</v>
      </c>
      <c r="AG45">
        <v>8.0549594223387644E-2</v>
      </c>
      <c r="AH45">
        <v>6.7557195520068752E-2</v>
      </c>
      <c r="AI45">
        <v>0.12682139784664712</v>
      </c>
      <c r="AJ45">
        <v>-0.16638649413947926</v>
      </c>
      <c r="AK45">
        <v>-0.14479458107065485</v>
      </c>
      <c r="AL45">
        <v>-0.14034263733739111</v>
      </c>
      <c r="AM45">
        <v>5.6068723259272243E-2</v>
      </c>
      <c r="AN45">
        <v>0.18971273868006358</v>
      </c>
      <c r="AO45">
        <v>0.15128039306829097</v>
      </c>
      <c r="AP45">
        <v>-0.14816813045778773</v>
      </c>
      <c r="AQ45">
        <v>-9.3492331002987705E-2</v>
      </c>
      <c r="AR45">
        <v>-0.15772969080078272</v>
      </c>
      <c r="AS45">
        <v>-9.9776650744200332E-4</v>
      </c>
      <c r="AT45">
        <v>0.28920385834090212</v>
      </c>
      <c r="AU45">
        <v>3.6413263491212308E-2</v>
      </c>
      <c r="AV45">
        <v>-3.0300778303417653E-2</v>
      </c>
      <c r="AW45">
        <v>0.33276127307623027</v>
      </c>
    </row>
    <row r="46" spans="1:49" x14ac:dyDescent="0.25">
      <c r="A46">
        <v>0.22118455009144783</v>
      </c>
      <c r="B46">
        <v>0.20986117211318941</v>
      </c>
      <c r="C46">
        <v>0.14099873267762708</v>
      </c>
      <c r="D46">
        <v>6.6816190906106382E-2</v>
      </c>
      <c r="E46">
        <v>-2.3647681510752118E-2</v>
      </c>
      <c r="F46">
        <v>0.34735906800139832</v>
      </c>
      <c r="G46">
        <v>0.24201329840844457</v>
      </c>
      <c r="H46">
        <v>8.9998023581366937E-2</v>
      </c>
      <c r="I46">
        <v>1.9416330591565834E-2</v>
      </c>
      <c r="J46">
        <v>5.9113303218088768E-2</v>
      </c>
      <c r="K46">
        <v>6.4954460886138099E-2</v>
      </c>
      <c r="L46">
        <v>3.8357232689972071E-2</v>
      </c>
      <c r="M46">
        <v>-0.18713629939990664</v>
      </c>
      <c r="N46">
        <v>4.7910863555200613E-2</v>
      </c>
      <c r="O46">
        <v>0.12072930830142418</v>
      </c>
      <c r="P46">
        <v>-0.14030295641529461</v>
      </c>
      <c r="Q46">
        <v>8.4093872792019547E-2</v>
      </c>
      <c r="R46">
        <v>8.8275102460421098E-2</v>
      </c>
      <c r="S46">
        <v>-1.6360587738872279E-2</v>
      </c>
      <c r="T46">
        <v>0.18323367289801201</v>
      </c>
      <c r="U46">
        <v>0.15304005427807693</v>
      </c>
      <c r="V46">
        <v>3.8055051828105674E-2</v>
      </c>
      <c r="W46">
        <v>-0.16847562926991375</v>
      </c>
      <c r="X46">
        <v>-7.0374555797584698E-2</v>
      </c>
      <c r="Y46">
        <v>0.11287404509275069</v>
      </c>
      <c r="Z46">
        <v>0.20521336727343079</v>
      </c>
      <c r="AA46">
        <v>6.639800064058185E-2</v>
      </c>
      <c r="AB46">
        <v>0.24405171538698206</v>
      </c>
      <c r="AC46">
        <v>-0.18586080141429323</v>
      </c>
      <c r="AD46">
        <v>-0.17991787402225859</v>
      </c>
      <c r="AE46">
        <v>-0.16602846100968016</v>
      </c>
      <c r="AF46">
        <v>-6.0031478333876953E-2</v>
      </c>
      <c r="AG46">
        <v>0.19990307141298572</v>
      </c>
      <c r="AH46">
        <v>9.808598827393035E-2</v>
      </c>
      <c r="AI46">
        <v>-1.6442423654665799E-3</v>
      </c>
      <c r="AJ46">
        <v>-0.19663347300454409</v>
      </c>
      <c r="AK46">
        <v>-0.19854024706828904</v>
      </c>
      <c r="AL46">
        <v>-0.16378878949053038</v>
      </c>
      <c r="AM46">
        <v>-2.0152888916142218E-2</v>
      </c>
      <c r="AN46">
        <v>-0.18018792897695635</v>
      </c>
      <c r="AO46">
        <v>0.20628165517557012</v>
      </c>
      <c r="AP46">
        <v>0.12575423179653913</v>
      </c>
      <c r="AQ46">
        <v>8.3989854369894659E-2</v>
      </c>
      <c r="AR46">
        <v>-0.18463759663893992</v>
      </c>
      <c r="AS46">
        <v>2.7129146376382422E-2</v>
      </c>
      <c r="AT46">
        <v>0.28207172690066595</v>
      </c>
      <c r="AU46">
        <v>-3.7347550745088373E-2</v>
      </c>
      <c r="AV46">
        <v>8.0816834900730369E-2</v>
      </c>
      <c r="AW46">
        <v>0.48866624446462137</v>
      </c>
    </row>
    <row r="47" spans="1:49" x14ac:dyDescent="0.25">
      <c r="A47">
        <v>-3.9488025112265568E-2</v>
      </c>
      <c r="B47">
        <v>-5.5796530824801849E-2</v>
      </c>
      <c r="C47">
        <v>-0.10223882397866582</v>
      </c>
      <c r="D47">
        <v>-6.1316369237905705E-2</v>
      </c>
      <c r="E47">
        <v>6.853621864314996E-2</v>
      </c>
      <c r="F47">
        <v>0.11877119020693636</v>
      </c>
      <c r="G47">
        <v>6.5438923994085893E-2</v>
      </c>
      <c r="H47">
        <v>-1.2443456524488739E-2</v>
      </c>
      <c r="I47">
        <v>8.0730048518668079E-2</v>
      </c>
      <c r="J47">
        <v>8.8177216021192287E-2</v>
      </c>
      <c r="K47">
        <v>-5.7811022562632368E-2</v>
      </c>
      <c r="L47">
        <v>-3.2855599840580875E-2</v>
      </c>
      <c r="M47">
        <v>2.8956182758196718E-2</v>
      </c>
      <c r="N47">
        <v>-5.256315311340027E-2</v>
      </c>
      <c r="O47">
        <v>2.9062346844819863E-2</v>
      </c>
      <c r="P47">
        <v>0.13508068059527717</v>
      </c>
      <c r="Q47">
        <v>-6.2238901461699955E-2</v>
      </c>
      <c r="R47">
        <v>-8.104657367881879E-2</v>
      </c>
      <c r="S47">
        <v>-7.8112777393968422E-2</v>
      </c>
      <c r="T47">
        <v>-0.10545435053095914</v>
      </c>
      <c r="U47">
        <v>3.8180117618190741E-2</v>
      </c>
      <c r="V47">
        <v>4.9833650952094466E-2</v>
      </c>
      <c r="W47">
        <v>0.34708780779505871</v>
      </c>
      <c r="X47">
        <v>-7.3816797293079869E-2</v>
      </c>
      <c r="Y47">
        <v>-9.6611566067253934E-2</v>
      </c>
      <c r="Z47">
        <v>-9.2406051964080374E-2</v>
      </c>
      <c r="AA47">
        <v>8.4242952216180944E-2</v>
      </c>
      <c r="AB47">
        <v>9.5861656836036632E-2</v>
      </c>
      <c r="AC47">
        <v>0.75632690719045326</v>
      </c>
      <c r="AD47">
        <v>0.42431081569985374</v>
      </c>
      <c r="AE47">
        <v>0.1666593943291613</v>
      </c>
      <c r="AF47">
        <v>5.6430258925798692E-2</v>
      </c>
      <c r="AG47">
        <v>-5.205128134693187E-2</v>
      </c>
      <c r="AH47">
        <v>9.9638750424811989E-2</v>
      </c>
      <c r="AI47">
        <v>9.4536050271617364E-2</v>
      </c>
      <c r="AJ47">
        <v>0.87997097197940266</v>
      </c>
      <c r="AK47">
        <v>0.65589200624472055</v>
      </c>
      <c r="AL47">
        <v>0.2191197211362074</v>
      </c>
      <c r="AM47">
        <v>1.5193938888177298E-2</v>
      </c>
      <c r="AN47">
        <v>-5.7879680189866153E-2</v>
      </c>
      <c r="AO47">
        <v>7.9172004175554669E-3</v>
      </c>
      <c r="AP47">
        <v>2.3061766754225818E-2</v>
      </c>
      <c r="AQ47">
        <v>-4.1200350712906523E-4</v>
      </c>
      <c r="AR47">
        <v>0.8914566551539973</v>
      </c>
      <c r="AS47">
        <v>0.13049235436521589</v>
      </c>
      <c r="AT47">
        <v>-0.43183112172865612</v>
      </c>
      <c r="AU47">
        <v>4.8113084134355881E-2</v>
      </c>
      <c r="AV47">
        <v>-6.3801899275791382E-4</v>
      </c>
      <c r="AW47">
        <v>-4.4352768899904534E-2</v>
      </c>
    </row>
    <row r="48" spans="1:49" x14ac:dyDescent="0.25">
      <c r="A48">
        <v>0.13090199871117308</v>
      </c>
      <c r="B48">
        <v>5.6336848780782108E-2</v>
      </c>
      <c r="C48">
        <v>0.25950926935740681</v>
      </c>
      <c r="D48">
        <v>0.14838259671101314</v>
      </c>
      <c r="E48">
        <v>7.6583834233473799E-2</v>
      </c>
      <c r="F48">
        <v>0.24379730054491519</v>
      </c>
      <c r="G48">
        <v>-0.16864868307996148</v>
      </c>
      <c r="H48">
        <v>8.7440749418332089E-2</v>
      </c>
      <c r="I48">
        <v>3.8994866340115023E-2</v>
      </c>
      <c r="J48">
        <v>-1.1410705304315557E-2</v>
      </c>
      <c r="K48">
        <v>0.16207531714608381</v>
      </c>
      <c r="L48">
        <v>-5.0935658579130454E-2</v>
      </c>
      <c r="M48">
        <v>0.27832068979155983</v>
      </c>
      <c r="N48">
        <v>-8.9557176093179258E-2</v>
      </c>
      <c r="O48">
        <v>9.5463024373808603E-3</v>
      </c>
      <c r="P48">
        <v>-4.1188010205619442E-2</v>
      </c>
      <c r="Q48">
        <v>2.418239255683147E-2</v>
      </c>
      <c r="R48">
        <v>0.13303334950782367</v>
      </c>
      <c r="S48">
        <v>9.9160937624222345E-2</v>
      </c>
      <c r="T48">
        <v>0.24898184437778709</v>
      </c>
      <c r="U48">
        <v>0.24157762231249627</v>
      </c>
      <c r="V48">
        <v>-2.5166714140868324E-2</v>
      </c>
      <c r="W48">
        <v>-0.1480887353662157</v>
      </c>
      <c r="X48">
        <v>-3.2391093402163951E-2</v>
      </c>
      <c r="Y48">
        <v>0.18978656468462984</v>
      </c>
      <c r="Z48">
        <v>0.16050771395899885</v>
      </c>
      <c r="AA48">
        <v>9.080141127100444E-2</v>
      </c>
      <c r="AB48">
        <v>0.19922483740721439</v>
      </c>
      <c r="AC48">
        <v>-0.17518443770531431</v>
      </c>
      <c r="AD48">
        <v>-0.1774013930054181</v>
      </c>
      <c r="AE48">
        <v>-8.9237017888752102E-2</v>
      </c>
      <c r="AF48">
        <v>-8.9496845890025101E-2</v>
      </c>
      <c r="AG48">
        <v>0.22202563539140616</v>
      </c>
      <c r="AH48">
        <v>-6.756678091761581E-2</v>
      </c>
      <c r="AI48">
        <v>0.17662688665541773</v>
      </c>
      <c r="AJ48">
        <v>-0.17795767314671906</v>
      </c>
      <c r="AK48">
        <v>-0.15728203033479041</v>
      </c>
      <c r="AL48">
        <v>-0.11609369959203106</v>
      </c>
      <c r="AM48">
        <v>-5.6572727315722229E-2</v>
      </c>
      <c r="AN48">
        <v>0.19765133679881361</v>
      </c>
      <c r="AO48">
        <v>-0.16750140348673095</v>
      </c>
      <c r="AP48">
        <v>0.16933610949469419</v>
      </c>
      <c r="AQ48">
        <v>2.8109443229769097E-2</v>
      </c>
      <c r="AR48">
        <v>-0.16804138587335812</v>
      </c>
      <c r="AS48">
        <v>2.051031242987254E-2</v>
      </c>
      <c r="AT48">
        <v>0.33612578249185965</v>
      </c>
      <c r="AU48">
        <v>-5.013355588414127E-2</v>
      </c>
      <c r="AV48">
        <v>-5.8736293637180463E-2</v>
      </c>
      <c r="AW48">
        <v>0.44537452614226802</v>
      </c>
    </row>
    <row r="49" spans="1:49" x14ac:dyDescent="0.25">
      <c r="A49">
        <v>0.12099610512715717</v>
      </c>
      <c r="B49">
        <v>7.062776848051526E-2</v>
      </c>
      <c r="C49">
        <v>9.5028542811270378E-2</v>
      </c>
      <c r="D49">
        <v>0.13886782374132128</v>
      </c>
      <c r="E49">
        <v>7.1541553865024476E-2</v>
      </c>
      <c r="F49">
        <v>0.17158655067075299</v>
      </c>
      <c r="G49">
        <v>0.32818218121220144</v>
      </c>
      <c r="H49">
        <v>6.383016158624924E-2</v>
      </c>
      <c r="I49">
        <v>9.9442719411409461E-2</v>
      </c>
      <c r="J49">
        <v>2.380211960565275E-2</v>
      </c>
      <c r="K49">
        <v>0.13540617125321261</v>
      </c>
      <c r="L49">
        <v>-2.8845664379557397E-3</v>
      </c>
      <c r="M49">
        <v>0.38599020381385118</v>
      </c>
      <c r="N49">
        <v>4.4444008300175079E-2</v>
      </c>
      <c r="O49">
        <v>-6.2963679819827784E-2</v>
      </c>
      <c r="P49">
        <v>-0.18185787895689354</v>
      </c>
      <c r="Q49">
        <v>-5.4690376809485394E-2</v>
      </c>
      <c r="R49">
        <v>9.6497388743775184E-2</v>
      </c>
      <c r="S49">
        <v>4.2403173601580572E-2</v>
      </c>
      <c r="T49">
        <v>0.20585799260931331</v>
      </c>
      <c r="U49">
        <v>0.30706568520038074</v>
      </c>
      <c r="V49">
        <v>9.6014121452875106E-2</v>
      </c>
      <c r="W49">
        <v>-0.18568423354531488</v>
      </c>
      <c r="X49">
        <v>-1.006894231903617E-2</v>
      </c>
      <c r="Y49">
        <v>0.21739376762018114</v>
      </c>
      <c r="Z49">
        <v>0.12896901772824454</v>
      </c>
      <c r="AA49">
        <v>6.2898872941553677E-2</v>
      </c>
      <c r="AB49">
        <v>0.19529068124214616</v>
      </c>
      <c r="AC49">
        <v>-0.20399061741630295</v>
      </c>
      <c r="AD49">
        <v>-0.20143493271342197</v>
      </c>
      <c r="AE49">
        <v>-0.12577970021633195</v>
      </c>
      <c r="AF49">
        <v>7.1780622831734989E-2</v>
      </c>
      <c r="AG49">
        <v>7.4955280194199059E-2</v>
      </c>
      <c r="AH49">
        <v>-8.4884631963780946E-2</v>
      </c>
      <c r="AI49">
        <v>0.25457333842825003</v>
      </c>
      <c r="AJ49">
        <v>-0.20225050379746531</v>
      </c>
      <c r="AK49">
        <v>-0.18844203891588829</v>
      </c>
      <c r="AL49">
        <v>-0.16156503804142497</v>
      </c>
      <c r="AM49">
        <v>3.4824881232360605E-2</v>
      </c>
      <c r="AN49">
        <v>8.7050571711288591E-2</v>
      </c>
      <c r="AO49">
        <v>0.29225183187141829</v>
      </c>
      <c r="AP49">
        <v>0.14049065937509164</v>
      </c>
      <c r="AQ49">
        <v>-3.4661809054493597E-3</v>
      </c>
      <c r="AR49">
        <v>-0.19897433095889547</v>
      </c>
      <c r="AS49">
        <v>-3.0638419996995091E-2</v>
      </c>
      <c r="AT49">
        <v>0.28573815295750055</v>
      </c>
      <c r="AU49">
        <v>5.4249328102753964E-2</v>
      </c>
      <c r="AV49">
        <v>1.8094111702038784E-2</v>
      </c>
      <c r="AW49">
        <v>0.43613618117278036</v>
      </c>
    </row>
    <row r="50" spans="1:49" x14ac:dyDescent="0.25">
      <c r="A50">
        <v>0.15240901059103892</v>
      </c>
      <c r="B50">
        <v>0.17244196503466033</v>
      </c>
      <c r="C50">
        <v>0.2307385333369438</v>
      </c>
      <c r="D50">
        <v>0.13786577468056777</v>
      </c>
      <c r="E50">
        <v>4.5993844255574394E-2</v>
      </c>
      <c r="F50">
        <v>0.17088221300258719</v>
      </c>
      <c r="G50">
        <v>-0.18362341038319779</v>
      </c>
      <c r="H50">
        <v>0.12144412302924407</v>
      </c>
      <c r="I50">
        <v>2.1282255868840135E-2</v>
      </c>
      <c r="J50">
        <v>4.0198086613360745E-2</v>
      </c>
      <c r="K50">
        <v>6.1927888255701065E-2</v>
      </c>
      <c r="L50">
        <v>-6.8547887299209118E-2</v>
      </c>
      <c r="M50">
        <v>0.33258442709894637</v>
      </c>
      <c r="N50">
        <v>5.9812266553793438E-2</v>
      </c>
      <c r="O50">
        <v>-1.673142175633471E-2</v>
      </c>
      <c r="P50">
        <v>-0.14545113834314699</v>
      </c>
      <c r="Q50">
        <v>6.3335562459953421E-2</v>
      </c>
      <c r="R50">
        <v>6.7163777687147763E-2</v>
      </c>
      <c r="S50">
        <v>8.5063226223856675E-2</v>
      </c>
      <c r="T50">
        <v>0.21803235076342092</v>
      </c>
      <c r="U50">
        <v>0.26120145860553667</v>
      </c>
      <c r="V50">
        <v>-8.0798001280424359E-2</v>
      </c>
      <c r="W50">
        <v>-0.15351225829132448</v>
      </c>
      <c r="X50">
        <v>-6.9724386470498931E-2</v>
      </c>
      <c r="Y50">
        <v>0.19130903407810204</v>
      </c>
      <c r="Z50">
        <v>0.15645247922424915</v>
      </c>
      <c r="AA50">
        <v>-1.4389752934676004E-2</v>
      </c>
      <c r="AB50">
        <v>0.10684001552548303</v>
      </c>
      <c r="AC50">
        <v>-0.17896174242838775</v>
      </c>
      <c r="AD50">
        <v>-0.17915695314658034</v>
      </c>
      <c r="AE50">
        <v>-4.0438885570321444E-2</v>
      </c>
      <c r="AF50">
        <v>-7.4002749188709929E-2</v>
      </c>
      <c r="AG50">
        <v>0.13790125283493082</v>
      </c>
      <c r="AH50">
        <v>-6.0603784368828024E-2</v>
      </c>
      <c r="AI50">
        <v>0.13529877033157936</v>
      </c>
      <c r="AJ50">
        <v>-0.17906347851099738</v>
      </c>
      <c r="AK50">
        <v>-0.17982180599051509</v>
      </c>
      <c r="AL50">
        <v>-0.15337502081165902</v>
      </c>
      <c r="AM50">
        <v>-8.1779866305290855E-2</v>
      </c>
      <c r="AN50">
        <v>0.1956563280019695</v>
      </c>
      <c r="AO50">
        <v>0.18491150534980019</v>
      </c>
      <c r="AP50">
        <v>0.24186345702927062</v>
      </c>
      <c r="AQ50">
        <v>-5.077669270850408E-2</v>
      </c>
      <c r="AR50">
        <v>-0.17956872779005337</v>
      </c>
      <c r="AS50">
        <v>-0.13312247864381202</v>
      </c>
      <c r="AT50">
        <v>0.37104752701201377</v>
      </c>
      <c r="AU50">
        <v>2.1317105291580287E-2</v>
      </c>
      <c r="AV50">
        <v>5.8022759533847744E-2</v>
      </c>
      <c r="AW50">
        <v>0.37360606530751089</v>
      </c>
    </row>
    <row r="51" spans="1:49" x14ac:dyDescent="0.25">
      <c r="A51">
        <v>0.15460011551818317</v>
      </c>
      <c r="B51">
        <v>0.19217405016918698</v>
      </c>
      <c r="C51">
        <v>0.10818419928283238</v>
      </c>
      <c r="D51">
        <v>0.51931710677098786</v>
      </c>
      <c r="E51">
        <v>-6.4535341710865127E-2</v>
      </c>
      <c r="F51">
        <v>0.18841796496503127</v>
      </c>
      <c r="G51">
        <v>0.49449974797898755</v>
      </c>
      <c r="H51">
        <v>0.5368920040338252</v>
      </c>
      <c r="I51">
        <v>0.5615604350593949</v>
      </c>
      <c r="J51">
        <v>0.57156041067303187</v>
      </c>
      <c r="K51">
        <v>0.118331145923203</v>
      </c>
      <c r="L51">
        <v>0.12842616739948279</v>
      </c>
      <c r="M51">
        <v>0.7108835375063669</v>
      </c>
      <c r="N51">
        <v>0.11647338420361059</v>
      </c>
      <c r="O51">
        <v>0.16721862557338565</v>
      </c>
      <c r="P51">
        <v>0.13620506592599824</v>
      </c>
    </row>
    <row r="52" spans="1:49" x14ac:dyDescent="0.25">
      <c r="A52">
        <v>-0.27285241110800501</v>
      </c>
      <c r="B52">
        <v>-0.34599891613982819</v>
      </c>
      <c r="C52">
        <v>-0.38102182968676268</v>
      </c>
      <c r="D52">
        <v>0.97030354547266739</v>
      </c>
      <c r="E52">
        <v>2.605407242108327E-2</v>
      </c>
      <c r="F52">
        <v>-0.3463539835679223</v>
      </c>
      <c r="G52">
        <v>1.0741806196689907</v>
      </c>
      <c r="H52">
        <v>1.0450294252730106</v>
      </c>
      <c r="I52">
        <v>1.0495150738764156</v>
      </c>
      <c r="J52">
        <v>0.98493985315133259</v>
      </c>
      <c r="K52">
        <v>-0.35048376137286752</v>
      </c>
      <c r="L52">
        <v>-0.26813401244900037</v>
      </c>
      <c r="M52">
        <v>1.2555598766771892</v>
      </c>
      <c r="N52">
        <v>-0.378044324681788</v>
      </c>
      <c r="O52">
        <v>-0.25724828046997988</v>
      </c>
      <c r="P52">
        <v>-0.3849716145059574</v>
      </c>
    </row>
    <row r="53" spans="1:49" x14ac:dyDescent="0.25">
      <c r="A53">
        <v>0.32998328711767272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AA728-BE73-4BDB-A3C8-154C1BCE8E42}">
  <sheetPr codeName="Sheet10"/>
  <dimension ref="B2:X33"/>
  <sheetViews>
    <sheetView workbookViewId="0">
      <selection activeCell="J26" sqref="J26"/>
    </sheetView>
  </sheetViews>
  <sheetFormatPr defaultRowHeight="15" x14ac:dyDescent="0.25"/>
  <cols>
    <col min="3" max="21" width="4" customWidth="1"/>
  </cols>
  <sheetData>
    <row r="2" spans="2:24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L2" s="14"/>
      <c r="M2" s="33" t="s">
        <v>26</v>
      </c>
      <c r="N2" s="34"/>
      <c r="O2" s="34"/>
      <c r="P2" s="34"/>
      <c r="Q2" s="34"/>
      <c r="R2" s="35"/>
      <c r="S2" s="36"/>
    </row>
    <row r="3" spans="2:24" ht="18" customHeight="1" x14ac:dyDescent="0.25">
      <c r="B3" s="14">
        <v>7</v>
      </c>
      <c r="C3" s="18">
        <v>3</v>
      </c>
      <c r="D3" s="19">
        <v>2</v>
      </c>
      <c r="E3" s="20">
        <v>2</v>
      </c>
      <c r="F3" s="20">
        <v>2</v>
      </c>
      <c r="G3" s="20">
        <v>2</v>
      </c>
      <c r="H3" s="20">
        <v>3</v>
      </c>
      <c r="I3" s="21">
        <v>4</v>
      </c>
      <c r="M3" s="37" t="str">
        <f t="shared" ref="M3:S9" si="0">INDEX($X$3:$X$6,MATCH(C3,$W$3:$W$6,0))</f>
        <v>↓</v>
      </c>
      <c r="N3" s="38" t="str">
        <f t="shared" si="0"/>
        <v>→</v>
      </c>
      <c r="O3" s="39" t="str">
        <f t="shared" si="0"/>
        <v>→</v>
      </c>
      <c r="P3" s="39" t="str">
        <f t="shared" si="0"/>
        <v>→</v>
      </c>
      <c r="Q3" s="39" t="str">
        <f t="shared" si="0"/>
        <v>→</v>
      </c>
      <c r="R3" s="39" t="str">
        <f t="shared" si="0"/>
        <v>↓</v>
      </c>
      <c r="S3" s="52" t="str">
        <f t="shared" si="0"/>
        <v>←</v>
      </c>
      <c r="W3">
        <v>1</v>
      </c>
      <c r="X3" s="32" t="s">
        <v>22</v>
      </c>
    </row>
    <row r="4" spans="2:24" ht="18" customHeight="1" x14ac:dyDescent="0.25">
      <c r="B4" s="14">
        <v>6</v>
      </c>
      <c r="C4" s="22">
        <v>2</v>
      </c>
      <c r="D4" s="23">
        <v>2</v>
      </c>
      <c r="E4" s="23">
        <v>1</v>
      </c>
      <c r="F4" s="24">
        <v>2</v>
      </c>
      <c r="G4" s="24">
        <v>2</v>
      </c>
      <c r="H4" s="23">
        <v>3</v>
      </c>
      <c r="I4" s="25">
        <v>2</v>
      </c>
      <c r="M4" s="40" t="str">
        <f t="shared" si="0"/>
        <v>→</v>
      </c>
      <c r="N4" s="41" t="str">
        <f t="shared" si="0"/>
        <v>→</v>
      </c>
      <c r="O4" s="41" t="str">
        <f t="shared" si="0"/>
        <v>↑</v>
      </c>
      <c r="P4" s="42" t="str">
        <f t="shared" si="0"/>
        <v>→</v>
      </c>
      <c r="Q4" s="42" t="str">
        <f t="shared" si="0"/>
        <v>→</v>
      </c>
      <c r="R4" s="41" t="str">
        <f t="shared" si="0"/>
        <v>↓</v>
      </c>
      <c r="S4" s="54" t="str">
        <f t="shared" si="0"/>
        <v>→</v>
      </c>
      <c r="W4">
        <v>2</v>
      </c>
      <c r="X4" s="32" t="s">
        <v>23</v>
      </c>
    </row>
    <row r="5" spans="2:24" ht="18" customHeight="1" x14ac:dyDescent="0.25">
      <c r="B5" s="14">
        <v>5</v>
      </c>
      <c r="C5" s="26">
        <v>2</v>
      </c>
      <c r="D5" s="24">
        <v>2</v>
      </c>
      <c r="E5" s="24">
        <v>3</v>
      </c>
      <c r="F5" s="23">
        <v>3</v>
      </c>
      <c r="G5" s="23">
        <v>4</v>
      </c>
      <c r="H5" s="23">
        <v>4</v>
      </c>
      <c r="I5" s="25">
        <v>3</v>
      </c>
      <c r="M5" s="43" t="str">
        <f t="shared" si="0"/>
        <v>→</v>
      </c>
      <c r="N5" s="42" t="str">
        <f t="shared" si="0"/>
        <v>→</v>
      </c>
      <c r="O5" s="42" t="str">
        <f t="shared" si="0"/>
        <v>↓</v>
      </c>
      <c r="P5" s="41" t="str">
        <f t="shared" si="0"/>
        <v>↓</v>
      </c>
      <c r="Q5" s="41" t="str">
        <f t="shared" si="0"/>
        <v>←</v>
      </c>
      <c r="R5" s="41" t="str">
        <f t="shared" si="0"/>
        <v>←</v>
      </c>
      <c r="S5" s="54" t="str">
        <f t="shared" si="0"/>
        <v>↓</v>
      </c>
      <c r="W5">
        <v>3</v>
      </c>
      <c r="X5" s="32" t="s">
        <v>24</v>
      </c>
    </row>
    <row r="6" spans="2:24" ht="18" customHeight="1" x14ac:dyDescent="0.25">
      <c r="B6" s="14">
        <v>4</v>
      </c>
      <c r="C6" s="22">
        <v>3</v>
      </c>
      <c r="D6" s="23">
        <v>4</v>
      </c>
      <c r="E6" s="23">
        <v>4</v>
      </c>
      <c r="F6" s="23">
        <v>4</v>
      </c>
      <c r="G6" s="24">
        <v>2</v>
      </c>
      <c r="H6" s="24">
        <v>2</v>
      </c>
      <c r="I6" s="27">
        <v>2</v>
      </c>
      <c r="M6" s="40" t="str">
        <f t="shared" si="0"/>
        <v>↓</v>
      </c>
      <c r="N6" s="41" t="str">
        <f t="shared" si="0"/>
        <v>←</v>
      </c>
      <c r="O6" s="41" t="str">
        <f t="shared" si="0"/>
        <v>←</v>
      </c>
      <c r="P6" s="41" t="str">
        <f t="shared" si="0"/>
        <v>←</v>
      </c>
      <c r="Q6" s="42" t="str">
        <f t="shared" si="0"/>
        <v>→</v>
      </c>
      <c r="R6" s="42" t="str">
        <f t="shared" si="0"/>
        <v>→</v>
      </c>
      <c r="S6" s="53" t="str">
        <f t="shared" si="0"/>
        <v>→</v>
      </c>
      <c r="W6">
        <v>4</v>
      </c>
      <c r="X6" s="32" t="s">
        <v>25</v>
      </c>
    </row>
    <row r="7" spans="2:24" ht="18" customHeight="1" x14ac:dyDescent="0.25">
      <c r="B7" s="14">
        <v>3</v>
      </c>
      <c r="C7" s="22">
        <v>3</v>
      </c>
      <c r="D7" s="24">
        <v>2</v>
      </c>
      <c r="E7" s="24">
        <v>2</v>
      </c>
      <c r="F7" s="24">
        <v>2</v>
      </c>
      <c r="G7" s="23">
        <v>2</v>
      </c>
      <c r="H7" s="23">
        <v>3</v>
      </c>
      <c r="I7" s="27">
        <v>3</v>
      </c>
      <c r="M7" s="40" t="str">
        <f t="shared" si="0"/>
        <v>↓</v>
      </c>
      <c r="N7" s="42" t="str">
        <f t="shared" si="0"/>
        <v>→</v>
      </c>
      <c r="O7" s="42" t="str">
        <f t="shared" si="0"/>
        <v>→</v>
      </c>
      <c r="P7" s="42" t="str">
        <f t="shared" si="0"/>
        <v>→</v>
      </c>
      <c r="Q7" s="41" t="str">
        <f t="shared" si="0"/>
        <v>→</v>
      </c>
      <c r="R7" s="41" t="str">
        <f t="shared" si="0"/>
        <v>↓</v>
      </c>
      <c r="S7" s="53" t="str">
        <f t="shared" si="0"/>
        <v>↓</v>
      </c>
    </row>
    <row r="8" spans="2:24" ht="18" customHeight="1" x14ac:dyDescent="0.25">
      <c r="B8" s="14">
        <v>2</v>
      </c>
      <c r="C8" s="22">
        <v>3</v>
      </c>
      <c r="D8" s="24">
        <v>2</v>
      </c>
      <c r="E8" s="23">
        <v>2</v>
      </c>
      <c r="F8" s="23">
        <v>2</v>
      </c>
      <c r="G8" s="23">
        <v>3</v>
      </c>
      <c r="H8" s="23">
        <v>3</v>
      </c>
      <c r="I8" s="27">
        <v>3</v>
      </c>
      <c r="M8" s="40" t="str">
        <f t="shared" si="0"/>
        <v>↓</v>
      </c>
      <c r="N8" s="42" t="str">
        <f t="shared" si="0"/>
        <v>→</v>
      </c>
      <c r="O8" s="41" t="str">
        <f t="shared" si="0"/>
        <v>→</v>
      </c>
      <c r="P8" s="41" t="str">
        <f t="shared" si="0"/>
        <v>→</v>
      </c>
      <c r="Q8" s="41" t="str">
        <f t="shared" si="0"/>
        <v>↓</v>
      </c>
      <c r="R8" s="41" t="str">
        <f t="shared" si="0"/>
        <v>↓</v>
      </c>
      <c r="S8" s="53" t="str">
        <f t="shared" si="0"/>
        <v>↓</v>
      </c>
    </row>
    <row r="9" spans="2:24" ht="18" customHeight="1" x14ac:dyDescent="0.25">
      <c r="B9" s="14">
        <v>1</v>
      </c>
      <c r="C9" s="28">
        <v>2</v>
      </c>
      <c r="D9" s="29">
        <v>2</v>
      </c>
      <c r="E9" s="29">
        <v>1</v>
      </c>
      <c r="F9" s="30">
        <v>2</v>
      </c>
      <c r="G9" s="29">
        <v>2</v>
      </c>
      <c r="H9" s="29">
        <v>2</v>
      </c>
      <c r="I9" s="31">
        <v>2</v>
      </c>
      <c r="M9" s="44" t="str">
        <f t="shared" si="0"/>
        <v>→</v>
      </c>
      <c r="N9" s="45" t="str">
        <f t="shared" si="0"/>
        <v>→</v>
      </c>
      <c r="O9" s="45" t="str">
        <f t="shared" si="0"/>
        <v>↑</v>
      </c>
      <c r="P9" s="46" t="str">
        <f t="shared" si="0"/>
        <v>→</v>
      </c>
      <c r="Q9" s="45" t="str">
        <f t="shared" si="0"/>
        <v>→</v>
      </c>
      <c r="R9" s="45" t="str">
        <f t="shared" si="0"/>
        <v>→</v>
      </c>
      <c r="S9" s="55" t="str">
        <f t="shared" si="0"/>
        <v>→</v>
      </c>
    </row>
    <row r="10" spans="2:24" x14ac:dyDescent="0.25">
      <c r="B10" s="14"/>
      <c r="C10" s="17"/>
      <c r="D10" s="17"/>
      <c r="E10" s="17"/>
      <c r="F10" s="17"/>
      <c r="G10" s="17"/>
      <c r="H10" s="17"/>
      <c r="I10" s="17"/>
      <c r="L10" s="17"/>
      <c r="M10" s="17"/>
      <c r="N10" s="17"/>
      <c r="O10" s="17"/>
      <c r="P10" s="17"/>
      <c r="Q10" s="17"/>
    </row>
    <row r="11" spans="2:24" x14ac:dyDescent="0.25">
      <c r="B11" s="14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</row>
    <row r="12" spans="2:24" x14ac:dyDescent="0.25">
      <c r="B12" s="14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</row>
    <row r="13" spans="2:24" x14ac:dyDescent="0.25">
      <c r="B13" s="14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</row>
    <row r="14" spans="2:24" x14ac:dyDescent="0.25">
      <c r="B14" s="14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</row>
    <row r="15" spans="2:24" x14ac:dyDescent="0.25">
      <c r="B15" s="14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</row>
    <row r="16" spans="2:24" x14ac:dyDescent="0.25">
      <c r="B16" s="14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2:17" x14ac:dyDescent="0.25">
      <c r="B17" s="14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</row>
    <row r="18" spans="2:17" x14ac:dyDescent="0.25">
      <c r="B18" s="1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2:17" x14ac:dyDescent="0.25">
      <c r="B19" s="14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</row>
    <row r="20" spans="2:17" x14ac:dyDescent="0.25">
      <c r="B20" s="14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</row>
    <row r="21" spans="2:17" x14ac:dyDescent="0.25">
      <c r="B21" s="14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</row>
    <row r="22" spans="2:17" x14ac:dyDescent="0.25">
      <c r="B22" s="14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</row>
    <row r="23" spans="2:17" x14ac:dyDescent="0.25">
      <c r="B23" s="14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</row>
    <row r="24" spans="2:17" x14ac:dyDescent="0.25">
      <c r="B24" s="14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spans="2:17" x14ac:dyDescent="0.25">
      <c r="B25" s="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2:17" x14ac:dyDescent="0.25">
      <c r="B26" s="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2:17" x14ac:dyDescent="0.25">
      <c r="B27" s="14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2:17" x14ac:dyDescent="0.25">
      <c r="B28" s="14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  <row r="29" spans="2:17" x14ac:dyDescent="0.25">
      <c r="B29" s="14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</row>
    <row r="30" spans="2:17" x14ac:dyDescent="0.25">
      <c r="B30" s="14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</row>
    <row r="31" spans="2:17" x14ac:dyDescent="0.25">
      <c r="B31" s="14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</row>
    <row r="32" spans="2:17" x14ac:dyDescent="0.25">
      <c r="B32" s="14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2:17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EFAB5-0DB6-4827-B5E7-70C21DD5B7E8}">
  <sheetPr codeName="Sheet5"/>
  <dimension ref="B2:S33"/>
  <sheetViews>
    <sheetView workbookViewId="0">
      <selection activeCell="O12" sqref="O12"/>
    </sheetView>
  </sheetViews>
  <sheetFormatPr defaultRowHeight="15" x14ac:dyDescent="0.25"/>
  <cols>
    <col min="3" max="9" width="4" customWidth="1"/>
    <col min="11" max="17" width="4" customWidth="1"/>
  </cols>
  <sheetData>
    <row r="2" spans="2:19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/>
      <c r="K2" s="14"/>
      <c r="L2" s="14"/>
      <c r="M2" s="14"/>
      <c r="O2" s="14"/>
      <c r="P2" s="14"/>
      <c r="Q2" s="14"/>
      <c r="R2" s="14"/>
      <c r="S2" s="14"/>
    </row>
    <row r="3" spans="2:19" ht="18" customHeight="1" x14ac:dyDescent="0.25">
      <c r="B3" s="14">
        <v>7</v>
      </c>
      <c r="C3" s="18">
        <v>1.7268933853807975</v>
      </c>
      <c r="D3" s="19">
        <v>3.373206742817485</v>
      </c>
      <c r="E3" s="20">
        <v>1.7190325238639528</v>
      </c>
      <c r="F3" s="20">
        <v>1.9789732362349759</v>
      </c>
      <c r="G3" s="20">
        <v>2.0269164527644938</v>
      </c>
      <c r="H3" s="20">
        <v>2.0699024925019218</v>
      </c>
      <c r="I3" s="21">
        <v>1.4034744133213872</v>
      </c>
      <c r="J3" s="15"/>
      <c r="K3" s="18"/>
      <c r="L3" s="19"/>
      <c r="M3" s="20"/>
      <c r="N3" s="20"/>
      <c r="O3" s="20"/>
      <c r="P3" s="20"/>
      <c r="Q3" s="21"/>
      <c r="R3" s="15"/>
      <c r="S3" s="15"/>
    </row>
    <row r="4" spans="2:19" ht="18" customHeight="1" x14ac:dyDescent="0.25">
      <c r="B4" s="14">
        <v>6</v>
      </c>
      <c r="C4" s="22">
        <v>1.5612446826526827</v>
      </c>
      <c r="D4" s="23">
        <v>1.5486815223196166</v>
      </c>
      <c r="E4" s="23">
        <v>1.5720850479253652</v>
      </c>
      <c r="F4" s="24">
        <v>3.7897164355220134</v>
      </c>
      <c r="G4" s="24">
        <v>3.5036086312955574</v>
      </c>
      <c r="H4" s="23">
        <v>2.120947850750488</v>
      </c>
      <c r="I4" s="25">
        <v>3.5995768509258657</v>
      </c>
      <c r="J4" s="15"/>
      <c r="K4" s="22"/>
      <c r="L4" s="23"/>
      <c r="M4" s="23"/>
      <c r="N4" s="24"/>
      <c r="O4" s="24"/>
      <c r="P4" s="23"/>
      <c r="Q4" s="25"/>
      <c r="R4" s="15"/>
      <c r="S4" s="15"/>
    </row>
    <row r="5" spans="2:19" ht="18" customHeight="1" x14ac:dyDescent="0.25">
      <c r="B5" s="14">
        <v>5</v>
      </c>
      <c r="C5" s="26">
        <v>3.6642720316562847</v>
      </c>
      <c r="D5" s="24">
        <v>3.5967601177776176</v>
      </c>
      <c r="E5" s="24">
        <v>3.3445784236744407</v>
      </c>
      <c r="F5" s="23">
        <v>2.331971109444499</v>
      </c>
      <c r="G5" s="23">
        <v>2.2752416992376636</v>
      </c>
      <c r="H5" s="23">
        <v>2.221020978853566</v>
      </c>
      <c r="I5" s="25">
        <v>3.44133958555501</v>
      </c>
      <c r="J5" s="15"/>
      <c r="K5" s="26"/>
      <c r="L5" s="24"/>
      <c r="M5" s="24"/>
      <c r="N5" s="23"/>
      <c r="O5" s="23"/>
      <c r="P5" s="23"/>
      <c r="Q5" s="25"/>
      <c r="R5" s="15"/>
      <c r="S5" s="15"/>
    </row>
    <row r="6" spans="2:19" ht="18" customHeight="1" x14ac:dyDescent="0.25">
      <c r="B6" s="14">
        <v>4</v>
      </c>
      <c r="C6" s="22">
        <v>3.1054176453096569</v>
      </c>
      <c r="D6" s="23">
        <v>2.9535331399322371</v>
      </c>
      <c r="E6" s="23">
        <v>2.7677501736646417</v>
      </c>
      <c r="F6" s="23">
        <v>2.4440892646329822</v>
      </c>
      <c r="G6" s="24">
        <v>3.7145966003999615</v>
      </c>
      <c r="H6" s="24">
        <v>3.5727873539769135</v>
      </c>
      <c r="I6" s="27">
        <v>0.48303857332825961</v>
      </c>
      <c r="J6" s="15"/>
      <c r="K6" s="22"/>
      <c r="L6" s="23"/>
      <c r="M6" s="23"/>
      <c r="N6" s="23"/>
      <c r="O6" s="24"/>
      <c r="P6" s="24"/>
      <c r="Q6" s="27"/>
      <c r="R6" s="15"/>
      <c r="S6" s="15"/>
    </row>
    <row r="7" spans="2:19" ht="18" customHeight="1" x14ac:dyDescent="0.25">
      <c r="B7" s="14">
        <v>3</v>
      </c>
      <c r="C7" s="22">
        <v>3.2945016754457805</v>
      </c>
      <c r="D7" s="24">
        <v>3.5271287565166918</v>
      </c>
      <c r="E7" s="24">
        <v>3.5485621766308095</v>
      </c>
      <c r="F7" s="24">
        <v>3.5055910048659471</v>
      </c>
      <c r="G7" s="23">
        <v>5.0325841300529577</v>
      </c>
      <c r="H7" s="23">
        <v>5.491466101286461</v>
      </c>
      <c r="I7" s="27">
        <v>4.3947889215795595</v>
      </c>
      <c r="J7" s="15"/>
      <c r="K7" s="22"/>
      <c r="L7" s="24"/>
      <c r="M7" s="24"/>
      <c r="N7" s="24"/>
      <c r="O7" s="23"/>
      <c r="P7" s="23"/>
      <c r="Q7" s="27"/>
      <c r="R7" s="15"/>
      <c r="S7" s="15"/>
    </row>
    <row r="8" spans="2:19" ht="18" customHeight="1" x14ac:dyDescent="0.25">
      <c r="B8" s="14">
        <v>2</v>
      </c>
      <c r="C8" s="22">
        <v>3.5659492409673046</v>
      </c>
      <c r="D8" s="24">
        <v>3.4761009929833935</v>
      </c>
      <c r="E8" s="23">
        <v>5.4020481461605874</v>
      </c>
      <c r="F8" s="23">
        <v>6.1842558130185763</v>
      </c>
      <c r="G8" s="23">
        <v>7.1455473953149475</v>
      </c>
      <c r="H8" s="23">
        <v>8.3484434818969326</v>
      </c>
      <c r="I8" s="27">
        <v>9.8145828339549173</v>
      </c>
      <c r="J8" s="15"/>
      <c r="K8" s="22"/>
      <c r="L8" s="24"/>
      <c r="M8" s="23"/>
      <c r="N8" s="23"/>
      <c r="O8" s="23"/>
      <c r="P8" s="23"/>
      <c r="Q8" s="27"/>
      <c r="R8" s="15"/>
      <c r="S8" s="15"/>
    </row>
    <row r="9" spans="2:19" ht="18" customHeight="1" x14ac:dyDescent="0.25">
      <c r="B9" s="14">
        <v>1</v>
      </c>
      <c r="C9" s="28">
        <v>3.8892620080681479</v>
      </c>
      <c r="D9" s="29">
        <v>4.2647320538046154</v>
      </c>
      <c r="E9" s="29">
        <v>4.7502181427778769</v>
      </c>
      <c r="F9" s="30">
        <v>3.8084950942687636</v>
      </c>
      <c r="G9" s="29">
        <v>8.4227172270914519</v>
      </c>
      <c r="H9" s="29">
        <v>9.9625611633686457</v>
      </c>
      <c r="I9" s="31">
        <v>3.3996608974077236</v>
      </c>
      <c r="J9" s="15"/>
      <c r="K9" s="28"/>
      <c r="L9" s="29"/>
      <c r="M9" s="29"/>
      <c r="N9" s="30"/>
      <c r="O9" s="29"/>
      <c r="P9" s="29"/>
      <c r="Q9" s="31"/>
      <c r="R9" s="15"/>
      <c r="S9" s="15"/>
    </row>
    <row r="10" spans="2:19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O10" s="14"/>
      <c r="P10" s="15"/>
      <c r="Q10" s="15"/>
      <c r="R10" s="15"/>
      <c r="S10" s="15"/>
    </row>
    <row r="11" spans="2:19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O11" s="14"/>
      <c r="P11" s="15"/>
      <c r="Q11" s="15"/>
      <c r="R11" s="15"/>
      <c r="S11" s="15"/>
    </row>
    <row r="12" spans="2:19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O12" s="14"/>
      <c r="P12" s="15"/>
      <c r="Q12" s="15"/>
      <c r="R12" s="15"/>
      <c r="S12" s="15"/>
    </row>
    <row r="13" spans="2:19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O13" s="14"/>
      <c r="P13" s="15"/>
      <c r="Q13" s="15"/>
      <c r="R13" s="15"/>
      <c r="S13" s="15"/>
    </row>
    <row r="14" spans="2:19" x14ac:dyDescent="0.25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O14" s="14"/>
      <c r="P14" s="15"/>
      <c r="Q14" s="15"/>
      <c r="R14" s="15"/>
      <c r="S14" s="15"/>
    </row>
    <row r="15" spans="2:19" x14ac:dyDescent="0.25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O15" s="14"/>
      <c r="P15" s="15"/>
      <c r="Q15" s="15"/>
      <c r="R15" s="15"/>
      <c r="S15" s="15"/>
    </row>
    <row r="16" spans="2:19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O16" s="14"/>
      <c r="P16" s="15"/>
      <c r="Q16" s="15"/>
      <c r="R16" s="15"/>
      <c r="S16" s="15"/>
    </row>
    <row r="17" spans="2:19" x14ac:dyDescent="0.25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O17" s="14"/>
      <c r="P17" s="15"/>
      <c r="Q17" s="15"/>
      <c r="R17" s="15"/>
      <c r="S17" s="15"/>
    </row>
    <row r="18" spans="2:19" x14ac:dyDescent="0.25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O18" s="14"/>
      <c r="P18" s="15"/>
      <c r="Q18" s="15"/>
      <c r="R18" s="15"/>
      <c r="S18" s="15"/>
    </row>
    <row r="19" spans="2:19" x14ac:dyDescent="0.25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O19" s="14"/>
      <c r="P19" s="15"/>
      <c r="Q19" s="15"/>
      <c r="R19" s="15"/>
      <c r="S19" s="15"/>
    </row>
    <row r="20" spans="2:19" x14ac:dyDescent="0.25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O20" s="14"/>
      <c r="P20" s="15"/>
      <c r="Q20" s="15"/>
      <c r="R20" s="15"/>
      <c r="S20" s="15"/>
    </row>
    <row r="21" spans="2:19" x14ac:dyDescent="0.25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O21" s="14"/>
      <c r="P21" s="15"/>
      <c r="Q21" s="15"/>
      <c r="R21" s="15"/>
      <c r="S21" s="15"/>
    </row>
    <row r="22" spans="2:19" x14ac:dyDescent="0.25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O22" s="14"/>
      <c r="P22" s="15"/>
      <c r="Q22" s="15"/>
      <c r="R22" s="15"/>
      <c r="S22" s="15"/>
    </row>
    <row r="23" spans="2:19" x14ac:dyDescent="0.25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O23" s="14"/>
      <c r="P23" s="15"/>
      <c r="Q23" s="15"/>
      <c r="R23" s="15"/>
      <c r="S23" s="15"/>
    </row>
    <row r="24" spans="2:19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O24" s="14"/>
      <c r="P24" s="15"/>
      <c r="Q24" s="15"/>
      <c r="R24" s="15"/>
      <c r="S24" s="15"/>
    </row>
    <row r="25" spans="2:19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O25" s="14"/>
      <c r="P25" s="15"/>
      <c r="Q25" s="15"/>
      <c r="R25" s="15"/>
      <c r="S25" s="15"/>
    </row>
    <row r="26" spans="2:19" x14ac:dyDescent="0.25"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O26" s="14"/>
      <c r="P26" s="15"/>
      <c r="Q26" s="15"/>
      <c r="R26" s="15"/>
      <c r="S26" s="15"/>
    </row>
    <row r="27" spans="2:19" x14ac:dyDescent="0.25"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O27" s="14"/>
      <c r="P27" s="15"/>
      <c r="Q27" s="15"/>
      <c r="R27" s="15"/>
      <c r="S27" s="15"/>
    </row>
    <row r="28" spans="2:19" x14ac:dyDescent="0.25"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O28" s="14"/>
      <c r="P28" s="15"/>
      <c r="Q28" s="15"/>
      <c r="R28" s="15"/>
      <c r="S28" s="15"/>
    </row>
    <row r="29" spans="2:19" x14ac:dyDescent="0.25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O29" s="14"/>
      <c r="P29" s="15"/>
      <c r="Q29" s="15"/>
      <c r="R29" s="15"/>
      <c r="S29" s="15"/>
    </row>
    <row r="30" spans="2:19" x14ac:dyDescent="0.25"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O30" s="14"/>
      <c r="P30" s="15"/>
      <c r="Q30" s="15"/>
      <c r="R30" s="15"/>
      <c r="S30" s="15"/>
    </row>
    <row r="31" spans="2:19" x14ac:dyDescent="0.25"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O31" s="14"/>
      <c r="P31" s="15"/>
      <c r="Q31" s="15"/>
      <c r="R31" s="15"/>
      <c r="S31" s="15"/>
    </row>
    <row r="32" spans="2:19" x14ac:dyDescent="0.25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O32" s="14"/>
      <c r="P32" s="15"/>
      <c r="Q32" s="15"/>
      <c r="R32" s="15"/>
      <c r="S32" s="15"/>
    </row>
    <row r="33" spans="2:19" x14ac:dyDescent="0.25"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O33" s="14"/>
      <c r="P33" s="15"/>
      <c r="Q33" s="15"/>
      <c r="R33" s="15"/>
      <c r="S33" s="15"/>
    </row>
  </sheetData>
  <conditionalFormatting sqref="C3:I9">
    <cfRule type="colorScale" priority="10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3E67-4738-403C-99D2-C204E4AFBF28}">
  <sheetPr codeName="Sheet13"/>
  <dimension ref="A1:G23"/>
  <sheetViews>
    <sheetView zoomScaleNormal="100" workbookViewId="0">
      <pane xSplit="1" ySplit="1" topLeftCell="B2" activePane="bottomRight" state="frozen"/>
      <selection activeCell="D27" sqref="D27"/>
      <selection pane="topRight" activeCell="D27" sqref="D27"/>
      <selection pane="bottomLeft" activeCell="D27" sqref="D27"/>
      <selection pane="bottomRight" sqref="A1:D23"/>
    </sheetView>
  </sheetViews>
  <sheetFormatPr defaultRowHeight="15" x14ac:dyDescent="0.25"/>
  <sheetData>
    <row r="1" spans="1:7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39</v>
      </c>
    </row>
    <row r="2" spans="1:7" x14ac:dyDescent="0.25">
      <c r="A2">
        <v>1</v>
      </c>
      <c r="B2">
        <v>-71.258000000000052</v>
      </c>
      <c r="C2">
        <v>109</v>
      </c>
      <c r="D2">
        <v>0</v>
      </c>
      <c r="F2">
        <v>1</v>
      </c>
      <c r="G2">
        <v>1.8076285164275065</v>
      </c>
    </row>
    <row r="3" spans="1:7" x14ac:dyDescent="0.25">
      <c r="A3">
        <v>2</v>
      </c>
      <c r="B3">
        <v>-57.991999999999962</v>
      </c>
      <c r="C3">
        <v>109</v>
      </c>
      <c r="D3">
        <v>0</v>
      </c>
      <c r="F3">
        <v>2</v>
      </c>
      <c r="G3">
        <v>1.8032872480047606</v>
      </c>
    </row>
    <row r="4" spans="1:7" x14ac:dyDescent="0.25">
      <c r="A4">
        <v>3</v>
      </c>
      <c r="B4">
        <v>-45.920999999999943</v>
      </c>
      <c r="C4">
        <v>109</v>
      </c>
      <c r="D4">
        <v>0</v>
      </c>
      <c r="F4">
        <v>3</v>
      </c>
      <c r="G4">
        <v>1.7314562263136164</v>
      </c>
    </row>
    <row r="5" spans="1:7" x14ac:dyDescent="0.25">
      <c r="A5">
        <v>4</v>
      </c>
      <c r="B5">
        <v>-35.180999999999948</v>
      </c>
      <c r="C5">
        <v>109</v>
      </c>
      <c r="D5">
        <v>0</v>
      </c>
      <c r="F5">
        <v>4</v>
      </c>
      <c r="G5">
        <v>1.7046564498113039</v>
      </c>
    </row>
    <row r="6" spans="1:7" x14ac:dyDescent="0.25">
      <c r="A6">
        <v>5</v>
      </c>
      <c r="B6">
        <v>-23.431999999999952</v>
      </c>
      <c r="C6">
        <v>109</v>
      </c>
      <c r="D6">
        <v>0</v>
      </c>
      <c r="F6">
        <v>5</v>
      </c>
      <c r="G6">
        <v>1.6224562729656504</v>
      </c>
    </row>
    <row r="7" spans="1:7" x14ac:dyDescent="0.25">
      <c r="A7">
        <v>6</v>
      </c>
      <c r="B7">
        <v>-9.9979999999999869</v>
      </c>
      <c r="C7">
        <v>108.32</v>
      </c>
      <c r="D7">
        <v>0.02</v>
      </c>
      <c r="F7">
        <v>6</v>
      </c>
      <c r="G7">
        <v>1.6634067137915416</v>
      </c>
    </row>
    <row r="8" spans="1:7" x14ac:dyDescent="0.25">
      <c r="A8">
        <v>7</v>
      </c>
      <c r="B8">
        <v>-1.0161999999999802</v>
      </c>
      <c r="C8">
        <v>106.94</v>
      </c>
      <c r="D8">
        <v>0.06</v>
      </c>
      <c r="F8">
        <v>7</v>
      </c>
      <c r="G8">
        <v>1.5786757619212841</v>
      </c>
    </row>
    <row r="9" spans="1:7" x14ac:dyDescent="0.25">
      <c r="A9">
        <v>8</v>
      </c>
      <c r="B9">
        <v>4.5876000000000428</v>
      </c>
      <c r="C9">
        <v>106.04</v>
      </c>
      <c r="D9">
        <v>0.08</v>
      </c>
      <c r="F9">
        <v>8</v>
      </c>
      <c r="G9">
        <v>1.5528679716563114</v>
      </c>
    </row>
    <row r="10" spans="1:7" x14ac:dyDescent="0.25">
      <c r="A10">
        <v>9</v>
      </c>
      <c r="B10">
        <v>29.94800000000005</v>
      </c>
      <c r="C10">
        <v>90.64</v>
      </c>
      <c r="D10">
        <v>0.44</v>
      </c>
      <c r="F10">
        <v>9</v>
      </c>
      <c r="G10">
        <v>1.5153901873357503</v>
      </c>
    </row>
    <row r="11" spans="1:7" x14ac:dyDescent="0.25">
      <c r="A11">
        <v>10</v>
      </c>
      <c r="B11">
        <v>38.705200000000055</v>
      </c>
      <c r="C11">
        <v>87.6</v>
      </c>
      <c r="D11">
        <v>0.57999999999999996</v>
      </c>
      <c r="F11">
        <v>10</v>
      </c>
      <c r="G11">
        <v>1.4608099230767126</v>
      </c>
    </row>
    <row r="12" spans="1:7" x14ac:dyDescent="0.25">
      <c r="A12">
        <v>11</v>
      </c>
      <c r="B12">
        <v>54.173800000000028</v>
      </c>
      <c r="C12">
        <v>75.599999999999994</v>
      </c>
      <c r="D12">
        <v>0.82</v>
      </c>
      <c r="F12">
        <v>11</v>
      </c>
      <c r="G12">
        <v>1.3962009820430306</v>
      </c>
    </row>
    <row r="13" spans="1:7" x14ac:dyDescent="0.25">
      <c r="A13">
        <v>12</v>
      </c>
      <c r="B13">
        <v>57.382000000000026</v>
      </c>
      <c r="C13">
        <v>66.36</v>
      </c>
      <c r="D13">
        <v>0.86</v>
      </c>
      <c r="F13">
        <v>12</v>
      </c>
      <c r="G13">
        <v>1.3102722744778239</v>
      </c>
    </row>
    <row r="14" spans="1:7" x14ac:dyDescent="0.25">
      <c r="A14">
        <v>13</v>
      </c>
      <c r="B14">
        <v>60.468600000000016</v>
      </c>
      <c r="C14">
        <v>57.88</v>
      </c>
      <c r="D14">
        <v>0.92</v>
      </c>
      <c r="F14">
        <v>13</v>
      </c>
      <c r="G14">
        <v>1.2553937409016163</v>
      </c>
    </row>
    <row r="15" spans="1:7" x14ac:dyDescent="0.25">
      <c r="A15">
        <v>14</v>
      </c>
      <c r="B15">
        <v>67.551000000000002</v>
      </c>
      <c r="C15">
        <v>47.7</v>
      </c>
      <c r="D15">
        <v>1</v>
      </c>
      <c r="F15">
        <v>14</v>
      </c>
      <c r="G15">
        <v>1.2598203862513997</v>
      </c>
    </row>
    <row r="16" spans="1:7" x14ac:dyDescent="0.25">
      <c r="A16">
        <v>15</v>
      </c>
      <c r="B16">
        <v>64.918000000000006</v>
      </c>
      <c r="C16">
        <v>43.38</v>
      </c>
      <c r="D16">
        <v>0.98</v>
      </c>
      <c r="F16">
        <v>15</v>
      </c>
      <c r="G16">
        <v>1.2106417539141157</v>
      </c>
    </row>
    <row r="17" spans="1:7" x14ac:dyDescent="0.25">
      <c r="A17">
        <v>16</v>
      </c>
      <c r="B17">
        <v>66.058199999999985</v>
      </c>
      <c r="C17">
        <v>38.520000000000003</v>
      </c>
      <c r="D17">
        <v>1</v>
      </c>
      <c r="F17">
        <v>16</v>
      </c>
      <c r="G17">
        <v>1.152820732274334</v>
      </c>
    </row>
    <row r="18" spans="1:7" x14ac:dyDescent="0.25">
      <c r="A18">
        <v>17</v>
      </c>
      <c r="B18">
        <v>63.839999999999989</v>
      </c>
      <c r="C18">
        <v>39.08</v>
      </c>
      <c r="D18">
        <v>0.98</v>
      </c>
      <c r="F18">
        <v>17</v>
      </c>
      <c r="G18">
        <v>1.100625891601535</v>
      </c>
    </row>
    <row r="19" spans="1:7" x14ac:dyDescent="0.25">
      <c r="A19">
        <v>18</v>
      </c>
      <c r="B19">
        <v>61.837399999999988</v>
      </c>
      <c r="C19">
        <v>39</v>
      </c>
      <c r="D19">
        <v>0.96</v>
      </c>
      <c r="F19">
        <v>18</v>
      </c>
      <c r="G19">
        <v>1.0809085395088587</v>
      </c>
    </row>
    <row r="20" spans="1:7" x14ac:dyDescent="0.25">
      <c r="A20">
        <v>19</v>
      </c>
      <c r="B20">
        <v>65.527600000000007</v>
      </c>
      <c r="C20">
        <v>37.56</v>
      </c>
      <c r="D20">
        <v>1</v>
      </c>
      <c r="F20">
        <v>19</v>
      </c>
      <c r="G20">
        <v>1.2761264878610914</v>
      </c>
    </row>
    <row r="21" spans="1:7" x14ac:dyDescent="0.25">
      <c r="A21">
        <v>20</v>
      </c>
      <c r="B21">
        <v>65.363599999999991</v>
      </c>
      <c r="C21">
        <v>36.159999999999997</v>
      </c>
      <c r="D21">
        <v>1</v>
      </c>
      <c r="F21">
        <v>20</v>
      </c>
      <c r="G21">
        <v>1.2836528828650562</v>
      </c>
    </row>
    <row r="22" spans="1:7" x14ac:dyDescent="0.25">
      <c r="A22">
        <v>21</v>
      </c>
      <c r="B22">
        <v>65.470399999999984</v>
      </c>
      <c r="C22">
        <v>35.74</v>
      </c>
      <c r="D22">
        <v>1</v>
      </c>
      <c r="F22">
        <v>21</v>
      </c>
      <c r="G22">
        <v>1.2148217964722186</v>
      </c>
    </row>
    <row r="23" spans="1:7" x14ac:dyDescent="0.25">
      <c r="A23">
        <v>22</v>
      </c>
      <c r="B23">
        <v>65.845199999999977</v>
      </c>
      <c r="C23">
        <v>36.72</v>
      </c>
      <c r="D23">
        <v>1</v>
      </c>
      <c r="F23">
        <v>22</v>
      </c>
      <c r="G23">
        <v>1.1894439323035004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BC2F-BD6D-4BB9-B7C3-531FD8DB905E}">
  <sheetPr codeName="Sheet14"/>
  <dimension ref="A1:T53"/>
  <sheetViews>
    <sheetView workbookViewId="0">
      <selection activeCell="D28" sqref="A28:D28"/>
    </sheetView>
  </sheetViews>
  <sheetFormatPr defaultRowHeight="15" x14ac:dyDescent="0.25"/>
  <sheetData>
    <row r="1" spans="1:20" x14ac:dyDescent="0.25">
      <c r="A1" t="s">
        <v>11</v>
      </c>
    </row>
    <row r="2" spans="1:20" x14ac:dyDescent="0.25">
      <c r="A2">
        <v>20</v>
      </c>
    </row>
    <row r="3" spans="1:20" x14ac:dyDescent="0.25">
      <c r="A3">
        <v>4</v>
      </c>
    </row>
    <row r="4" spans="1:20" x14ac:dyDescent="0.25">
      <c r="A4">
        <v>1</v>
      </c>
    </row>
    <row r="5" spans="1:20" x14ac:dyDescent="0.25">
      <c r="A5" t="s">
        <v>6</v>
      </c>
    </row>
    <row r="6" spans="1:20" x14ac:dyDescent="0.25">
      <c r="A6">
        <v>16</v>
      </c>
    </row>
    <row r="7" spans="1:20" x14ac:dyDescent="0.25">
      <c r="A7">
        <v>1.6675549459547568E-2</v>
      </c>
      <c r="B7">
        <v>0.26709660932337054</v>
      </c>
      <c r="C7">
        <v>-5.5177766217733501E-2</v>
      </c>
      <c r="D7">
        <v>0.18987868547834841</v>
      </c>
      <c r="E7">
        <v>0.35375118916882181</v>
      </c>
      <c r="F7">
        <v>0.59160117796745104</v>
      </c>
      <c r="G7">
        <v>-2.3645936646870553E-2</v>
      </c>
      <c r="H7">
        <v>0.6192900676957227</v>
      </c>
      <c r="I7">
        <v>-1.3535972669583134</v>
      </c>
      <c r="J7">
        <v>-1.6056522951661278E-2</v>
      </c>
      <c r="K7">
        <v>0.22043587551125682</v>
      </c>
      <c r="L7">
        <v>-0.35063515450743232</v>
      </c>
      <c r="M7">
        <v>0.50100073749264917</v>
      </c>
      <c r="N7">
        <v>7.378392995905346E-2</v>
      </c>
      <c r="O7">
        <v>6.4487010949229776E-2</v>
      </c>
      <c r="P7">
        <v>0.40691409565332026</v>
      </c>
      <c r="Q7">
        <v>-0.47360380336275504</v>
      </c>
      <c r="R7">
        <v>6.1043142391821049E-2</v>
      </c>
      <c r="S7">
        <v>0.21265753159968501</v>
      </c>
      <c r="T7">
        <v>-0.42229479949552967</v>
      </c>
    </row>
    <row r="8" spans="1:20" x14ac:dyDescent="0.25">
      <c r="A8">
        <v>0.15882138109701888</v>
      </c>
      <c r="B8">
        <v>0.30965128859105151</v>
      </c>
      <c r="C8">
        <v>3.3784308135727671E-2</v>
      </c>
      <c r="D8">
        <v>0.59824982599689713</v>
      </c>
      <c r="E8">
        <v>0.56447212568306449</v>
      </c>
      <c r="F8">
        <v>-0.5757730355568641</v>
      </c>
      <c r="G8">
        <v>0.15953817177247895</v>
      </c>
      <c r="H8">
        <v>0.83713448352504438</v>
      </c>
      <c r="I8">
        <v>-0.30767166724914019</v>
      </c>
      <c r="J8">
        <v>4.3690539450962733E-2</v>
      </c>
      <c r="K8">
        <v>0.55403676659136103</v>
      </c>
      <c r="L8">
        <v>-3.9483187682596219E-2</v>
      </c>
      <c r="M8">
        <v>-0.58220281846772348</v>
      </c>
      <c r="N8">
        <v>-0.22024260175116323</v>
      </c>
      <c r="O8">
        <v>-0.46392870790779162</v>
      </c>
      <c r="P8">
        <v>-4.4517369024166392E-2</v>
      </c>
      <c r="Q8">
        <v>-0.19030532637985956</v>
      </c>
      <c r="R8">
        <v>-5.7908102027960609E-2</v>
      </c>
      <c r="S8">
        <v>0.10887413389604139</v>
      </c>
      <c r="T8">
        <v>-0.29642564425502832</v>
      </c>
    </row>
    <row r="9" spans="1:20" x14ac:dyDescent="0.25">
      <c r="A9">
        <v>0.25871927554881591</v>
      </c>
      <c r="B9">
        <v>-0.10761741461954001</v>
      </c>
      <c r="C9">
        <v>0.3740323954193408</v>
      </c>
      <c r="D9">
        <v>-0.29609105671142172</v>
      </c>
      <c r="E9">
        <v>-0.29206264709781637</v>
      </c>
      <c r="F9">
        <v>-0.39570439806193103</v>
      </c>
      <c r="G9">
        <v>-6.0845633480251723E-2</v>
      </c>
      <c r="H9">
        <v>0.13114358924357392</v>
      </c>
      <c r="I9">
        <v>0.34259318541996364</v>
      </c>
      <c r="J9">
        <v>-2.8293707956603114E-3</v>
      </c>
      <c r="K9">
        <v>-0.70702388670401772</v>
      </c>
      <c r="L9">
        <v>0.35075757526842127</v>
      </c>
      <c r="M9">
        <v>0.2047724054960228</v>
      </c>
      <c r="N9">
        <v>-0.10129451508314925</v>
      </c>
      <c r="O9">
        <v>4.5587462526097335E-2</v>
      </c>
      <c r="P9">
        <v>0.37887687018196259</v>
      </c>
      <c r="Q9">
        <v>0.40023799066146676</v>
      </c>
      <c r="R9">
        <v>0.44861290470757742</v>
      </c>
      <c r="S9">
        <v>1.6206686473036688E-2</v>
      </c>
      <c r="T9">
        <v>0.2099594188977027</v>
      </c>
    </row>
    <row r="10" spans="1:20" x14ac:dyDescent="0.25">
      <c r="A10">
        <v>6.4438519608785074E-3</v>
      </c>
      <c r="B10">
        <v>0.24612689077859512</v>
      </c>
      <c r="C10">
        <v>-6.5051108407202735E-3</v>
      </c>
      <c r="D10">
        <v>0.1179796258478248</v>
      </c>
      <c r="E10">
        <v>0.12628239441538891</v>
      </c>
      <c r="F10">
        <v>-1.189420984519086</v>
      </c>
      <c r="G10">
        <v>0.44461190600219569</v>
      </c>
      <c r="H10">
        <v>0.37255183056970997</v>
      </c>
      <c r="I10">
        <v>0.87565379610336957</v>
      </c>
      <c r="J10">
        <v>0.18313697490472799</v>
      </c>
      <c r="K10">
        <v>0.10662754309630625</v>
      </c>
      <c r="L10">
        <v>0.52214852273504164</v>
      </c>
      <c r="M10">
        <v>-0.17548239525671477</v>
      </c>
      <c r="N10">
        <v>-0.37247002629575038</v>
      </c>
      <c r="O10">
        <v>-0.38968288826324859</v>
      </c>
      <c r="P10">
        <v>8.7505151754408789E-2</v>
      </c>
      <c r="Q10">
        <v>0.54405885962558709</v>
      </c>
      <c r="R10">
        <v>0.27581510746271798</v>
      </c>
      <c r="S10">
        <v>-0.2234463818393744</v>
      </c>
      <c r="T10">
        <v>0.57420613798966014</v>
      </c>
    </row>
    <row r="11" spans="1:20" x14ac:dyDescent="0.25">
      <c r="A11">
        <v>0.15495023041916425</v>
      </c>
      <c r="B11">
        <v>0.39967579269049908</v>
      </c>
      <c r="C11">
        <v>0.23976519786937492</v>
      </c>
      <c r="D11">
        <v>0.47668223487526917</v>
      </c>
      <c r="E11">
        <v>9.6975597126516946E-2</v>
      </c>
      <c r="F11">
        <v>0.55283459102717769</v>
      </c>
      <c r="G11">
        <v>5.2281752109736054E-2</v>
      </c>
      <c r="H11">
        <v>-0.37346433910814614</v>
      </c>
      <c r="I11">
        <v>-0.461343715938695</v>
      </c>
      <c r="J11">
        <v>-0.11543305521960537</v>
      </c>
      <c r="K11">
        <v>0.98682083704932178</v>
      </c>
      <c r="L11">
        <v>0.26362954897174506</v>
      </c>
      <c r="M11">
        <v>0.10547142224469484</v>
      </c>
      <c r="N11">
        <v>0.1568246727539313</v>
      </c>
      <c r="O11">
        <v>0.15805416406316561</v>
      </c>
      <c r="P11">
        <v>-0.29058099799411846</v>
      </c>
      <c r="Q11">
        <v>-0.23814363727988178</v>
      </c>
      <c r="R11">
        <v>-9.3126870212968796E-2</v>
      </c>
      <c r="S11">
        <v>0.54525188493740373</v>
      </c>
      <c r="T11">
        <v>0.29268853783712584</v>
      </c>
    </row>
    <row r="12" spans="1:20" x14ac:dyDescent="0.25">
      <c r="A12">
        <v>0.28962502424052677</v>
      </c>
      <c r="B12">
        <v>0.20690829286721055</v>
      </c>
      <c r="C12">
        <v>4.9769176580481335E-2</v>
      </c>
      <c r="D12">
        <v>0.27974766877249646</v>
      </c>
      <c r="E12">
        <v>0.59361747074557047</v>
      </c>
      <c r="F12">
        <v>0.84893712477190331</v>
      </c>
      <c r="G12">
        <v>-9.7629738463220844E-2</v>
      </c>
      <c r="H12">
        <v>-0.24463763939415423</v>
      </c>
      <c r="I12">
        <v>-0.63675987931226907</v>
      </c>
      <c r="J12">
        <v>4.4854390093304733E-2</v>
      </c>
      <c r="K12">
        <v>-0.53320664583709876</v>
      </c>
      <c r="L12">
        <v>-0.28097109209396703</v>
      </c>
      <c r="M12">
        <v>0.14337912988948201</v>
      </c>
      <c r="N12">
        <v>7.9600446336010267E-2</v>
      </c>
      <c r="O12">
        <v>0.4629628628274346</v>
      </c>
      <c r="P12">
        <v>0.46743523765275763</v>
      </c>
      <c r="Q12">
        <v>-9.5852146141564731E-2</v>
      </c>
      <c r="R12">
        <v>0.44336555990613524</v>
      </c>
      <c r="S12">
        <v>-6.293522130906215E-2</v>
      </c>
      <c r="T12">
        <v>-0.24134900254324312</v>
      </c>
    </row>
    <row r="13" spans="1:20" x14ac:dyDescent="0.25">
      <c r="A13">
        <v>0.34629722958352499</v>
      </c>
      <c r="B13">
        <v>-0.13609305024192014</v>
      </c>
      <c r="C13">
        <v>0.37940728415274522</v>
      </c>
      <c r="D13">
        <v>-0.12520147661833461</v>
      </c>
      <c r="E13">
        <v>-0.16220059294168368</v>
      </c>
      <c r="F13">
        <v>0.67863049985987567</v>
      </c>
      <c r="G13">
        <v>-3.8995798310750764E-2</v>
      </c>
      <c r="H13">
        <v>-0.87750579035956788</v>
      </c>
      <c r="I13">
        <v>0.57706443523431283</v>
      </c>
      <c r="J13">
        <v>0.38452135362563095</v>
      </c>
      <c r="K13">
        <v>-0.65325640808476448</v>
      </c>
      <c r="L13">
        <v>0.37335775433165647</v>
      </c>
      <c r="M13">
        <v>0.16007668392155044</v>
      </c>
      <c r="N13">
        <v>0.34045006374250691</v>
      </c>
      <c r="O13">
        <v>0.27149504398262886</v>
      </c>
      <c r="P13">
        <v>0.15753629065907984</v>
      </c>
      <c r="Q13">
        <v>0.56971542430012745</v>
      </c>
      <c r="R13">
        <v>-5.8677561392503512E-2</v>
      </c>
      <c r="S13">
        <v>1.404339034393208E-2</v>
      </c>
      <c r="T13">
        <v>0.17601877346218034</v>
      </c>
    </row>
    <row r="14" spans="1:20" x14ac:dyDescent="0.25">
      <c r="A14">
        <v>-0.37233465724247422</v>
      </c>
      <c r="B14">
        <v>0.57339114260989366</v>
      </c>
      <c r="C14">
        <v>-8.53849007464315E-2</v>
      </c>
      <c r="D14">
        <v>0.52361191072663382</v>
      </c>
      <c r="E14">
        <v>0.15885752828161859</v>
      </c>
      <c r="F14">
        <v>-0.89010667100508234</v>
      </c>
      <c r="G14">
        <v>0.60972795913044275</v>
      </c>
      <c r="H14">
        <v>1.0282319723616595</v>
      </c>
      <c r="I14">
        <v>-0.11681198604812174</v>
      </c>
      <c r="J14">
        <v>7.5869307154099508E-2</v>
      </c>
      <c r="K14">
        <v>-0.16965747116741159</v>
      </c>
      <c r="L14">
        <v>-0.15746898450157379</v>
      </c>
      <c r="M14">
        <v>0.21155241082701273</v>
      </c>
      <c r="N14">
        <v>-0.20600696127083656</v>
      </c>
      <c r="O14">
        <v>0.13899781454076127</v>
      </c>
      <c r="P14">
        <v>7.0569496121779068E-2</v>
      </c>
      <c r="Q14">
        <v>-6.5156868320405889E-2</v>
      </c>
      <c r="R14">
        <v>0.3484853296905675</v>
      </c>
      <c r="S14">
        <v>0.20343722264879927</v>
      </c>
      <c r="T14">
        <v>6.0082158984410973E-4</v>
      </c>
    </row>
    <row r="15" spans="1:20" x14ac:dyDescent="0.25">
      <c r="A15">
        <v>0.27257498662433916</v>
      </c>
      <c r="B15">
        <v>-0.29530553323012493</v>
      </c>
      <c r="C15">
        <v>9.96168844485079E-2</v>
      </c>
      <c r="D15">
        <v>-0.14483853517032019</v>
      </c>
      <c r="E15">
        <v>0.13245645164380926</v>
      </c>
      <c r="F15">
        <v>-0.16872794379770556</v>
      </c>
      <c r="G15">
        <v>0.20021208230302712</v>
      </c>
      <c r="H15">
        <v>-0.77064429812398383</v>
      </c>
      <c r="I15">
        <v>1.3700034849943568</v>
      </c>
      <c r="J15">
        <v>0.20081798405934326</v>
      </c>
      <c r="K15">
        <v>8.9796839954370294E-2</v>
      </c>
      <c r="L15">
        <v>0.27278953045134935</v>
      </c>
      <c r="M15">
        <v>-0.23455981645901894</v>
      </c>
      <c r="N15">
        <v>-4.7458570572481464E-2</v>
      </c>
      <c r="O15">
        <v>2.4349829179808328E-2</v>
      </c>
      <c r="P15">
        <v>-2.724272700515231E-2</v>
      </c>
      <c r="Q15">
        <v>0.4845262913179762</v>
      </c>
      <c r="R15">
        <v>-0.50918111927853216</v>
      </c>
      <c r="S15">
        <v>0.431197548335918</v>
      </c>
      <c r="T15">
        <v>0.37601339585249721</v>
      </c>
    </row>
    <row r="16" spans="1:20" x14ac:dyDescent="0.25">
      <c r="A16">
        <v>0.25053353955898189</v>
      </c>
      <c r="B16">
        <v>0.3842006937425006</v>
      </c>
      <c r="C16">
        <v>0.21564455126271059</v>
      </c>
      <c r="D16">
        <v>0.44493603456192432</v>
      </c>
      <c r="E16">
        <v>0.39748397368704735</v>
      </c>
      <c r="F16">
        <v>0.10285094423043635</v>
      </c>
      <c r="G16">
        <v>0.14114098246921863</v>
      </c>
      <c r="H16">
        <v>0.4201209565268807</v>
      </c>
      <c r="I16">
        <v>-0.58637139273203509</v>
      </c>
      <c r="J16">
        <v>-0.20875731270540229</v>
      </c>
      <c r="K16">
        <v>1.5074590524633973</v>
      </c>
      <c r="L16">
        <v>-6.5788734687782222E-2</v>
      </c>
      <c r="M16">
        <v>-0.12789492376427145</v>
      </c>
      <c r="N16">
        <v>-0.14647712805273339</v>
      </c>
      <c r="O16">
        <v>-1.6940536500914042E-2</v>
      </c>
      <c r="P16">
        <v>-0.1394262605031894</v>
      </c>
      <c r="Q16">
        <v>-0.17753727592160118</v>
      </c>
      <c r="R16">
        <v>7.2613885390682184E-2</v>
      </c>
      <c r="S16">
        <v>0.32303443216836675</v>
      </c>
      <c r="T16">
        <v>0.36425467645462312</v>
      </c>
    </row>
    <row r="17" spans="1:20" x14ac:dyDescent="0.25">
      <c r="A17">
        <v>-0.17425928111430436</v>
      </c>
      <c r="B17">
        <v>0.40584524527468846</v>
      </c>
      <c r="C17">
        <v>-8.4666601343956024E-2</v>
      </c>
      <c r="D17">
        <v>0.29917507546330563</v>
      </c>
      <c r="E17">
        <v>0.30157052071726603</v>
      </c>
      <c r="F17">
        <v>0.44851856040330557</v>
      </c>
      <c r="G17">
        <v>0.19939334340605255</v>
      </c>
      <c r="H17">
        <v>0.50892786343086815</v>
      </c>
      <c r="I17">
        <v>-0.74928459535073966</v>
      </c>
      <c r="J17">
        <v>0.32054797947132307</v>
      </c>
      <c r="K17">
        <v>-0.77206895368078832</v>
      </c>
      <c r="L17">
        <v>-0.44296575104311797</v>
      </c>
      <c r="M17">
        <v>0.74489124408934226</v>
      </c>
      <c r="N17">
        <v>0.45347936950181056</v>
      </c>
      <c r="O17">
        <v>0.21780836062788522</v>
      </c>
      <c r="P17">
        <v>0.62405813219065542</v>
      </c>
      <c r="Q17">
        <v>-0.37190739880553014</v>
      </c>
      <c r="R17">
        <v>0.17558100238210173</v>
      </c>
      <c r="S17">
        <v>-8.7590289673097343E-2</v>
      </c>
      <c r="T17">
        <v>-0.49220789209673027</v>
      </c>
    </row>
    <row r="18" spans="1:20" x14ac:dyDescent="0.25">
      <c r="A18">
        <v>0.34499057614308748</v>
      </c>
      <c r="B18">
        <v>0.3013841556842517</v>
      </c>
      <c r="C18">
        <v>0.44920418707007503</v>
      </c>
      <c r="D18">
        <v>0.19846655619728662</v>
      </c>
      <c r="E18">
        <v>-3.2482781958449169E-2</v>
      </c>
      <c r="F18">
        <v>0.62371778746444895</v>
      </c>
      <c r="G18">
        <v>5.9040412330256462E-2</v>
      </c>
      <c r="H18">
        <v>-1.0560430213737571</v>
      </c>
      <c r="I18">
        <v>-0.1478243309028491</v>
      </c>
      <c r="J18">
        <v>-2.6748719401170028E-2</v>
      </c>
      <c r="K18">
        <v>1.0684744640546162</v>
      </c>
      <c r="L18">
        <v>0.28492387096167615</v>
      </c>
      <c r="M18">
        <v>3.2609492435706263E-3</v>
      </c>
      <c r="N18">
        <v>4.3003485812008788E-2</v>
      </c>
      <c r="O18">
        <v>0.24916400915574691</v>
      </c>
      <c r="P18">
        <v>-0.50592668165652366</v>
      </c>
      <c r="Q18">
        <v>0.32526781041705355</v>
      </c>
      <c r="R18">
        <v>-0.10852148501067564</v>
      </c>
      <c r="S18">
        <v>0.38979566770646235</v>
      </c>
      <c r="T18">
        <v>0.53578172202770369</v>
      </c>
    </row>
    <row r="19" spans="1:20" x14ac:dyDescent="0.25">
      <c r="A19">
        <v>0.44311161796978821</v>
      </c>
      <c r="B19">
        <v>0.39287252362673797</v>
      </c>
      <c r="C19">
        <v>0.20154502893456502</v>
      </c>
      <c r="D19">
        <v>0.31871650510576544</v>
      </c>
      <c r="E19">
        <v>-7.7771027291859043E-2</v>
      </c>
      <c r="F19">
        <v>-0.4170478014854494</v>
      </c>
      <c r="G19">
        <v>-0.21977785304012898</v>
      </c>
      <c r="H19">
        <v>0.19323695017263831</v>
      </c>
      <c r="I19">
        <v>-0.60999037512203602</v>
      </c>
      <c r="J19">
        <v>0.32591290485857538</v>
      </c>
      <c r="K19">
        <v>0.21721662426408939</v>
      </c>
      <c r="L19">
        <v>-0.32358215578164101</v>
      </c>
      <c r="M19">
        <v>0.1256636728821211</v>
      </c>
      <c r="N19">
        <v>-0.13941289826361877</v>
      </c>
      <c r="O19">
        <v>-7.0301663797975337E-3</v>
      </c>
      <c r="P19">
        <v>0.19109345922788634</v>
      </c>
      <c r="Q19">
        <v>-0.34334767358281426</v>
      </c>
      <c r="R19">
        <v>-5.1126824243216303E-2</v>
      </c>
      <c r="S19">
        <v>-6.8167806654683055E-2</v>
      </c>
      <c r="T19">
        <v>-9.7367794152130073E-3</v>
      </c>
    </row>
    <row r="20" spans="1:20" x14ac:dyDescent="0.25">
      <c r="A20">
        <v>0.47260356762955513</v>
      </c>
      <c r="B20">
        <v>0.3738527451692778</v>
      </c>
      <c r="C20">
        <v>0.23066733045821791</v>
      </c>
      <c r="D20">
        <v>0.37958627808958972</v>
      </c>
      <c r="E20">
        <v>-0.12955424827172293</v>
      </c>
      <c r="F20">
        <v>8.3124623593773844E-2</v>
      </c>
      <c r="G20">
        <v>-0.19036197253257736</v>
      </c>
      <c r="H20">
        <v>0.34286839188705825</v>
      </c>
      <c r="I20">
        <v>-0.68799416004656821</v>
      </c>
      <c r="J20">
        <v>0.36572128782022684</v>
      </c>
      <c r="K20">
        <v>-2.1512388198824395E-2</v>
      </c>
      <c r="L20">
        <v>-4.9242281837373982E-2</v>
      </c>
      <c r="M20">
        <v>0.67972406775280381</v>
      </c>
      <c r="N20">
        <v>0.44900608464329328</v>
      </c>
      <c r="O20">
        <v>-0.10029282021932419</v>
      </c>
      <c r="P20">
        <v>0.11730385331469691</v>
      </c>
      <c r="Q20">
        <v>-0.75024508767858511</v>
      </c>
      <c r="R20">
        <v>-0.29863580364606951</v>
      </c>
      <c r="S20">
        <v>-0.34777221379251327</v>
      </c>
      <c r="T20">
        <v>-0.1311483751606882</v>
      </c>
    </row>
    <row r="21" spans="1:20" x14ac:dyDescent="0.25">
      <c r="A21">
        <v>0.20365901159600269</v>
      </c>
      <c r="B21">
        <v>-0.24163765851311761</v>
      </c>
      <c r="C21">
        <v>0.21144782600187836</v>
      </c>
      <c r="D21">
        <v>1.8648903695375673E-3</v>
      </c>
      <c r="E21">
        <v>0.13956594664471025</v>
      </c>
      <c r="F21">
        <v>-0.74805032991256915</v>
      </c>
      <c r="G21">
        <v>2.0243459554932671E-2</v>
      </c>
      <c r="H21">
        <v>0.2079899636244314</v>
      </c>
      <c r="I21">
        <v>1.139393365071937</v>
      </c>
      <c r="J21">
        <v>0.18174205902095636</v>
      </c>
      <c r="K21">
        <v>-0.52394053851663525</v>
      </c>
      <c r="L21">
        <v>0.35588243418200732</v>
      </c>
      <c r="M21">
        <v>-0.13018976331755305</v>
      </c>
      <c r="N21">
        <v>-4.7057484451757718E-2</v>
      </c>
      <c r="O21">
        <v>-7.7487999431813892E-2</v>
      </c>
      <c r="P21">
        <v>0.48483164710847398</v>
      </c>
      <c r="Q21">
        <v>0.34236825873797189</v>
      </c>
      <c r="R21">
        <v>0.38086183641356564</v>
      </c>
      <c r="S21">
        <v>-8.9057831749711672E-2</v>
      </c>
      <c r="T21">
        <v>-2.625742277057231E-2</v>
      </c>
    </row>
    <row r="22" spans="1:20" x14ac:dyDescent="0.25">
      <c r="A22">
        <v>0.22913662351175104</v>
      </c>
      <c r="B22">
        <v>-0.28981931200487149</v>
      </c>
      <c r="C22">
        <v>0.25109400042374735</v>
      </c>
      <c r="D22">
        <v>-0.43585553965501539</v>
      </c>
      <c r="E22">
        <v>0.1217408238224173</v>
      </c>
      <c r="F22">
        <v>0.32490652144499127</v>
      </c>
      <c r="G22">
        <v>0.18931974476739472</v>
      </c>
      <c r="H22">
        <v>0.23712001336446439</v>
      </c>
      <c r="I22">
        <v>0.2735527611553446</v>
      </c>
      <c r="J22">
        <v>0.15513827796814963</v>
      </c>
      <c r="K22">
        <v>-0.74519273924545881</v>
      </c>
      <c r="L22">
        <v>-0.23961390883114422</v>
      </c>
      <c r="M22">
        <v>0.20563867192838736</v>
      </c>
      <c r="N22">
        <v>0.50961268005092264</v>
      </c>
      <c r="O22">
        <v>0.13727142581299157</v>
      </c>
      <c r="P22">
        <v>0.2646172400052329</v>
      </c>
      <c r="Q22">
        <v>-9.7129432870808025E-2</v>
      </c>
      <c r="R22">
        <v>0.16976358038808487</v>
      </c>
      <c r="S22">
        <v>-0.35675175391641117</v>
      </c>
      <c r="T22">
        <v>-0.17945796528349647</v>
      </c>
    </row>
    <row r="23" spans="1:20" x14ac:dyDescent="0.25">
      <c r="A23">
        <v>-2.2157125584632349E-2</v>
      </c>
      <c r="B23">
        <v>-9.6319837075869441E-3</v>
      </c>
      <c r="C23">
        <v>0.32650031062824914</v>
      </c>
      <c r="D23">
        <v>0.20753487196684423</v>
      </c>
      <c r="E23">
        <v>-1.9980488520769332E-2</v>
      </c>
      <c r="F23">
        <v>0.28280622121983851</v>
      </c>
      <c r="G23">
        <v>0.35652888242429143</v>
      </c>
      <c r="H23">
        <v>5.1215010257833565E-2</v>
      </c>
      <c r="I23">
        <v>0.2705878641810443</v>
      </c>
      <c r="J23">
        <v>8.6303506967028171E-3</v>
      </c>
      <c r="K23">
        <v>0.23952857535454425</v>
      </c>
      <c r="L23">
        <v>-4.048599594461505E-2</v>
      </c>
      <c r="M23">
        <v>7.1271684516531056E-2</v>
      </c>
      <c r="N23">
        <v>9.7468819262049297E-2</v>
      </c>
      <c r="O23">
        <v>0.36695652483217911</v>
      </c>
      <c r="P23">
        <v>0.33069530223198512</v>
      </c>
    </row>
    <row r="24" spans="1:20" x14ac:dyDescent="0.25">
      <c r="A24">
        <v>-0.104971458716635</v>
      </c>
      <c r="B24">
        <v>-1.0798888334358614</v>
      </c>
      <c r="C24">
        <v>0.9279876033117177</v>
      </c>
      <c r="D24">
        <v>-0.15344696092822088</v>
      </c>
      <c r="E24">
        <v>-0.8991562486445559</v>
      </c>
      <c r="F24">
        <v>0.402101273730053</v>
      </c>
      <c r="G24">
        <v>0.77634320990832373</v>
      </c>
      <c r="H24">
        <v>-0.24615306932256611</v>
      </c>
      <c r="I24">
        <v>0.15818061292967223</v>
      </c>
      <c r="J24">
        <v>-1.0759296929159512</v>
      </c>
      <c r="K24">
        <v>0.44265853900265606</v>
      </c>
      <c r="L24">
        <v>-0.75566527102577152</v>
      </c>
      <c r="M24">
        <v>-1.2649115714002113E-2</v>
      </c>
      <c r="N24">
        <v>0.27178184701762009</v>
      </c>
      <c r="O24">
        <v>0.63403293517962478</v>
      </c>
      <c r="P24">
        <v>0.6317158491314564</v>
      </c>
    </row>
    <row r="25" spans="1:20" x14ac:dyDescent="0.25">
      <c r="A25">
        <v>0.86989601544860706</v>
      </c>
      <c r="B25">
        <v>0.64674273321764963</v>
      </c>
      <c r="C25">
        <v>-0.86127839485390201</v>
      </c>
      <c r="D25">
        <v>-0.95135735908398578</v>
      </c>
      <c r="E25">
        <v>0.44415931833525768</v>
      </c>
      <c r="F25">
        <v>0.40207385465691931</v>
      </c>
      <c r="G25">
        <v>-0.51711627528116444</v>
      </c>
      <c r="H25">
        <v>0.52901999302980363</v>
      </c>
      <c r="I25">
        <v>-1.2345137826281909</v>
      </c>
      <c r="J25">
        <v>0.49755125086130003</v>
      </c>
      <c r="K25">
        <v>0.4467177808905351</v>
      </c>
      <c r="L25">
        <v>2.3464423258085765E-3</v>
      </c>
      <c r="M25">
        <v>0.70710341323380554</v>
      </c>
      <c r="N25">
        <v>0.74589401755681906</v>
      </c>
      <c r="O25">
        <v>-1.0945756097512276</v>
      </c>
      <c r="P25">
        <v>6.709104124719048E-2</v>
      </c>
    </row>
    <row r="26" spans="1:20" x14ac:dyDescent="0.25">
      <c r="A26">
        <v>-0.55936441622500144</v>
      </c>
      <c r="B26">
        <v>0.76915107336181121</v>
      </c>
      <c r="C26">
        <v>0.39602640885829388</v>
      </c>
      <c r="D26">
        <v>0.86568793780273745</v>
      </c>
      <c r="E26">
        <v>-0.43049336964926765</v>
      </c>
      <c r="F26">
        <v>-1.2274380464176446</v>
      </c>
      <c r="G26">
        <v>-0.68330863715694046</v>
      </c>
      <c r="H26">
        <v>1.0330032190043235</v>
      </c>
      <c r="I26">
        <v>0.62704647726702989</v>
      </c>
      <c r="J26">
        <v>0.22168734503558926</v>
      </c>
      <c r="K26">
        <v>-1.007633544312778</v>
      </c>
      <c r="L26">
        <v>-0.3683144779797779</v>
      </c>
      <c r="M26">
        <v>0.13708918328864136</v>
      </c>
      <c r="N26">
        <v>-0.72606384987386696</v>
      </c>
      <c r="O26">
        <v>0.59502989950368779</v>
      </c>
      <c r="P26">
        <v>-1.0169219041286046</v>
      </c>
    </row>
    <row r="27" spans="1:20" x14ac:dyDescent="0.25">
      <c r="A27">
        <v>-0.37116719572762619</v>
      </c>
      <c r="B27">
        <v>-0.79640004663783637</v>
      </c>
      <c r="C27">
        <v>-0.27996129455324315</v>
      </c>
      <c r="D27">
        <v>-0.30015520927042488</v>
      </c>
      <c r="E27">
        <v>0.64659132660745022</v>
      </c>
      <c r="F27">
        <v>-5.6012665137674139E-2</v>
      </c>
      <c r="G27">
        <v>0.60676432002459957</v>
      </c>
      <c r="H27">
        <v>-1.4555670875970215</v>
      </c>
      <c r="I27">
        <v>0.72237217833833522</v>
      </c>
      <c r="J27">
        <v>0.2365004819319956</v>
      </c>
      <c r="K27">
        <v>-1.0100668087125926</v>
      </c>
      <c r="L27">
        <v>0.88115459340190827</v>
      </c>
      <c r="M27">
        <v>-1.0784886749635978</v>
      </c>
      <c r="N27">
        <v>-0.71168324754609147</v>
      </c>
      <c r="O27">
        <v>-0.19860900184673194</v>
      </c>
      <c r="P27">
        <v>-0.29246862322660883</v>
      </c>
    </row>
    <row r="28" spans="1:20" x14ac:dyDescent="0.25">
      <c r="A28">
        <v>0.1751877831638268</v>
      </c>
      <c r="B28">
        <v>-0.12376595157196575</v>
      </c>
      <c r="C28">
        <v>-0.13252846192048034</v>
      </c>
      <c r="D28">
        <v>-7.0056737176509339E-3</v>
      </c>
    </row>
    <row r="29" spans="1:20" x14ac:dyDescent="0.25">
      <c r="A29" t="s">
        <v>7</v>
      </c>
    </row>
    <row r="30" spans="1:20" x14ac:dyDescent="0.25">
      <c r="A30">
        <v>20</v>
      </c>
    </row>
    <row r="31" spans="1:20" x14ac:dyDescent="0.25">
      <c r="A31">
        <v>1</v>
      </c>
    </row>
    <row r="32" spans="1:20" x14ac:dyDescent="0.25">
      <c r="A32">
        <v>1</v>
      </c>
    </row>
    <row r="33" spans="1:20" x14ac:dyDescent="0.25">
      <c r="A33" t="s">
        <v>6</v>
      </c>
    </row>
    <row r="34" spans="1:20" x14ac:dyDescent="0.25">
      <c r="A34">
        <v>16</v>
      </c>
    </row>
    <row r="35" spans="1:20" x14ac:dyDescent="0.25">
      <c r="A35">
        <v>1.3267995763155105</v>
      </c>
      <c r="B35">
        <v>1.8628394683340483</v>
      </c>
      <c r="C35">
        <v>1.4561842074527116</v>
      </c>
      <c r="D35">
        <v>1.8828785696735371</v>
      </c>
      <c r="E35">
        <v>-0.52713838033034</v>
      </c>
      <c r="F35">
        <v>-0.99055556125493482</v>
      </c>
      <c r="G35">
        <v>-0.46014615010844623</v>
      </c>
      <c r="H35">
        <v>-1.4440103233319206</v>
      </c>
      <c r="I35">
        <v>0.10172382481586087</v>
      </c>
      <c r="J35">
        <v>-1.1940500915916696</v>
      </c>
      <c r="K35">
        <v>-1.2297983040197396</v>
      </c>
      <c r="L35">
        <v>-0.23507799939879084</v>
      </c>
      <c r="M35">
        <v>-4.0502643847517214E-2</v>
      </c>
      <c r="N35">
        <v>-0.64937672110838784</v>
      </c>
      <c r="O35">
        <v>0.12516160076050978</v>
      </c>
      <c r="P35">
        <v>-0.78174556157080821</v>
      </c>
      <c r="Q35">
        <v>-0.4792468473387852</v>
      </c>
      <c r="R35">
        <v>-1.0224638220461439</v>
      </c>
      <c r="S35">
        <v>-0.77218721808403401</v>
      </c>
      <c r="T35">
        <v>-0.56653479307042953</v>
      </c>
    </row>
    <row r="36" spans="1:20" x14ac:dyDescent="0.25">
      <c r="A36">
        <v>0.38997381342452841</v>
      </c>
      <c r="B36">
        <v>0.49689814299598761</v>
      </c>
      <c r="C36">
        <v>0.45192219098406478</v>
      </c>
      <c r="D36">
        <v>0.49207342396408121</v>
      </c>
      <c r="E36">
        <v>-1.2800014099127179</v>
      </c>
      <c r="F36">
        <v>-2.3099348651125569E-2</v>
      </c>
      <c r="G36">
        <v>-1.2771392927658822</v>
      </c>
      <c r="H36">
        <v>0.26665641163608345</v>
      </c>
      <c r="I36">
        <v>0.25381178386746955</v>
      </c>
      <c r="J36">
        <v>0.31431549896461275</v>
      </c>
      <c r="K36">
        <v>3.3585878392761233E-2</v>
      </c>
      <c r="L36">
        <v>0.59766680066941547</v>
      </c>
      <c r="M36">
        <v>0.78189561706843214</v>
      </c>
      <c r="N36">
        <v>0.66344199999873199</v>
      </c>
      <c r="O36">
        <v>0.21480124296530695</v>
      </c>
      <c r="P36">
        <v>0.21777964926393265</v>
      </c>
      <c r="Q36">
        <v>0.43270537042673923</v>
      </c>
      <c r="R36">
        <v>-8.6858911331518199E-2</v>
      </c>
      <c r="S36">
        <v>-0.97494196961600132</v>
      </c>
      <c r="T36">
        <v>-0.53049759581399436</v>
      </c>
    </row>
    <row r="37" spans="1:20" x14ac:dyDescent="0.25">
      <c r="A37">
        <v>1.4958162758642883</v>
      </c>
      <c r="B37">
        <v>1.6600608971277575</v>
      </c>
      <c r="C37">
        <v>1.5248351432437626</v>
      </c>
      <c r="D37">
        <v>1.9537725296951403</v>
      </c>
      <c r="E37">
        <v>-0.51666475426760583</v>
      </c>
      <c r="F37">
        <v>-0.76837450590236434</v>
      </c>
      <c r="G37">
        <v>-0.23596744328818833</v>
      </c>
      <c r="H37">
        <v>-0.77039802029617843</v>
      </c>
      <c r="I37">
        <v>-0.25190681500043738</v>
      </c>
      <c r="J37">
        <v>-0.94430355418140355</v>
      </c>
      <c r="K37">
        <v>-0.41869372832047941</v>
      </c>
      <c r="L37">
        <v>-0.95126121695529453</v>
      </c>
      <c r="M37">
        <v>-0.61099934887361251</v>
      </c>
      <c r="N37">
        <v>-0.90397349183935416</v>
      </c>
      <c r="O37">
        <v>-0.39836084649349229</v>
      </c>
      <c r="P37">
        <v>-1.2936112718142634</v>
      </c>
      <c r="Q37">
        <v>-1.1117107716784491</v>
      </c>
      <c r="R37">
        <v>-0.85143739531327323</v>
      </c>
      <c r="S37">
        <v>-0.81454470234733267</v>
      </c>
      <c r="T37">
        <v>-0.34089603350244047</v>
      </c>
    </row>
    <row r="38" spans="1:20" x14ac:dyDescent="0.25">
      <c r="A38">
        <v>0.54651988172244281</v>
      </c>
      <c r="B38">
        <v>0.78537767907340739</v>
      </c>
      <c r="C38">
        <v>0.579596217534321</v>
      </c>
      <c r="D38">
        <v>0.88070093558080087</v>
      </c>
      <c r="E38">
        <v>5.6881229979107002E-2</v>
      </c>
      <c r="F38">
        <v>0.40893398675158382</v>
      </c>
      <c r="G38">
        <v>0.1043493959108666</v>
      </c>
      <c r="H38">
        <v>0.59315811757943182</v>
      </c>
      <c r="I38">
        <v>-0.46333698635159359</v>
      </c>
      <c r="J38">
        <v>0.31390690939409988</v>
      </c>
      <c r="K38">
        <v>0.39909458323237973</v>
      </c>
      <c r="L38">
        <v>-0.143760743561471</v>
      </c>
      <c r="M38">
        <v>0.1078194450483438</v>
      </c>
      <c r="N38">
        <v>-0.34690845276324461</v>
      </c>
      <c r="O38">
        <v>-5.3296089233538298E-2</v>
      </c>
      <c r="P38">
        <v>-0.39756197942739063</v>
      </c>
      <c r="Q38">
        <v>-0.48565673381575375</v>
      </c>
      <c r="R38">
        <v>-0.18280333280064123</v>
      </c>
      <c r="S38">
        <v>-1.806612444601277</v>
      </c>
      <c r="T38">
        <v>-2.5260211326607225</v>
      </c>
    </row>
    <row r="39" spans="1:20" x14ac:dyDescent="0.25">
      <c r="A39">
        <v>-0.25348214604622765</v>
      </c>
      <c r="B39">
        <v>-0.41503706815145347</v>
      </c>
      <c r="C39">
        <v>-0.18969731782720661</v>
      </c>
      <c r="D39">
        <v>-0.31164621484387062</v>
      </c>
      <c r="E39">
        <v>6.2362769352939933E-2</v>
      </c>
      <c r="F39">
        <v>0.46217857150815111</v>
      </c>
      <c r="G39">
        <v>0.48861719531149578</v>
      </c>
      <c r="H39">
        <v>-0.45087349259448189</v>
      </c>
      <c r="I39">
        <v>0.2189279353459728</v>
      </c>
      <c r="J39">
        <v>-0.21901499827546028</v>
      </c>
      <c r="K39">
        <v>0.38715676056220705</v>
      </c>
      <c r="L39">
        <v>0.66083284125083253</v>
      </c>
      <c r="M39">
        <v>0.25604592910598578</v>
      </c>
      <c r="N39">
        <v>-3.383586636032232E-2</v>
      </c>
      <c r="O39">
        <v>-0.21881953065949394</v>
      </c>
      <c r="P39">
        <v>0.4492291550240225</v>
      </c>
      <c r="Q39">
        <v>0.10842358403022005</v>
      </c>
      <c r="R39">
        <v>-0.11934399087247448</v>
      </c>
      <c r="S39">
        <v>-3.3975785080474011E-2</v>
      </c>
      <c r="T39">
        <v>-6.4345279626713547E-2</v>
      </c>
    </row>
    <row r="40" spans="1:20" x14ac:dyDescent="0.25">
      <c r="A40">
        <v>0.56453021159610539</v>
      </c>
      <c r="B40">
        <v>0.9893167991015418</v>
      </c>
      <c r="C40">
        <v>0.39745140085649494</v>
      </c>
      <c r="D40">
        <v>1.0554996548944178</v>
      </c>
      <c r="E40">
        <v>0.8337325105725204</v>
      </c>
      <c r="F40">
        <v>0.38602235855411743</v>
      </c>
      <c r="G40">
        <v>0.26304708008519445</v>
      </c>
      <c r="H40">
        <v>0.75436875616520505</v>
      </c>
      <c r="I40">
        <v>3.1078501782829063E-2</v>
      </c>
      <c r="J40">
        <v>0.63756801101735516</v>
      </c>
      <c r="K40">
        <v>0.15755717377759743</v>
      </c>
      <c r="L40">
        <v>-0.19036161624490219</v>
      </c>
      <c r="M40">
        <v>-0.12143142095969586</v>
      </c>
      <c r="N40">
        <v>-0.31753208491624041</v>
      </c>
      <c r="O40">
        <v>-6.6136588534175617E-2</v>
      </c>
      <c r="P40">
        <v>5.4440681621963208E-2</v>
      </c>
      <c r="Q40">
        <v>-0.38846439702311236</v>
      </c>
      <c r="R40">
        <v>3.1152984697019721E-2</v>
      </c>
      <c r="S40">
        <v>-0.36917113524999484</v>
      </c>
      <c r="T40">
        <v>-0.32896698209388803</v>
      </c>
    </row>
    <row r="41" spans="1:20" x14ac:dyDescent="0.25">
      <c r="A41">
        <v>0.67224850867590469</v>
      </c>
      <c r="B41">
        <v>0.84387296548928292</v>
      </c>
      <c r="C41">
        <v>0.69930825168178179</v>
      </c>
      <c r="D41">
        <v>0.87257027912380225</v>
      </c>
      <c r="E41">
        <v>0.68493037680574742</v>
      </c>
      <c r="F41">
        <v>0.2975768030080147</v>
      </c>
      <c r="G41">
        <v>0.26084736046887946</v>
      </c>
      <c r="H41">
        <v>0.85821415547571656</v>
      </c>
      <c r="I41">
        <v>0.38917834542398999</v>
      </c>
      <c r="J41">
        <v>0.73669514338712905</v>
      </c>
      <c r="K41">
        <v>-5.8147833741864094E-2</v>
      </c>
      <c r="L41">
        <v>-0.22053105657981883</v>
      </c>
      <c r="M41">
        <v>8.4622326918741039E-2</v>
      </c>
      <c r="N41">
        <v>1.7271846267976725E-2</v>
      </c>
      <c r="O41">
        <v>0.21956741117887441</v>
      </c>
      <c r="P41">
        <v>0.14333048157942924</v>
      </c>
      <c r="Q41">
        <v>-0.3594035515557667</v>
      </c>
      <c r="R41">
        <v>0.49864901658121347</v>
      </c>
      <c r="S41">
        <v>0.35867277861632163</v>
      </c>
      <c r="T41">
        <v>0.21718789733467805</v>
      </c>
    </row>
    <row r="42" spans="1:20" x14ac:dyDescent="0.25">
      <c r="A42">
        <v>-0.12794617959717242</v>
      </c>
      <c r="B42">
        <v>-0.31482607739055535</v>
      </c>
      <c r="C42">
        <v>-0.21336377103381887</v>
      </c>
      <c r="D42">
        <v>-0.13712827596213012</v>
      </c>
      <c r="E42">
        <v>1.9729599513972747E-2</v>
      </c>
      <c r="F42">
        <v>0.65692290203511672</v>
      </c>
      <c r="G42">
        <v>0.43484530675684702</v>
      </c>
      <c r="H42">
        <v>-1.2310829335310738</v>
      </c>
      <c r="I42">
        <v>0.32148059048822147</v>
      </c>
      <c r="J42">
        <v>-0.42738415937970803</v>
      </c>
      <c r="K42">
        <v>-0.19448240500945502</v>
      </c>
      <c r="L42">
        <v>1.1452179262608112E-2</v>
      </c>
      <c r="M42">
        <v>0.22392945875424466</v>
      </c>
      <c r="N42">
        <v>4.2014761092523181E-2</v>
      </c>
      <c r="O42">
        <v>-0.42392025456954391</v>
      </c>
      <c r="P42">
        <v>0.34806799492075158</v>
      </c>
      <c r="Q42">
        <v>-0.3226813487049936</v>
      </c>
      <c r="R42">
        <v>-0.90721935782973628</v>
      </c>
      <c r="S42">
        <v>0.20392098694471517</v>
      </c>
      <c r="T42">
        <v>0.51955652062680668</v>
      </c>
    </row>
    <row r="43" spans="1:20" x14ac:dyDescent="0.25">
      <c r="A43">
        <v>1.3125046831303939</v>
      </c>
      <c r="B43">
        <v>1.7393912432605483</v>
      </c>
      <c r="C43">
        <v>1.5165122960369137</v>
      </c>
      <c r="D43">
        <v>1.770934769387472</v>
      </c>
      <c r="E43">
        <v>-0.29339128737501974</v>
      </c>
      <c r="F43">
        <v>-0.93583366615403574</v>
      </c>
      <c r="G43">
        <v>-0.4314822824494059</v>
      </c>
      <c r="H43">
        <v>-0.28717725711558473</v>
      </c>
      <c r="I43">
        <v>-4.6049674057641245E-2</v>
      </c>
      <c r="J43">
        <v>-0.69082950655174213</v>
      </c>
      <c r="K43">
        <v>-0.93122258947856351</v>
      </c>
      <c r="L43">
        <v>-0.50194088461783404</v>
      </c>
      <c r="M43">
        <v>-0.16290215787830817</v>
      </c>
      <c r="N43">
        <v>-1.0772758213262434</v>
      </c>
      <c r="O43">
        <v>-0.39028692566976381</v>
      </c>
      <c r="P43">
        <v>-1.1257063638167841</v>
      </c>
      <c r="Q43">
        <v>-1.1474747639753182</v>
      </c>
      <c r="R43">
        <v>-1.3546348623697939</v>
      </c>
      <c r="S43">
        <v>-1.0466732896706128</v>
      </c>
      <c r="T43">
        <v>0.35521159282558024</v>
      </c>
    </row>
    <row r="44" spans="1:20" x14ac:dyDescent="0.25">
      <c r="A44">
        <v>1.1604369252890827</v>
      </c>
      <c r="B44">
        <v>1.692818030050633</v>
      </c>
      <c r="C44">
        <v>1.3117560252688052</v>
      </c>
      <c r="D44">
        <v>1.5755095659603335</v>
      </c>
      <c r="E44">
        <v>-0.14493812407572049</v>
      </c>
      <c r="F44">
        <v>-0.6685478167783484</v>
      </c>
      <c r="G44">
        <v>-0.26284013199939882</v>
      </c>
      <c r="H44">
        <v>-0.46454331753572481</v>
      </c>
      <c r="I44">
        <v>-0.23013441224734429</v>
      </c>
      <c r="J44">
        <v>-0.53279950032274925</v>
      </c>
      <c r="K44">
        <v>-0.20665238853760301</v>
      </c>
      <c r="L44">
        <v>-0.57384920128878436</v>
      </c>
      <c r="M44">
        <v>-0.74264548474487702</v>
      </c>
      <c r="N44">
        <v>-1.0587677787751817</v>
      </c>
      <c r="O44">
        <v>-0.28969575272542297</v>
      </c>
      <c r="P44">
        <v>-1.2538279856123822</v>
      </c>
      <c r="Q44">
        <v>-1.1785010742159818</v>
      </c>
      <c r="R44">
        <v>-0.91200379272879295</v>
      </c>
      <c r="S44">
        <v>-0.67357949304535825</v>
      </c>
      <c r="T44">
        <v>-0.431149151688142</v>
      </c>
    </row>
    <row r="45" spans="1:20" x14ac:dyDescent="0.25">
      <c r="A45">
        <v>-0.19325907034088216</v>
      </c>
      <c r="B45">
        <v>-0.27873621810553773</v>
      </c>
      <c r="C45">
        <v>-0.2877479082206521</v>
      </c>
      <c r="D45">
        <v>-0.23923479505476314</v>
      </c>
      <c r="E45">
        <v>-8.1421482161144962E-2</v>
      </c>
      <c r="F45">
        <v>0.59527166028847833</v>
      </c>
      <c r="G45">
        <v>0.29279382786672131</v>
      </c>
      <c r="H45">
        <v>-1.2934585410526733</v>
      </c>
      <c r="I45">
        <v>0.42391180448506449</v>
      </c>
      <c r="J45">
        <v>-0.5727961348091789</v>
      </c>
      <c r="K45">
        <v>-6.7106368723347479E-2</v>
      </c>
      <c r="L45">
        <v>4.8702809171996278E-2</v>
      </c>
      <c r="M45">
        <v>0.26189009542086056</v>
      </c>
      <c r="N45">
        <v>-0.13712844094983506</v>
      </c>
      <c r="O45">
        <v>-0.75141568726980335</v>
      </c>
      <c r="P45">
        <v>0.51029898498269588</v>
      </c>
      <c r="Q45">
        <v>-0.15170160759541151</v>
      </c>
      <c r="R45">
        <v>-0.58366967496325417</v>
      </c>
      <c r="S45">
        <v>0.37967367299309096</v>
      </c>
      <c r="T45">
        <v>0.5898517463096089</v>
      </c>
    </row>
    <row r="46" spans="1:20" x14ac:dyDescent="0.25">
      <c r="A46">
        <v>0.49028668386329488</v>
      </c>
      <c r="B46">
        <v>-0.87281707883760506</v>
      </c>
      <c r="C46">
        <v>0.38099863831628661</v>
      </c>
      <c r="D46">
        <v>-0.88144757468976875</v>
      </c>
      <c r="E46">
        <v>0.53187372415108991</v>
      </c>
      <c r="F46">
        <v>-0.21355831446952842</v>
      </c>
      <c r="G46">
        <v>-0.57802511190740047</v>
      </c>
      <c r="H46">
        <v>-1.5142473398260545</v>
      </c>
      <c r="I46">
        <v>5.5715669307556309E-2</v>
      </c>
      <c r="J46">
        <v>-3.738589658903109E-2</v>
      </c>
      <c r="K46">
        <v>1.0342087457417062</v>
      </c>
      <c r="L46">
        <v>0.8275516064274222</v>
      </c>
      <c r="M46">
        <v>-0.29827194319002903</v>
      </c>
      <c r="N46">
        <v>0.17146640353716663</v>
      </c>
      <c r="O46">
        <v>0.48334668361694133</v>
      </c>
      <c r="P46">
        <v>0.44180030193693687</v>
      </c>
      <c r="Q46">
        <v>-0.71903476431975766</v>
      </c>
      <c r="R46">
        <v>-1.6441312811177595</v>
      </c>
      <c r="S46">
        <v>0.38500154592463326</v>
      </c>
      <c r="T46">
        <v>-1.082851165381528</v>
      </c>
    </row>
    <row r="47" spans="1:20" x14ac:dyDescent="0.25">
      <c r="A47">
        <v>0.71162696355918587</v>
      </c>
      <c r="B47">
        <v>0.97920203972073816</v>
      </c>
      <c r="C47">
        <v>0.51419235549128339</v>
      </c>
      <c r="D47">
        <v>1.1468382059212539</v>
      </c>
      <c r="E47">
        <v>0.73214398602159347</v>
      </c>
      <c r="F47">
        <v>0.60177172365774367</v>
      </c>
      <c r="G47">
        <v>0.30413503454015717</v>
      </c>
      <c r="H47">
        <v>-0.88703253567681184</v>
      </c>
      <c r="I47">
        <v>-1.5252503235012147E-2</v>
      </c>
      <c r="J47">
        <v>0.19995361607733955</v>
      </c>
      <c r="K47">
        <v>-0.37010302610003587</v>
      </c>
      <c r="L47">
        <v>-0.70744847764459651</v>
      </c>
      <c r="M47">
        <v>-0.13852141133245904</v>
      </c>
      <c r="N47">
        <v>-0.68891208170499774</v>
      </c>
      <c r="O47">
        <v>0.44066961083900796</v>
      </c>
      <c r="P47">
        <v>-1.0345413553681578E-3</v>
      </c>
      <c r="Q47">
        <v>5.1359084691785808E-2</v>
      </c>
      <c r="R47">
        <v>0.1118475540299143</v>
      </c>
      <c r="S47">
        <v>-0.24072348697556104</v>
      </c>
      <c r="T47">
        <v>6.8729028364937508E-2</v>
      </c>
    </row>
    <row r="48" spans="1:20" x14ac:dyDescent="0.25">
      <c r="A48">
        <v>-1.7712154001908915</v>
      </c>
      <c r="B48">
        <v>2.032027108791477</v>
      </c>
      <c r="C48">
        <v>-2.0511898416201784</v>
      </c>
      <c r="D48">
        <v>1.9105531622708776</v>
      </c>
      <c r="E48">
        <v>0.21279578200885158</v>
      </c>
      <c r="F48">
        <v>0.54165074073412511</v>
      </c>
      <c r="G48">
        <v>-0.13814995535552804</v>
      </c>
      <c r="H48">
        <v>0.39035617995973998</v>
      </c>
      <c r="I48">
        <v>0.6069433052280172</v>
      </c>
      <c r="J48">
        <v>-0.44575256848958245</v>
      </c>
      <c r="K48">
        <v>-0.23807112115346257</v>
      </c>
      <c r="L48">
        <v>0.18219464947651115</v>
      </c>
      <c r="M48">
        <v>0.37275833337715136</v>
      </c>
      <c r="N48">
        <v>0.46807972790229629</v>
      </c>
      <c r="O48">
        <v>0.1108159533189188</v>
      </c>
      <c r="P48">
        <v>-1.4061921931056192E-2</v>
      </c>
      <c r="Q48">
        <v>0.18238111750459157</v>
      </c>
      <c r="R48">
        <v>-0.12054429015862253</v>
      </c>
      <c r="S48">
        <v>-0.5533851028198028</v>
      </c>
      <c r="T48">
        <v>0.62239165747867786</v>
      </c>
    </row>
    <row r="49" spans="1:20" x14ac:dyDescent="0.25">
      <c r="A49">
        <v>-0.32639370409074464</v>
      </c>
      <c r="B49">
        <v>-0.4200166728534907</v>
      </c>
      <c r="C49">
        <v>-0.27301911703734916</v>
      </c>
      <c r="D49">
        <v>-0.38035879683630142</v>
      </c>
      <c r="E49">
        <v>3.3846885517004821E-2</v>
      </c>
      <c r="F49">
        <v>0.43214041786021151</v>
      </c>
      <c r="G49">
        <v>0.72677815953392877</v>
      </c>
      <c r="H49">
        <v>-0.20581825293732747</v>
      </c>
      <c r="I49">
        <v>-0.70728120600559086</v>
      </c>
      <c r="J49">
        <v>-0.19339748101841689</v>
      </c>
      <c r="K49">
        <v>9.1294355643507463E-2</v>
      </c>
      <c r="L49">
        <v>0.19220416381471153</v>
      </c>
      <c r="M49">
        <v>0.10706697549629948</v>
      </c>
      <c r="N49">
        <v>8.4366086855701863E-2</v>
      </c>
      <c r="O49">
        <v>-0.2663689539740377</v>
      </c>
      <c r="P49">
        <v>0.14337635135734164</v>
      </c>
      <c r="Q49">
        <v>0.24305569692500745</v>
      </c>
      <c r="R49">
        <v>-0.40942063549440555</v>
      </c>
      <c r="S49">
        <v>-0.25698809029052494</v>
      </c>
      <c r="T49">
        <v>0.14463185158800429</v>
      </c>
    </row>
    <row r="50" spans="1:20" x14ac:dyDescent="0.25">
      <c r="A50">
        <v>0.53109334144502318</v>
      </c>
      <c r="B50">
        <v>-1.0275140038978188</v>
      </c>
      <c r="C50">
        <v>0.60175092310673595</v>
      </c>
      <c r="D50">
        <v>-0.95059076381231633</v>
      </c>
      <c r="E50">
        <v>-0.32288602030595143</v>
      </c>
      <c r="F50">
        <v>5.7425664117241156E-2</v>
      </c>
      <c r="G50">
        <v>0.98907135472782215</v>
      </c>
      <c r="H50">
        <v>0.45389964204092703</v>
      </c>
      <c r="I50">
        <v>-0.38822620785250384</v>
      </c>
      <c r="J50">
        <v>-0.27659149892117496</v>
      </c>
      <c r="K50">
        <v>0.17266828347811156</v>
      </c>
      <c r="L50">
        <v>0.61905706840640473</v>
      </c>
      <c r="M50">
        <v>0.14989116026288657</v>
      </c>
      <c r="N50">
        <v>7.1936249891724938E-2</v>
      </c>
      <c r="O50">
        <v>-0.17938761252475621</v>
      </c>
      <c r="P50">
        <v>-7.6747208074140122E-2</v>
      </c>
      <c r="Q50">
        <v>8.5129172558281674E-2</v>
      </c>
      <c r="R50">
        <v>4.2458303223654473E-2</v>
      </c>
      <c r="S50">
        <v>0.19142111999511768</v>
      </c>
      <c r="T50">
        <v>0.37222821748499962</v>
      </c>
    </row>
    <row r="51" spans="1:20" x14ac:dyDescent="0.25">
      <c r="A51">
        <v>-0.93795256083387757</v>
      </c>
      <c r="B51">
        <v>-2.6615244869154987E-2</v>
      </c>
      <c r="C51">
        <v>-1.1538074794296056</v>
      </c>
      <c r="D51">
        <v>3.5735354696323822E-2</v>
      </c>
      <c r="E51">
        <v>8.6739278114498455E-2</v>
      </c>
      <c r="F51">
        <v>0.27195998086931078</v>
      </c>
      <c r="G51">
        <v>0.4304447471279706</v>
      </c>
      <c r="H51">
        <v>0.1516351793447058</v>
      </c>
      <c r="I51">
        <v>-0.86060124337014243</v>
      </c>
      <c r="J51">
        <v>-1.0787070873380151</v>
      </c>
      <c r="K51">
        <v>0.24786806161214991</v>
      </c>
      <c r="L51">
        <v>0.53139113891158807</v>
      </c>
      <c r="M51">
        <v>-4.3583894338165873E-4</v>
      </c>
      <c r="N51">
        <v>-0.58875414269851067</v>
      </c>
      <c r="O51">
        <v>4.4123038873792784E-2</v>
      </c>
      <c r="P51">
        <v>3.1205889140345021E-2</v>
      </c>
    </row>
    <row r="52" spans="1:20" x14ac:dyDescent="0.25">
      <c r="A52">
        <v>3.9688451599850159</v>
      </c>
      <c r="B52">
        <v>1.6804558472143933</v>
      </c>
      <c r="C52">
        <v>4.1028638214833277</v>
      </c>
      <c r="D52">
        <v>1.4217224188619517</v>
      </c>
      <c r="E52">
        <v>-0.9875680928151167</v>
      </c>
      <c r="F52">
        <v>1.1195157844752264</v>
      </c>
      <c r="G52">
        <v>1.2642280423478804</v>
      </c>
      <c r="H52">
        <v>-1.1965758568916858</v>
      </c>
      <c r="I52">
        <v>4.1791184689807164</v>
      </c>
      <c r="J52">
        <v>3.799209464631021</v>
      </c>
      <c r="K52">
        <v>-1.4631615954423227</v>
      </c>
      <c r="L52">
        <v>-3.826583939046877</v>
      </c>
      <c r="M52">
        <v>1.2673821414513251</v>
      </c>
      <c r="N52">
        <v>-4.6953397858462624</v>
      </c>
      <c r="O52">
        <v>-1.0049665111710897</v>
      </c>
      <c r="P52">
        <v>-2.6907562588872582</v>
      </c>
    </row>
    <row r="53" spans="1:20" x14ac:dyDescent="0.25">
      <c r="A53">
        <v>0.32854479755712795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93D95-1CE3-45C5-8211-1BD5AD45C8C7}">
  <sheetPr codeName="Sheet15"/>
  <dimension ref="B2:AL33"/>
  <sheetViews>
    <sheetView workbookViewId="0">
      <selection activeCell="D27" sqref="D27"/>
    </sheetView>
  </sheetViews>
  <sheetFormatPr defaultRowHeight="15" x14ac:dyDescent="0.25"/>
  <cols>
    <col min="3" max="35" width="4" customWidth="1"/>
  </cols>
  <sheetData>
    <row r="2" spans="2:38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>
        <v>13</v>
      </c>
      <c r="R2" s="14"/>
      <c r="S2" s="33" t="s">
        <v>26</v>
      </c>
      <c r="T2" s="34"/>
      <c r="U2" s="34"/>
      <c r="V2" s="34"/>
      <c r="W2" s="34"/>
      <c r="X2" s="35"/>
      <c r="Y2" s="36"/>
      <c r="Z2" s="2"/>
      <c r="AA2" s="2"/>
      <c r="AB2" s="2"/>
      <c r="AC2" s="2"/>
      <c r="AD2" s="2"/>
      <c r="AE2" s="2"/>
      <c r="AF2" s="2"/>
      <c r="AG2" s="2"/>
    </row>
    <row r="3" spans="2:38" ht="18" customHeight="1" x14ac:dyDescent="0.25">
      <c r="B3" s="14">
        <v>7</v>
      </c>
      <c r="C3" s="18">
        <v>2</v>
      </c>
      <c r="D3" s="19">
        <v>2</v>
      </c>
      <c r="E3" s="20">
        <v>2</v>
      </c>
      <c r="F3" s="20">
        <v>2</v>
      </c>
      <c r="G3" s="20">
        <v>2</v>
      </c>
      <c r="H3" s="20">
        <v>2</v>
      </c>
      <c r="I3" s="19">
        <v>2</v>
      </c>
      <c r="J3" s="20">
        <v>2</v>
      </c>
      <c r="K3" s="20">
        <v>2</v>
      </c>
      <c r="L3" s="20">
        <v>2</v>
      </c>
      <c r="M3" s="20">
        <v>2</v>
      </c>
      <c r="N3" s="20">
        <v>2</v>
      </c>
      <c r="O3" s="21">
        <v>2</v>
      </c>
      <c r="S3" s="37" t="str">
        <f t="shared" ref="S3:AE9" si="0">INDEX($AL$3:$AL$6,MATCH(C3,$AK$3:$AK$6,0))</f>
        <v>→</v>
      </c>
      <c r="T3" s="38" t="str">
        <f t="shared" si="0"/>
        <v>→</v>
      </c>
      <c r="U3" s="39" t="str">
        <f t="shared" si="0"/>
        <v>→</v>
      </c>
      <c r="V3" s="39" t="str">
        <f t="shared" si="0"/>
        <v>→</v>
      </c>
      <c r="W3" s="39" t="str">
        <f t="shared" si="0"/>
        <v>→</v>
      </c>
      <c r="X3" s="39" t="str">
        <f t="shared" si="0"/>
        <v>→</v>
      </c>
      <c r="Y3" s="38" t="str">
        <f t="shared" si="0"/>
        <v>→</v>
      </c>
      <c r="Z3" s="39" t="str">
        <f t="shared" si="0"/>
        <v>→</v>
      </c>
      <c r="AA3" s="39" t="str">
        <f t="shared" si="0"/>
        <v>→</v>
      </c>
      <c r="AB3" s="39" t="str">
        <f t="shared" si="0"/>
        <v>→</v>
      </c>
      <c r="AC3" s="39" t="str">
        <f t="shared" si="0"/>
        <v>→</v>
      </c>
      <c r="AD3" s="39" t="str">
        <f t="shared" si="0"/>
        <v>→</v>
      </c>
      <c r="AE3" s="52" t="str">
        <f t="shared" si="0"/>
        <v>→</v>
      </c>
      <c r="AF3" s="41"/>
      <c r="AG3" s="41"/>
      <c r="AK3">
        <v>1</v>
      </c>
      <c r="AL3" s="32" t="s">
        <v>22</v>
      </c>
    </row>
    <row r="4" spans="2:38" ht="18" customHeight="1" x14ac:dyDescent="0.25">
      <c r="B4" s="14">
        <v>6</v>
      </c>
      <c r="C4" s="22">
        <v>2</v>
      </c>
      <c r="D4" s="23">
        <v>2</v>
      </c>
      <c r="E4" s="23">
        <v>2</v>
      </c>
      <c r="F4" s="24">
        <v>2</v>
      </c>
      <c r="G4" s="24">
        <v>2</v>
      </c>
      <c r="H4" s="23">
        <v>2</v>
      </c>
      <c r="I4" s="24">
        <v>2</v>
      </c>
      <c r="J4" s="23">
        <v>2</v>
      </c>
      <c r="K4" s="23">
        <v>2</v>
      </c>
      <c r="L4" s="23">
        <v>2</v>
      </c>
      <c r="M4" s="23">
        <v>2</v>
      </c>
      <c r="N4" s="23">
        <v>2</v>
      </c>
      <c r="O4" s="27">
        <v>2</v>
      </c>
      <c r="S4" s="40" t="str">
        <f t="shared" si="0"/>
        <v>→</v>
      </c>
      <c r="T4" s="41" t="str">
        <f t="shared" si="0"/>
        <v>→</v>
      </c>
      <c r="U4" s="41" t="str">
        <f t="shared" si="0"/>
        <v>→</v>
      </c>
      <c r="V4" s="42" t="str">
        <f t="shared" si="0"/>
        <v>→</v>
      </c>
      <c r="W4" s="42" t="str">
        <f t="shared" si="0"/>
        <v>→</v>
      </c>
      <c r="X4" s="41" t="str">
        <f t="shared" si="0"/>
        <v>→</v>
      </c>
      <c r="Y4" s="42" t="str">
        <f t="shared" si="0"/>
        <v>→</v>
      </c>
      <c r="Z4" s="41" t="str">
        <f t="shared" si="0"/>
        <v>→</v>
      </c>
      <c r="AA4" s="41" t="str">
        <f t="shared" si="0"/>
        <v>→</v>
      </c>
      <c r="AB4" s="41" t="str">
        <f t="shared" si="0"/>
        <v>→</v>
      </c>
      <c r="AC4" s="41" t="str">
        <f t="shared" si="0"/>
        <v>→</v>
      </c>
      <c r="AD4" s="41" t="str">
        <f t="shared" si="0"/>
        <v>→</v>
      </c>
      <c r="AE4" s="53" t="str">
        <f t="shared" si="0"/>
        <v>→</v>
      </c>
      <c r="AF4" s="41"/>
      <c r="AG4" s="41"/>
      <c r="AK4">
        <v>2</v>
      </c>
      <c r="AL4" s="32" t="s">
        <v>23</v>
      </c>
    </row>
    <row r="5" spans="2:38" ht="18" customHeight="1" x14ac:dyDescent="0.25">
      <c r="B5" s="14">
        <v>5</v>
      </c>
      <c r="C5" s="26">
        <v>2</v>
      </c>
      <c r="D5" s="24">
        <v>2</v>
      </c>
      <c r="E5" s="24">
        <v>2</v>
      </c>
      <c r="F5" s="23">
        <v>2</v>
      </c>
      <c r="G5" s="23">
        <v>2</v>
      </c>
      <c r="H5" s="23">
        <v>2</v>
      </c>
      <c r="I5" s="24">
        <v>2</v>
      </c>
      <c r="J5" s="23">
        <v>2</v>
      </c>
      <c r="K5" s="24">
        <v>2</v>
      </c>
      <c r="L5" s="24">
        <v>2</v>
      </c>
      <c r="M5" s="24">
        <v>2</v>
      </c>
      <c r="N5" s="24">
        <v>2</v>
      </c>
      <c r="O5" s="25">
        <v>2</v>
      </c>
      <c r="S5" s="43" t="str">
        <f t="shared" si="0"/>
        <v>→</v>
      </c>
      <c r="T5" s="42" t="str">
        <f t="shared" si="0"/>
        <v>→</v>
      </c>
      <c r="U5" s="42" t="str">
        <f t="shared" si="0"/>
        <v>→</v>
      </c>
      <c r="V5" s="41" t="str">
        <f t="shared" si="0"/>
        <v>→</v>
      </c>
      <c r="W5" s="41" t="str">
        <f t="shared" si="0"/>
        <v>→</v>
      </c>
      <c r="X5" s="41" t="str">
        <f t="shared" si="0"/>
        <v>→</v>
      </c>
      <c r="Y5" s="42" t="str">
        <f t="shared" si="0"/>
        <v>→</v>
      </c>
      <c r="Z5" s="41" t="str">
        <f t="shared" si="0"/>
        <v>→</v>
      </c>
      <c r="AA5" s="42" t="str">
        <f t="shared" si="0"/>
        <v>→</v>
      </c>
      <c r="AB5" s="42" t="str">
        <f t="shared" si="0"/>
        <v>→</v>
      </c>
      <c r="AC5" s="42" t="str">
        <f t="shared" si="0"/>
        <v>→</v>
      </c>
      <c r="AD5" s="42" t="str">
        <f t="shared" si="0"/>
        <v>→</v>
      </c>
      <c r="AE5" s="54" t="str">
        <f t="shared" si="0"/>
        <v>→</v>
      </c>
      <c r="AF5" s="41"/>
      <c r="AG5" s="41"/>
      <c r="AK5">
        <v>3</v>
      </c>
      <c r="AL5" s="32" t="s">
        <v>24</v>
      </c>
    </row>
    <row r="6" spans="2:38" ht="18" customHeight="1" x14ac:dyDescent="0.25">
      <c r="B6" s="14">
        <v>4</v>
      </c>
      <c r="C6" s="22">
        <v>2</v>
      </c>
      <c r="D6" s="23">
        <v>2</v>
      </c>
      <c r="E6" s="23">
        <v>2</v>
      </c>
      <c r="F6" s="23">
        <v>2</v>
      </c>
      <c r="G6" s="24">
        <v>2</v>
      </c>
      <c r="H6" s="24">
        <v>2</v>
      </c>
      <c r="I6" s="23">
        <v>2</v>
      </c>
      <c r="J6" s="23">
        <v>2</v>
      </c>
      <c r="K6" s="23">
        <v>2</v>
      </c>
      <c r="L6" s="23">
        <v>2</v>
      </c>
      <c r="M6" s="23">
        <v>2</v>
      </c>
      <c r="N6" s="23">
        <v>2</v>
      </c>
      <c r="O6" s="27">
        <v>2</v>
      </c>
      <c r="S6" s="40" t="str">
        <f t="shared" si="0"/>
        <v>→</v>
      </c>
      <c r="T6" s="41" t="str">
        <f t="shared" si="0"/>
        <v>→</v>
      </c>
      <c r="U6" s="41" t="str">
        <f t="shared" si="0"/>
        <v>→</v>
      </c>
      <c r="V6" s="41" t="str">
        <f t="shared" si="0"/>
        <v>→</v>
      </c>
      <c r="W6" s="42" t="str">
        <f t="shared" si="0"/>
        <v>→</v>
      </c>
      <c r="X6" s="42" t="str">
        <f t="shared" si="0"/>
        <v>→</v>
      </c>
      <c r="Y6" s="41" t="str">
        <f t="shared" si="0"/>
        <v>→</v>
      </c>
      <c r="Z6" s="41" t="str">
        <f t="shared" si="0"/>
        <v>→</v>
      </c>
      <c r="AA6" s="41" t="str">
        <f t="shared" si="0"/>
        <v>→</v>
      </c>
      <c r="AB6" s="41" t="str">
        <f t="shared" si="0"/>
        <v>→</v>
      </c>
      <c r="AC6" s="41" t="str">
        <f t="shared" si="0"/>
        <v>→</v>
      </c>
      <c r="AD6" s="41" t="str">
        <f t="shared" si="0"/>
        <v>→</v>
      </c>
      <c r="AE6" s="53" t="str">
        <f t="shared" si="0"/>
        <v>→</v>
      </c>
      <c r="AF6" s="41"/>
      <c r="AG6" s="41"/>
      <c r="AK6">
        <v>4</v>
      </c>
      <c r="AL6" s="32" t="s">
        <v>25</v>
      </c>
    </row>
    <row r="7" spans="2:38" ht="18" customHeight="1" x14ac:dyDescent="0.25">
      <c r="B7" s="14">
        <v>3</v>
      </c>
      <c r="C7" s="22">
        <v>2</v>
      </c>
      <c r="D7" s="24">
        <v>2</v>
      </c>
      <c r="E7" s="24">
        <v>2</v>
      </c>
      <c r="F7" s="24">
        <v>2</v>
      </c>
      <c r="G7" s="23">
        <v>2</v>
      </c>
      <c r="H7" s="23">
        <v>2</v>
      </c>
      <c r="I7" s="23">
        <v>2</v>
      </c>
      <c r="J7" s="23">
        <v>2</v>
      </c>
      <c r="K7" s="23">
        <v>2</v>
      </c>
      <c r="L7" s="23">
        <v>2</v>
      </c>
      <c r="M7" s="23">
        <v>2</v>
      </c>
      <c r="N7" s="23">
        <v>2</v>
      </c>
      <c r="O7" s="27">
        <v>2</v>
      </c>
      <c r="S7" s="40" t="str">
        <f t="shared" si="0"/>
        <v>→</v>
      </c>
      <c r="T7" s="42" t="str">
        <f t="shared" si="0"/>
        <v>→</v>
      </c>
      <c r="U7" s="42" t="str">
        <f t="shared" si="0"/>
        <v>→</v>
      </c>
      <c r="V7" s="42" t="str">
        <f t="shared" si="0"/>
        <v>→</v>
      </c>
      <c r="W7" s="41" t="str">
        <f t="shared" si="0"/>
        <v>→</v>
      </c>
      <c r="X7" s="41" t="str">
        <f t="shared" si="0"/>
        <v>→</v>
      </c>
      <c r="Y7" s="41" t="str">
        <f t="shared" si="0"/>
        <v>→</v>
      </c>
      <c r="Z7" s="41" t="str">
        <f t="shared" si="0"/>
        <v>→</v>
      </c>
      <c r="AA7" s="41" t="str">
        <f t="shared" si="0"/>
        <v>→</v>
      </c>
      <c r="AB7" s="41" t="str">
        <f t="shared" si="0"/>
        <v>→</v>
      </c>
      <c r="AC7" s="41" t="str">
        <f t="shared" si="0"/>
        <v>→</v>
      </c>
      <c r="AD7" s="41" t="str">
        <f t="shared" si="0"/>
        <v>→</v>
      </c>
      <c r="AE7" s="53" t="str">
        <f t="shared" si="0"/>
        <v>→</v>
      </c>
      <c r="AF7" s="41"/>
      <c r="AG7" s="41"/>
    </row>
    <row r="8" spans="2:38" ht="18" customHeight="1" x14ac:dyDescent="0.25">
      <c r="B8" s="14">
        <v>2</v>
      </c>
      <c r="C8" s="22">
        <v>1</v>
      </c>
      <c r="D8" s="24">
        <v>1</v>
      </c>
      <c r="E8" s="23">
        <v>1</v>
      </c>
      <c r="F8" s="23">
        <v>1</v>
      </c>
      <c r="G8" s="23">
        <v>1</v>
      </c>
      <c r="H8" s="23">
        <v>1</v>
      </c>
      <c r="I8" s="23">
        <v>1</v>
      </c>
      <c r="J8" s="24">
        <v>1</v>
      </c>
      <c r="K8" s="24">
        <v>1</v>
      </c>
      <c r="L8" s="24">
        <v>1</v>
      </c>
      <c r="M8" s="24">
        <v>1</v>
      </c>
      <c r="N8" s="24">
        <v>1</v>
      </c>
      <c r="O8" s="25">
        <v>1</v>
      </c>
      <c r="S8" s="40" t="str">
        <f t="shared" si="0"/>
        <v>↑</v>
      </c>
      <c r="T8" s="42" t="str">
        <f t="shared" si="0"/>
        <v>↑</v>
      </c>
      <c r="U8" s="41" t="str">
        <f t="shared" si="0"/>
        <v>↑</v>
      </c>
      <c r="V8" s="41" t="str">
        <f t="shared" si="0"/>
        <v>↑</v>
      </c>
      <c r="W8" s="41" t="str">
        <f t="shared" si="0"/>
        <v>↑</v>
      </c>
      <c r="X8" s="41" t="str">
        <f t="shared" si="0"/>
        <v>↑</v>
      </c>
      <c r="Y8" s="41" t="str">
        <f t="shared" si="0"/>
        <v>↑</v>
      </c>
      <c r="Z8" s="42" t="str">
        <f t="shared" si="0"/>
        <v>↑</v>
      </c>
      <c r="AA8" s="42" t="str">
        <f t="shared" si="0"/>
        <v>↑</v>
      </c>
      <c r="AB8" s="42" t="str">
        <f t="shared" si="0"/>
        <v>↑</v>
      </c>
      <c r="AC8" s="42" t="str">
        <f t="shared" si="0"/>
        <v>↑</v>
      </c>
      <c r="AD8" s="42" t="str">
        <f t="shared" si="0"/>
        <v>↑</v>
      </c>
      <c r="AE8" s="54" t="str">
        <f t="shared" si="0"/>
        <v>↑</v>
      </c>
      <c r="AF8" s="41"/>
      <c r="AG8" s="41"/>
    </row>
    <row r="9" spans="2:38" ht="18" customHeight="1" x14ac:dyDescent="0.25">
      <c r="B9" s="14">
        <v>1</v>
      </c>
      <c r="C9" s="28">
        <v>1</v>
      </c>
      <c r="D9" s="29">
        <v>1</v>
      </c>
      <c r="E9" s="29">
        <v>1</v>
      </c>
      <c r="F9" s="30">
        <v>1</v>
      </c>
      <c r="G9" s="29">
        <v>1</v>
      </c>
      <c r="H9" s="29">
        <v>1</v>
      </c>
      <c r="I9" s="29">
        <v>1</v>
      </c>
      <c r="J9" s="29">
        <v>1</v>
      </c>
      <c r="K9" s="29">
        <v>1</v>
      </c>
      <c r="L9" s="29">
        <v>1</v>
      </c>
      <c r="M9" s="29">
        <v>1</v>
      </c>
      <c r="N9" s="29">
        <v>1</v>
      </c>
      <c r="O9" s="31">
        <v>1</v>
      </c>
      <c r="S9" s="44" t="str">
        <f t="shared" si="0"/>
        <v>↑</v>
      </c>
      <c r="T9" s="45" t="str">
        <f t="shared" si="0"/>
        <v>↑</v>
      </c>
      <c r="U9" s="45" t="str">
        <f t="shared" si="0"/>
        <v>↑</v>
      </c>
      <c r="V9" s="46" t="str">
        <f t="shared" si="0"/>
        <v>↑</v>
      </c>
      <c r="W9" s="45" t="str">
        <f t="shared" si="0"/>
        <v>↑</v>
      </c>
      <c r="X9" s="45" t="str">
        <f t="shared" si="0"/>
        <v>↑</v>
      </c>
      <c r="Y9" s="45" t="str">
        <f t="shared" si="0"/>
        <v>↑</v>
      </c>
      <c r="Z9" s="45" t="str">
        <f t="shared" si="0"/>
        <v>↑</v>
      </c>
      <c r="AA9" s="45" t="str">
        <f t="shared" si="0"/>
        <v>↑</v>
      </c>
      <c r="AB9" s="45" t="str">
        <f t="shared" si="0"/>
        <v>↑</v>
      </c>
      <c r="AC9" s="45" t="str">
        <f t="shared" si="0"/>
        <v>↑</v>
      </c>
      <c r="AD9" s="45" t="str">
        <f t="shared" si="0"/>
        <v>↑</v>
      </c>
      <c r="AE9" s="55" t="str">
        <f t="shared" si="0"/>
        <v>↑</v>
      </c>
      <c r="AF9" s="41"/>
      <c r="AG9" s="41"/>
    </row>
    <row r="10" spans="2:38" x14ac:dyDescent="0.25">
      <c r="B10" s="14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R10" s="17"/>
      <c r="S10" s="17"/>
      <c r="T10" s="17"/>
      <c r="U10" s="17"/>
      <c r="V10" s="17"/>
      <c r="W10" s="17"/>
    </row>
    <row r="11" spans="2:38" x14ac:dyDescent="0.25">
      <c r="B11" s="14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</row>
    <row r="12" spans="2:38" x14ac:dyDescent="0.25">
      <c r="B12" s="14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</row>
    <row r="13" spans="2:38" x14ac:dyDescent="0.25">
      <c r="B13" s="14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</row>
    <row r="14" spans="2:38" x14ac:dyDescent="0.25">
      <c r="B14" s="14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</row>
    <row r="15" spans="2:38" x14ac:dyDescent="0.25">
      <c r="B15" s="14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</row>
    <row r="16" spans="2:38" x14ac:dyDescent="0.25">
      <c r="B16" s="14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</row>
    <row r="17" spans="2:23" x14ac:dyDescent="0.25">
      <c r="B17" s="14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</row>
    <row r="18" spans="2:23" x14ac:dyDescent="0.25">
      <c r="B18" s="14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</row>
    <row r="19" spans="2:23" x14ac:dyDescent="0.25">
      <c r="B19" s="14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</row>
    <row r="20" spans="2:23" x14ac:dyDescent="0.25">
      <c r="B20" s="14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</row>
    <row r="21" spans="2:23" x14ac:dyDescent="0.25">
      <c r="B21" s="14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</row>
    <row r="22" spans="2:23" x14ac:dyDescent="0.25">
      <c r="B22" s="14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</row>
    <row r="23" spans="2:23" x14ac:dyDescent="0.25">
      <c r="B23" s="14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</row>
    <row r="24" spans="2:23" x14ac:dyDescent="0.25">
      <c r="B24" s="14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</row>
    <row r="25" spans="2:23" x14ac:dyDescent="0.25">
      <c r="B25" s="14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</row>
    <row r="26" spans="2:23" x14ac:dyDescent="0.25">
      <c r="B26" s="14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</row>
    <row r="27" spans="2:23" x14ac:dyDescent="0.25">
      <c r="B27" s="14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</row>
    <row r="28" spans="2:23" x14ac:dyDescent="0.25">
      <c r="B28" s="14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</row>
    <row r="29" spans="2:23" x14ac:dyDescent="0.25">
      <c r="B29" s="14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</row>
    <row r="30" spans="2:23" x14ac:dyDescent="0.25">
      <c r="B30" s="14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</row>
    <row r="31" spans="2:23" x14ac:dyDescent="0.25">
      <c r="B31" s="14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</row>
    <row r="32" spans="2:23" x14ac:dyDescent="0.25">
      <c r="B32" s="14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</row>
    <row r="33" spans="2:23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F40CF-7ABD-4361-8B8A-CCE697A77540}">
  <sheetPr codeName="Sheet16"/>
  <dimension ref="B2:O33"/>
  <sheetViews>
    <sheetView workbookViewId="0">
      <selection activeCell="K7" sqref="K7"/>
    </sheetView>
  </sheetViews>
  <sheetFormatPr defaultRowHeight="15" x14ac:dyDescent="0.25"/>
  <cols>
    <col min="3" max="15" width="4" customWidth="1"/>
  </cols>
  <sheetData>
    <row r="2" spans="2:15" x14ac:dyDescent="0.25">
      <c r="B2" s="14">
        <v>0</v>
      </c>
      <c r="C2" s="14">
        <v>1</v>
      </c>
      <c r="D2" s="14">
        <v>2</v>
      </c>
      <c r="E2" s="14">
        <v>3</v>
      </c>
      <c r="F2" s="14">
        <v>4</v>
      </c>
      <c r="G2" s="14">
        <v>5</v>
      </c>
      <c r="H2" s="14">
        <v>6</v>
      </c>
      <c r="I2" s="14">
        <v>7</v>
      </c>
      <c r="J2" s="14">
        <v>8</v>
      </c>
      <c r="K2" s="14">
        <v>9</v>
      </c>
      <c r="L2" s="14">
        <v>10</v>
      </c>
      <c r="M2" s="14">
        <v>11</v>
      </c>
      <c r="N2" s="14">
        <v>12</v>
      </c>
      <c r="O2" s="14">
        <v>13</v>
      </c>
    </row>
    <row r="3" spans="2:15" ht="18" customHeight="1" x14ac:dyDescent="0.25">
      <c r="B3" s="14">
        <v>7</v>
      </c>
      <c r="C3" s="18">
        <v>42.631944400038115</v>
      </c>
      <c r="D3" s="19">
        <v>48.015137455176756</v>
      </c>
      <c r="E3" s="20">
        <v>53.398330510315404</v>
      </c>
      <c r="F3" s="20">
        <v>58.78152356545403</v>
      </c>
      <c r="G3" s="20">
        <v>64.164716620592671</v>
      </c>
      <c r="H3" s="20">
        <v>69.547909675731319</v>
      </c>
      <c r="I3" s="21">
        <v>74.931102730869966</v>
      </c>
      <c r="J3" s="23">
        <v>80.3142957860086</v>
      </c>
      <c r="K3" s="23">
        <v>85.697488841147248</v>
      </c>
      <c r="L3" s="23">
        <v>91.080681896285881</v>
      </c>
      <c r="M3" s="23">
        <v>96.463874951424529</v>
      </c>
      <c r="N3" s="23">
        <v>101.02750611464728</v>
      </c>
      <c r="O3" s="23">
        <v>105.03012290751647</v>
      </c>
    </row>
    <row r="4" spans="2:15" ht="18" customHeight="1" x14ac:dyDescent="0.25">
      <c r="B4" s="14">
        <v>6</v>
      </c>
      <c r="C4" s="22">
        <v>35.567240611294579</v>
      </c>
      <c r="D4" s="23">
        <v>40.950433666433213</v>
      </c>
      <c r="E4" s="23">
        <v>46.333626721571868</v>
      </c>
      <c r="F4" s="24">
        <v>51.716819776710508</v>
      </c>
      <c r="G4" s="24">
        <v>57.100012831849142</v>
      </c>
      <c r="H4" s="23">
        <v>62.48320588698779</v>
      </c>
      <c r="I4" s="25">
        <v>67.866398942126438</v>
      </c>
      <c r="J4" s="24">
        <v>73.249591997265071</v>
      </c>
      <c r="K4" s="24">
        <v>78.632785052403705</v>
      </c>
      <c r="L4" s="24">
        <v>83.313032453649427</v>
      </c>
      <c r="M4" s="24">
        <v>87.315649246518618</v>
      </c>
      <c r="N4" s="24">
        <v>91.318266039387794</v>
      </c>
      <c r="O4" s="24">
        <v>95.320882832256999</v>
      </c>
    </row>
    <row r="5" spans="2:15" ht="18" customHeight="1" x14ac:dyDescent="0.25">
      <c r="B5" s="14">
        <v>5</v>
      </c>
      <c r="C5" s="26">
        <v>28.502536822551036</v>
      </c>
      <c r="D5" s="24">
        <v>33.885729877689684</v>
      </c>
      <c r="E5" s="24">
        <v>39.268922932828332</v>
      </c>
      <c r="F5" s="23">
        <v>44.652115987966972</v>
      </c>
      <c r="G5" s="23">
        <v>50.035309043105613</v>
      </c>
      <c r="H5" s="23">
        <v>55.418502098244247</v>
      </c>
      <c r="I5" s="25">
        <v>60.801695153382887</v>
      </c>
      <c r="J5" s="24">
        <v>65.598558792651545</v>
      </c>
      <c r="K5" s="24">
        <v>69.60117558552075</v>
      </c>
      <c r="L5" s="24">
        <v>73.60379237838994</v>
      </c>
      <c r="M5" s="24">
        <v>77.546766563504519</v>
      </c>
      <c r="N5" s="24">
        <v>81.292918247129109</v>
      </c>
      <c r="O5" s="24">
        <v>85.039069930753698</v>
      </c>
    </row>
    <row r="6" spans="2:15" ht="18" customHeight="1" x14ac:dyDescent="0.25">
      <c r="B6" s="14">
        <v>4</v>
      </c>
      <c r="C6" s="22">
        <v>21.437833033807507</v>
      </c>
      <c r="D6" s="23">
        <v>26.821026088946148</v>
      </c>
      <c r="E6" s="23">
        <v>32.204219144084789</v>
      </c>
      <c r="F6" s="23">
        <v>37.587412199223422</v>
      </c>
      <c r="G6" s="24">
        <v>42.97060525436207</v>
      </c>
      <c r="H6" s="24">
        <v>47.884085131653684</v>
      </c>
      <c r="I6" s="27">
        <v>51.886701924522868</v>
      </c>
      <c r="J6" s="23">
        <v>55.640094159081855</v>
      </c>
      <c r="K6" s="23">
        <v>59.386245842706444</v>
      </c>
      <c r="L6" s="23">
        <v>63.132397526331061</v>
      </c>
      <c r="M6" s="23">
        <v>66.878549209955665</v>
      </c>
      <c r="N6" s="23">
        <v>70.624700893580268</v>
      </c>
      <c r="O6" s="23">
        <v>74.280161788756743</v>
      </c>
    </row>
    <row r="7" spans="2:15" ht="18" customHeight="1" x14ac:dyDescent="0.25">
      <c r="B7" s="14">
        <v>3</v>
      </c>
      <c r="C7" s="22">
        <v>14.373129245063977</v>
      </c>
      <c r="D7" s="24">
        <v>19.756322300202612</v>
      </c>
      <c r="E7" s="24">
        <v>25.139515355341256</v>
      </c>
      <c r="F7" s="24">
        <v>29.987270071034608</v>
      </c>
      <c r="G7" s="23">
        <v>33.733421754659211</v>
      </c>
      <c r="H7" s="23">
        <v>37.479573438283808</v>
      </c>
      <c r="I7" s="27">
        <v>41.225725121908418</v>
      </c>
      <c r="J7" s="23">
        <v>44.971876805533022</v>
      </c>
      <c r="K7" s="23">
        <v>48.718028489157618</v>
      </c>
      <c r="L7" s="23">
        <v>52.31655084038983</v>
      </c>
      <c r="M7" s="23">
        <v>55.828225001307722</v>
      </c>
      <c r="N7" s="23">
        <v>59.339899162225628</v>
      </c>
      <c r="O7" s="23">
        <v>62.851573323143498</v>
      </c>
    </row>
    <row r="8" spans="2:15" ht="18" customHeight="1" x14ac:dyDescent="0.25">
      <c r="B8" s="14">
        <v>2</v>
      </c>
      <c r="C8" s="22">
        <v>6.8445046404188536</v>
      </c>
      <c r="D8" s="24">
        <v>11.788889648986467</v>
      </c>
      <c r="E8" s="23">
        <v>15.572901033861172</v>
      </c>
      <c r="F8" s="23">
        <v>19.319052717485775</v>
      </c>
      <c r="G8" s="23">
        <v>23.065204401110382</v>
      </c>
      <c r="H8" s="23">
        <v>26.811356084734978</v>
      </c>
      <c r="I8" s="27">
        <v>30.35293989202291</v>
      </c>
      <c r="J8" s="23">
        <v>33.864614052940809</v>
      </c>
      <c r="K8" s="23">
        <v>37.3762882138587</v>
      </c>
      <c r="L8" s="23">
        <v>40.887962374776592</v>
      </c>
      <c r="M8" s="23">
        <v>44.399636535694498</v>
      </c>
      <c r="N8" s="23">
        <v>47.911310696612396</v>
      </c>
      <c r="O8" s="23">
        <v>51.422984857530281</v>
      </c>
    </row>
    <row r="9" spans="2:15" ht="18" customHeight="1" x14ac:dyDescent="0.25">
      <c r="B9" s="14">
        <v>1</v>
      </c>
      <c r="C9" s="28">
        <v>1.7442527965863199</v>
      </c>
      <c r="D9" s="29">
        <v>2.5595342001680708</v>
      </c>
      <c r="E9" s="29">
        <v>4.9326219203332249</v>
      </c>
      <c r="F9" s="30">
        <v>8.3514768722111938</v>
      </c>
      <c r="G9" s="29">
        <v>11.901003104573883</v>
      </c>
      <c r="H9" s="29">
        <v>15.412677265491782</v>
      </c>
      <c r="I9" s="31">
        <v>18.924351426409672</v>
      </c>
      <c r="J9" s="23">
        <v>22.436025587327574</v>
      </c>
      <c r="K9" s="23">
        <v>25.947699748245469</v>
      </c>
      <c r="L9" s="23">
        <v>29.459373909163368</v>
      </c>
      <c r="M9" s="23">
        <v>32.97104807008126</v>
      </c>
      <c r="N9" s="23">
        <v>36.482722230999158</v>
      </c>
      <c r="O9" s="23">
        <v>39.994396391917057</v>
      </c>
    </row>
    <row r="10" spans="2:15" x14ac:dyDescent="0.25">
      <c r="B10" s="14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2:15" x14ac:dyDescent="0.25">
      <c r="B11" s="14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</row>
    <row r="12" spans="2:15" x14ac:dyDescent="0.25">
      <c r="B12" s="14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2:15" x14ac:dyDescent="0.25">
      <c r="B13" s="14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x14ac:dyDescent="0.25">
      <c r="B14" s="14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2:15" x14ac:dyDescent="0.25">
      <c r="B15" s="14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</row>
    <row r="16" spans="2:15" x14ac:dyDescent="0.25">
      <c r="B16" s="14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2:15" x14ac:dyDescent="0.25">
      <c r="B17" s="14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2:15" x14ac:dyDescent="0.25">
      <c r="B18" s="14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</row>
    <row r="19" spans="2:15" x14ac:dyDescent="0.25">
      <c r="B19" s="14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2:15" x14ac:dyDescent="0.25">
      <c r="B20" s="14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2:15" x14ac:dyDescent="0.25">
      <c r="B21" s="14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2:15" x14ac:dyDescent="0.25">
      <c r="B22" s="14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2:15" x14ac:dyDescent="0.25">
      <c r="B23" s="14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2:15" x14ac:dyDescent="0.25">
      <c r="B24" s="14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2:15" x14ac:dyDescent="0.25">
      <c r="B25" s="14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2:15" x14ac:dyDescent="0.25">
      <c r="B26" s="14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</row>
    <row r="27" spans="2:15" x14ac:dyDescent="0.25">
      <c r="B27" s="14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2:15" x14ac:dyDescent="0.25">
      <c r="B28" s="14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2:15" x14ac:dyDescent="0.25">
      <c r="B29" s="14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2:15" x14ac:dyDescent="0.25">
      <c r="B30" s="14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2:15" x14ac:dyDescent="0.25">
      <c r="B31" s="14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2:15" x14ac:dyDescent="0.25">
      <c r="B32" s="14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2:15" x14ac:dyDescent="0.25">
      <c r="B33" s="14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</sheetData>
  <conditionalFormatting sqref="C3:O9">
    <cfRule type="colorScale" priority="11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CCC32-6D11-4F12-9D3E-0E6B66ED4268}">
  <sheetPr codeName="Sheet4"/>
  <dimension ref="A1:H50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1" sqref="H21"/>
    </sheetView>
  </sheetViews>
  <sheetFormatPr defaultRowHeight="15" x14ac:dyDescent="0.25"/>
  <sheetData>
    <row r="1" spans="1:8" x14ac:dyDescent="0.25">
      <c r="A1" t="s">
        <v>12</v>
      </c>
      <c r="B1" t="s">
        <v>13</v>
      </c>
      <c r="C1" t="s">
        <v>14</v>
      </c>
      <c r="D1" t="s">
        <v>15</v>
      </c>
      <c r="F1" t="s">
        <v>12</v>
      </c>
      <c r="G1" t="s">
        <v>37</v>
      </c>
    </row>
    <row r="2" spans="1:8" x14ac:dyDescent="0.25">
      <c r="A2">
        <v>1</v>
      </c>
      <c r="B2">
        <v>-28.150174296379092</v>
      </c>
      <c r="C2">
        <v>50.6</v>
      </c>
      <c r="D2">
        <v>0.28000000000000003</v>
      </c>
      <c r="F2">
        <v>1</v>
      </c>
      <c r="G2">
        <v>0.83365434898246549</v>
      </c>
    </row>
    <row r="3" spans="1:8" x14ac:dyDescent="0.25">
      <c r="A3">
        <v>2</v>
      </c>
      <c r="B3">
        <v>-24.406170118570344</v>
      </c>
      <c r="C3">
        <v>52.12</v>
      </c>
      <c r="D3">
        <v>0.36</v>
      </c>
      <c r="F3">
        <v>2</v>
      </c>
      <c r="G3">
        <v>0.78266811410658488</v>
      </c>
      <c r="H3" s="51">
        <f t="shared" ref="H3:H66" si="0">(G3-G2)/G2</f>
        <v>-6.1159921900620973E-2</v>
      </c>
    </row>
    <row r="4" spans="1:8" x14ac:dyDescent="0.25">
      <c r="A4">
        <v>3</v>
      </c>
      <c r="B4">
        <v>-21.445352877378468</v>
      </c>
      <c r="C4">
        <v>50.26</v>
      </c>
      <c r="D4">
        <v>0.24</v>
      </c>
      <c r="F4">
        <v>3</v>
      </c>
      <c r="G4">
        <v>0.7337576664247436</v>
      </c>
      <c r="H4" s="51">
        <f t="shared" si="0"/>
        <v>-6.2491938537284755E-2</v>
      </c>
    </row>
    <row r="5" spans="1:8" x14ac:dyDescent="0.25">
      <c r="A5">
        <v>4</v>
      </c>
      <c r="B5">
        <v>-14.30245124042035</v>
      </c>
      <c r="C5">
        <v>53.34</v>
      </c>
      <c r="D5">
        <v>0.5</v>
      </c>
      <c r="F5">
        <v>4</v>
      </c>
      <c r="G5">
        <v>0.68446379277821057</v>
      </c>
      <c r="H5" s="51">
        <f t="shared" si="0"/>
        <v>-6.7180045813652514E-2</v>
      </c>
    </row>
    <row r="6" spans="1:8" x14ac:dyDescent="0.25">
      <c r="A6">
        <v>5</v>
      </c>
      <c r="B6">
        <v>-11.698168813705445</v>
      </c>
      <c r="C6">
        <v>54.5</v>
      </c>
      <c r="D6">
        <v>0.38</v>
      </c>
      <c r="F6">
        <v>5</v>
      </c>
      <c r="G6">
        <v>0.65760728940622404</v>
      </c>
      <c r="H6" s="51">
        <f t="shared" si="0"/>
        <v>-3.9237288597804537E-2</v>
      </c>
    </row>
    <row r="7" spans="1:8" x14ac:dyDescent="0.25">
      <c r="A7">
        <v>6</v>
      </c>
      <c r="B7">
        <v>-10.639500792503357</v>
      </c>
      <c r="C7">
        <v>53.32</v>
      </c>
      <c r="D7">
        <v>0.28000000000000003</v>
      </c>
      <c r="F7">
        <v>6</v>
      </c>
      <c r="G7">
        <v>0.63181705095780616</v>
      </c>
      <c r="H7" s="51">
        <f t="shared" si="0"/>
        <v>-3.921829770424954E-2</v>
      </c>
    </row>
    <row r="8" spans="1:8" x14ac:dyDescent="0.25">
      <c r="A8">
        <v>7</v>
      </c>
      <c r="B8">
        <v>-6.2435189300775589</v>
      </c>
      <c r="C8">
        <v>53.48</v>
      </c>
      <c r="D8">
        <v>0.44</v>
      </c>
      <c r="F8">
        <v>7</v>
      </c>
      <c r="G8">
        <v>0.59957884062536437</v>
      </c>
      <c r="H8" s="51">
        <f t="shared" si="0"/>
        <v>-5.1024596888561508E-2</v>
      </c>
    </row>
    <row r="9" spans="1:8" x14ac:dyDescent="0.25">
      <c r="A9">
        <v>8</v>
      </c>
      <c r="B9">
        <v>-5.8972371306419298</v>
      </c>
      <c r="C9">
        <v>51.3</v>
      </c>
      <c r="D9">
        <v>0.42</v>
      </c>
      <c r="F9">
        <v>8</v>
      </c>
      <c r="G9">
        <v>0.5748318267890199</v>
      </c>
      <c r="H9" s="51">
        <f t="shared" si="0"/>
        <v>-4.1273994610172018E-2</v>
      </c>
    </row>
    <row r="10" spans="1:8" x14ac:dyDescent="0.25">
      <c r="A10">
        <v>9</v>
      </c>
      <c r="B10">
        <v>-4.3717705470323569</v>
      </c>
      <c r="C10">
        <v>51.92</v>
      </c>
      <c r="D10">
        <v>0.46</v>
      </c>
      <c r="F10">
        <v>9</v>
      </c>
      <c r="G10">
        <v>0.54104917260634378</v>
      </c>
      <c r="H10" s="51">
        <f t="shared" si="0"/>
        <v>-5.8769630713358785E-2</v>
      </c>
    </row>
    <row r="11" spans="1:8" x14ac:dyDescent="0.25">
      <c r="A11">
        <v>10</v>
      </c>
      <c r="B11">
        <v>-5.6346131252050391</v>
      </c>
      <c r="C11">
        <v>50.46</v>
      </c>
      <c r="D11">
        <v>0.34</v>
      </c>
      <c r="F11">
        <v>10</v>
      </c>
      <c r="G11">
        <v>0.51016470882467813</v>
      </c>
      <c r="H11" s="51">
        <f t="shared" si="0"/>
        <v>-5.7082545072361747E-2</v>
      </c>
    </row>
    <row r="12" spans="1:8" x14ac:dyDescent="0.25">
      <c r="A12">
        <v>11</v>
      </c>
      <c r="B12">
        <v>-6.8636987048387503</v>
      </c>
      <c r="C12">
        <v>49.08</v>
      </c>
      <c r="D12">
        <v>0.26</v>
      </c>
      <c r="F12">
        <v>11</v>
      </c>
      <c r="G12">
        <v>0.48260326033207956</v>
      </c>
      <c r="H12" s="51">
        <f t="shared" si="0"/>
        <v>-5.4024608162518466E-2</v>
      </c>
    </row>
    <row r="13" spans="1:8" x14ac:dyDescent="0.25">
      <c r="A13">
        <v>12</v>
      </c>
      <c r="B13">
        <v>-7.0773496582508049</v>
      </c>
      <c r="C13">
        <v>50.8</v>
      </c>
      <c r="D13">
        <v>0.24</v>
      </c>
      <c r="F13">
        <v>12</v>
      </c>
      <c r="G13">
        <v>0.45368277447359379</v>
      </c>
      <c r="H13" s="51">
        <f t="shared" si="0"/>
        <v>-5.9926005967273356E-2</v>
      </c>
    </row>
    <row r="14" spans="1:8" x14ac:dyDescent="0.25">
      <c r="A14">
        <v>13</v>
      </c>
      <c r="B14">
        <v>-6.2996338722705811</v>
      </c>
      <c r="C14">
        <v>49.86</v>
      </c>
      <c r="D14">
        <v>0.26</v>
      </c>
      <c r="F14">
        <v>13</v>
      </c>
      <c r="G14">
        <v>0.43409058290734098</v>
      </c>
      <c r="H14" s="51">
        <f t="shared" si="0"/>
        <v>-4.318478167698904E-2</v>
      </c>
    </row>
    <row r="15" spans="1:8" x14ac:dyDescent="0.25">
      <c r="A15">
        <v>14</v>
      </c>
      <c r="B15">
        <v>-6.3863029209375428</v>
      </c>
      <c r="C15">
        <v>47.24</v>
      </c>
      <c r="D15">
        <v>0.26</v>
      </c>
      <c r="F15">
        <v>14</v>
      </c>
      <c r="G15">
        <v>0.43195291844127665</v>
      </c>
      <c r="H15" s="51">
        <f t="shared" si="0"/>
        <v>-4.9244663446675911E-3</v>
      </c>
    </row>
    <row r="16" spans="1:8" x14ac:dyDescent="0.25">
      <c r="A16">
        <v>15</v>
      </c>
      <c r="B16">
        <v>-5.4168999438285743</v>
      </c>
      <c r="C16">
        <v>49.98</v>
      </c>
      <c r="D16">
        <v>0.3</v>
      </c>
      <c r="F16">
        <v>15</v>
      </c>
      <c r="G16">
        <v>0.41308289145344007</v>
      </c>
      <c r="H16" s="51">
        <f t="shared" si="0"/>
        <v>-4.3685379082354613E-2</v>
      </c>
    </row>
    <row r="17" spans="1:8" x14ac:dyDescent="0.25">
      <c r="A17">
        <v>16</v>
      </c>
      <c r="B17">
        <v>-7.0181673291921634</v>
      </c>
      <c r="C17">
        <v>49.44</v>
      </c>
      <c r="D17">
        <v>0.22</v>
      </c>
      <c r="F17">
        <v>16</v>
      </c>
      <c r="G17">
        <v>0.38609063526856696</v>
      </c>
      <c r="H17" s="51">
        <f t="shared" si="0"/>
        <v>-6.5343437705445359E-2</v>
      </c>
    </row>
    <row r="18" spans="1:8" x14ac:dyDescent="0.25">
      <c r="A18">
        <v>17</v>
      </c>
      <c r="B18">
        <v>-7.5701835293769868</v>
      </c>
      <c r="C18">
        <v>49.92</v>
      </c>
      <c r="D18">
        <v>0.16</v>
      </c>
      <c r="F18">
        <v>17</v>
      </c>
      <c r="G18">
        <v>0.37700967523809337</v>
      </c>
      <c r="H18" s="51">
        <f t="shared" si="0"/>
        <v>-2.3520280475481683E-2</v>
      </c>
    </row>
    <row r="19" spans="1:8" x14ac:dyDescent="0.25">
      <c r="A19">
        <v>18</v>
      </c>
      <c r="B19">
        <v>-7.1296413855552672</v>
      </c>
      <c r="C19">
        <v>47.82</v>
      </c>
      <c r="D19">
        <v>0.2</v>
      </c>
      <c r="F19">
        <v>18</v>
      </c>
      <c r="G19">
        <v>0.36710119756142218</v>
      </c>
      <c r="H19" s="51">
        <f t="shared" si="0"/>
        <v>-2.6281759666814061E-2</v>
      </c>
    </row>
    <row r="20" spans="1:8" x14ac:dyDescent="0.25">
      <c r="A20">
        <v>19</v>
      </c>
      <c r="B20">
        <v>-7.7043755719661746</v>
      </c>
      <c r="C20">
        <v>47.66</v>
      </c>
      <c r="D20">
        <v>0.16</v>
      </c>
      <c r="F20">
        <v>19</v>
      </c>
      <c r="G20">
        <v>0.34202591064138688</v>
      </c>
      <c r="H20" s="51">
        <f t="shared" si="0"/>
        <v>-6.8306197546086148E-2</v>
      </c>
    </row>
    <row r="21" spans="1:8" x14ac:dyDescent="0.25">
      <c r="A21">
        <v>20</v>
      </c>
      <c r="B21">
        <v>-8.19691684269905</v>
      </c>
      <c r="C21">
        <v>51.24</v>
      </c>
      <c r="D21">
        <v>0.12</v>
      </c>
      <c r="F21">
        <v>20</v>
      </c>
      <c r="G21">
        <v>0.34245146755804984</v>
      </c>
      <c r="H21" s="51">
        <f t="shared" si="0"/>
        <v>1.2442242047245259E-3</v>
      </c>
    </row>
    <row r="22" spans="1:8" x14ac:dyDescent="0.25">
      <c r="A22">
        <v>21</v>
      </c>
      <c r="B22">
        <v>-7.3059137203693414</v>
      </c>
      <c r="C22">
        <v>47.88</v>
      </c>
      <c r="D22">
        <v>0.16</v>
      </c>
      <c r="F22">
        <v>21</v>
      </c>
      <c r="G22">
        <v>0.33875687854302694</v>
      </c>
      <c r="H22" s="51">
        <f t="shared" si="0"/>
        <v>-1.0788649969492739E-2</v>
      </c>
    </row>
    <row r="23" spans="1:8" x14ac:dyDescent="0.25">
      <c r="A23">
        <v>22</v>
      </c>
      <c r="B23">
        <v>-8.4480647680759446</v>
      </c>
      <c r="C23">
        <v>47.8</v>
      </c>
      <c r="D23">
        <v>0.1</v>
      </c>
      <c r="F23">
        <v>22</v>
      </c>
      <c r="G23">
        <v>0.36166502155256025</v>
      </c>
      <c r="H23" s="51">
        <f t="shared" si="0"/>
        <v>6.7624141266326057E-2</v>
      </c>
    </row>
    <row r="24" spans="1:8" x14ac:dyDescent="0.25">
      <c r="A24">
        <v>23</v>
      </c>
      <c r="B24">
        <v>-7.7410595899820365</v>
      </c>
      <c r="C24">
        <v>46.94</v>
      </c>
      <c r="D24">
        <v>0.16</v>
      </c>
      <c r="F24">
        <v>23</v>
      </c>
      <c r="G24">
        <v>0.3665179806132145</v>
      </c>
      <c r="H24" s="51">
        <f t="shared" si="0"/>
        <v>1.3418381019600415E-2</v>
      </c>
    </row>
    <row r="25" spans="1:8" x14ac:dyDescent="0.25">
      <c r="A25">
        <v>24</v>
      </c>
      <c r="B25">
        <v>-8.4117763223648083</v>
      </c>
      <c r="C25">
        <v>47.54</v>
      </c>
      <c r="D25">
        <v>0.1</v>
      </c>
      <c r="F25">
        <v>24</v>
      </c>
      <c r="G25">
        <v>0.34004447760542483</v>
      </c>
      <c r="H25" s="51">
        <f t="shared" si="0"/>
        <v>-7.2229752448972173E-2</v>
      </c>
    </row>
    <row r="26" spans="1:8" x14ac:dyDescent="0.25">
      <c r="A26">
        <v>25</v>
      </c>
      <c r="B26">
        <v>-8.5325178326368345</v>
      </c>
      <c r="C26">
        <v>48</v>
      </c>
      <c r="D26">
        <v>0.1</v>
      </c>
      <c r="F26">
        <v>25</v>
      </c>
      <c r="G26">
        <v>0.35733644124371972</v>
      </c>
      <c r="H26" s="51">
        <f t="shared" si="0"/>
        <v>5.08520642948357E-2</v>
      </c>
    </row>
    <row r="27" spans="1:8" x14ac:dyDescent="0.25">
      <c r="A27">
        <v>26</v>
      </c>
      <c r="B27">
        <v>-7.8647960129976253</v>
      </c>
      <c r="C27">
        <v>47.44</v>
      </c>
      <c r="D27">
        <v>0.14000000000000001</v>
      </c>
      <c r="F27">
        <v>26</v>
      </c>
      <c r="G27">
        <v>0.36345207978871302</v>
      </c>
      <c r="H27" s="51">
        <f t="shared" si="0"/>
        <v>1.7114511253617605E-2</v>
      </c>
    </row>
    <row r="28" spans="1:8" x14ac:dyDescent="0.25">
      <c r="A28">
        <v>27</v>
      </c>
      <c r="B28">
        <v>-8.1263297199010847</v>
      </c>
      <c r="C28">
        <v>48.06</v>
      </c>
      <c r="D28">
        <v>0.14000000000000001</v>
      </c>
      <c r="F28">
        <v>27</v>
      </c>
      <c r="G28">
        <v>0.35406120093161209</v>
      </c>
      <c r="H28" s="51">
        <f t="shared" si="0"/>
        <v>-2.5838011059285099E-2</v>
      </c>
    </row>
    <row r="29" spans="1:8" x14ac:dyDescent="0.25">
      <c r="A29">
        <v>28</v>
      </c>
      <c r="B29">
        <v>-6.2779277497530011</v>
      </c>
      <c r="C29">
        <v>47.52</v>
      </c>
      <c r="D29">
        <v>0.24</v>
      </c>
      <c r="F29">
        <v>28</v>
      </c>
      <c r="G29">
        <v>0.32763036793006095</v>
      </c>
      <c r="H29" s="51">
        <f t="shared" si="0"/>
        <v>-7.4650464190953031E-2</v>
      </c>
    </row>
    <row r="30" spans="1:8" x14ac:dyDescent="0.25">
      <c r="A30">
        <v>29</v>
      </c>
      <c r="B30">
        <v>-7.2632529110908486</v>
      </c>
      <c r="C30">
        <v>49.26</v>
      </c>
      <c r="D30">
        <v>0.18</v>
      </c>
      <c r="F30">
        <v>29</v>
      </c>
      <c r="G30">
        <v>0.3164367657745818</v>
      </c>
      <c r="H30" s="51">
        <f t="shared" si="0"/>
        <v>-3.4165337682826293E-2</v>
      </c>
    </row>
    <row r="31" spans="1:8" x14ac:dyDescent="0.25">
      <c r="A31">
        <v>30</v>
      </c>
      <c r="B31">
        <v>-6.4878300784826264</v>
      </c>
      <c r="C31">
        <v>48.32</v>
      </c>
      <c r="D31">
        <v>0.24</v>
      </c>
      <c r="F31">
        <v>30</v>
      </c>
      <c r="G31">
        <v>0.30043076139815872</v>
      </c>
      <c r="H31" s="51">
        <f t="shared" si="0"/>
        <v>-5.0581999652420863E-2</v>
      </c>
    </row>
    <row r="32" spans="1:8" x14ac:dyDescent="0.25">
      <c r="A32">
        <v>31</v>
      </c>
      <c r="B32">
        <v>-7.0302702319622146</v>
      </c>
      <c r="C32">
        <v>51.16</v>
      </c>
      <c r="D32">
        <v>0.2</v>
      </c>
      <c r="F32">
        <v>31</v>
      </c>
      <c r="G32">
        <v>0.28813679657672947</v>
      </c>
      <c r="H32" s="51">
        <f t="shared" si="0"/>
        <v>-4.0921125267649093E-2</v>
      </c>
    </row>
    <row r="33" spans="1:8" x14ac:dyDescent="0.25">
      <c r="A33">
        <v>32</v>
      </c>
      <c r="B33">
        <v>-7.9113638243675233</v>
      </c>
      <c r="C33">
        <v>49.56</v>
      </c>
      <c r="D33">
        <v>0.16</v>
      </c>
      <c r="F33">
        <v>32</v>
      </c>
      <c r="G33">
        <v>0.29648383245561272</v>
      </c>
      <c r="H33" s="51">
        <f t="shared" si="0"/>
        <v>2.8969003536000897E-2</v>
      </c>
    </row>
    <row r="34" spans="1:8" x14ac:dyDescent="0.25">
      <c r="A34">
        <v>33</v>
      </c>
      <c r="B34">
        <v>-8.232914300322534</v>
      </c>
      <c r="C34">
        <v>50.18</v>
      </c>
      <c r="D34">
        <v>0.12</v>
      </c>
      <c r="F34">
        <v>33</v>
      </c>
      <c r="G34">
        <v>0.28204597236244466</v>
      </c>
      <c r="H34" s="51">
        <f t="shared" si="0"/>
        <v>-4.8696955829217362E-2</v>
      </c>
    </row>
    <row r="35" spans="1:8" x14ac:dyDescent="0.25">
      <c r="A35">
        <v>34</v>
      </c>
      <c r="B35">
        <v>-8.175858159422873</v>
      </c>
      <c r="C35">
        <v>48.16</v>
      </c>
      <c r="D35">
        <v>0.12</v>
      </c>
      <c r="F35">
        <v>34</v>
      </c>
      <c r="G35">
        <v>0.29344990303624074</v>
      </c>
      <c r="H35" s="51">
        <f t="shared" si="0"/>
        <v>4.0432879002935733E-2</v>
      </c>
    </row>
    <row r="36" spans="1:8" x14ac:dyDescent="0.25">
      <c r="A36">
        <v>35</v>
      </c>
      <c r="B36">
        <v>-9.1464405338764188</v>
      </c>
      <c r="C36">
        <v>46.34</v>
      </c>
      <c r="D36">
        <v>0.06</v>
      </c>
      <c r="F36">
        <v>35</v>
      </c>
      <c r="G36">
        <v>0.29404920672455387</v>
      </c>
      <c r="H36" s="51">
        <f t="shared" si="0"/>
        <v>2.0422691645568913E-3</v>
      </c>
    </row>
    <row r="37" spans="1:8" x14ac:dyDescent="0.25">
      <c r="A37">
        <v>36</v>
      </c>
      <c r="B37">
        <v>-6.5753470337390887</v>
      </c>
      <c r="C37">
        <v>50.08</v>
      </c>
      <c r="D37">
        <v>0.26</v>
      </c>
      <c r="F37">
        <v>36</v>
      </c>
      <c r="G37">
        <v>0.27803399499228004</v>
      </c>
      <c r="H37" s="51">
        <f t="shared" si="0"/>
        <v>-5.4464393598163428E-2</v>
      </c>
    </row>
    <row r="38" spans="1:8" x14ac:dyDescent="0.25">
      <c r="A38">
        <v>37</v>
      </c>
      <c r="B38">
        <v>-8.7865559476614035</v>
      </c>
      <c r="C38">
        <v>50</v>
      </c>
      <c r="D38">
        <v>0.08</v>
      </c>
      <c r="F38">
        <v>37</v>
      </c>
      <c r="G38">
        <v>0.26896421107338619</v>
      </c>
      <c r="H38" s="51">
        <f t="shared" si="0"/>
        <v>-3.2621132963059719E-2</v>
      </c>
    </row>
    <row r="39" spans="1:8" x14ac:dyDescent="0.25">
      <c r="A39">
        <v>38</v>
      </c>
      <c r="B39">
        <v>-7.6747264053821667</v>
      </c>
      <c r="C39">
        <v>48.62</v>
      </c>
      <c r="D39">
        <v>0.16</v>
      </c>
      <c r="F39">
        <v>38</v>
      </c>
      <c r="G39">
        <v>0.2485239457394163</v>
      </c>
      <c r="H39" s="51">
        <f t="shared" si="0"/>
        <v>-7.5996227350830767E-2</v>
      </c>
    </row>
    <row r="40" spans="1:8" x14ac:dyDescent="0.25">
      <c r="A40">
        <v>39</v>
      </c>
      <c r="B40">
        <v>-5.1123987705707528</v>
      </c>
      <c r="C40">
        <v>49.64</v>
      </c>
      <c r="D40">
        <v>0.3</v>
      </c>
      <c r="F40">
        <v>39</v>
      </c>
      <c r="G40">
        <v>0.2445475501709225</v>
      </c>
      <c r="H40" s="51">
        <f t="shared" si="0"/>
        <v>-1.6000050042112052E-2</v>
      </c>
    </row>
    <row r="41" spans="1:8" x14ac:dyDescent="0.25">
      <c r="A41">
        <v>40</v>
      </c>
      <c r="B41">
        <v>-7.9075799950361292</v>
      </c>
      <c r="C41">
        <v>50.1</v>
      </c>
      <c r="D41">
        <v>0.16</v>
      </c>
      <c r="F41">
        <v>40</v>
      </c>
      <c r="G41">
        <v>0.24100727010020792</v>
      </c>
      <c r="H41" s="51">
        <f t="shared" si="0"/>
        <v>-1.4476857642778099E-2</v>
      </c>
    </row>
    <row r="42" spans="1:8" x14ac:dyDescent="0.25">
      <c r="A42">
        <v>41</v>
      </c>
      <c r="B42">
        <v>-5.2951562763452555</v>
      </c>
      <c r="C42">
        <v>48.54</v>
      </c>
      <c r="D42">
        <v>0.28000000000000003</v>
      </c>
      <c r="F42">
        <v>41</v>
      </c>
      <c r="G42">
        <v>0.23556783966617792</v>
      </c>
      <c r="H42" s="51">
        <f t="shared" si="0"/>
        <v>-2.2569569921141182E-2</v>
      </c>
    </row>
    <row r="43" spans="1:8" x14ac:dyDescent="0.25">
      <c r="A43">
        <v>42</v>
      </c>
      <c r="B43">
        <v>-6.9210989224910744</v>
      </c>
      <c r="C43">
        <v>48.92</v>
      </c>
      <c r="D43">
        <v>0.2</v>
      </c>
      <c r="F43">
        <v>42</v>
      </c>
      <c r="G43">
        <v>0.23965301832669078</v>
      </c>
      <c r="H43" s="51">
        <f t="shared" si="0"/>
        <v>1.7341835228025817E-2</v>
      </c>
    </row>
    <row r="44" spans="1:8" x14ac:dyDescent="0.25">
      <c r="A44">
        <v>43</v>
      </c>
      <c r="B44">
        <v>-6.947567244052899</v>
      </c>
      <c r="C44">
        <v>49.36</v>
      </c>
      <c r="D44">
        <v>0.22</v>
      </c>
      <c r="F44">
        <v>43</v>
      </c>
      <c r="G44">
        <v>0.25242603666242147</v>
      </c>
      <c r="H44" s="51">
        <f t="shared" si="0"/>
        <v>5.3297965637631721E-2</v>
      </c>
    </row>
    <row r="45" spans="1:8" x14ac:dyDescent="0.25">
      <c r="A45">
        <v>44</v>
      </c>
      <c r="B45">
        <v>-5.581122915148736</v>
      </c>
      <c r="C45">
        <v>49.34</v>
      </c>
      <c r="D45">
        <v>0.3</v>
      </c>
      <c r="F45">
        <v>44</v>
      </c>
      <c r="G45">
        <v>0.24517725105572663</v>
      </c>
      <c r="H45" s="51">
        <f t="shared" si="0"/>
        <v>-2.8716473556128861E-2</v>
      </c>
    </row>
    <row r="46" spans="1:8" x14ac:dyDescent="0.25">
      <c r="A46">
        <v>45</v>
      </c>
      <c r="B46">
        <v>-5.3639056435823447</v>
      </c>
      <c r="C46">
        <v>51.24</v>
      </c>
      <c r="D46">
        <v>0.32</v>
      </c>
      <c r="F46">
        <v>45</v>
      </c>
      <c r="G46">
        <v>0.26348650923866296</v>
      </c>
      <c r="H46" s="51">
        <f t="shared" si="0"/>
        <v>7.4677638745426642E-2</v>
      </c>
    </row>
    <row r="47" spans="1:8" x14ac:dyDescent="0.25">
      <c r="A47">
        <v>46</v>
      </c>
      <c r="B47">
        <v>-8.0576528285741844</v>
      </c>
      <c r="C47">
        <v>48.62</v>
      </c>
      <c r="D47">
        <v>0.14000000000000001</v>
      </c>
      <c r="F47">
        <v>46</v>
      </c>
      <c r="G47">
        <v>0.27367246968698866</v>
      </c>
      <c r="H47" s="51">
        <f t="shared" si="0"/>
        <v>3.8658375632808516E-2</v>
      </c>
    </row>
    <row r="48" spans="1:8" x14ac:dyDescent="0.25">
      <c r="A48">
        <v>47</v>
      </c>
      <c r="B48">
        <v>-5.7100666055679348</v>
      </c>
      <c r="C48">
        <v>49.64</v>
      </c>
      <c r="D48">
        <v>0.3</v>
      </c>
      <c r="F48">
        <v>47</v>
      </c>
      <c r="G48">
        <v>0.26384155938311038</v>
      </c>
      <c r="H48" s="51">
        <f t="shared" si="0"/>
        <v>-3.5922174835935565E-2</v>
      </c>
    </row>
    <row r="49" spans="1:8" x14ac:dyDescent="0.25">
      <c r="A49">
        <v>48</v>
      </c>
      <c r="B49">
        <v>-6.6155203665494966</v>
      </c>
      <c r="C49">
        <v>48.64</v>
      </c>
      <c r="D49">
        <v>0.24</v>
      </c>
      <c r="F49">
        <v>48</v>
      </c>
      <c r="G49">
        <v>0.27251759161428918</v>
      </c>
      <c r="H49" s="51">
        <f t="shared" si="0"/>
        <v>3.2883493606785393E-2</v>
      </c>
    </row>
    <row r="50" spans="1:8" x14ac:dyDescent="0.25">
      <c r="A50">
        <v>49</v>
      </c>
      <c r="B50">
        <v>-5.6245567148923943</v>
      </c>
      <c r="C50">
        <v>49.64</v>
      </c>
      <c r="D50">
        <v>0.28000000000000003</v>
      </c>
      <c r="F50">
        <v>49</v>
      </c>
      <c r="G50">
        <v>0.25161342883238769</v>
      </c>
      <c r="H50" s="51">
        <f t="shared" si="0"/>
        <v>-7.670757200690527E-2</v>
      </c>
    </row>
    <row r="51" spans="1:8" x14ac:dyDescent="0.25">
      <c r="A51">
        <v>50</v>
      </c>
      <c r="B51">
        <v>-6.1703789321184175</v>
      </c>
      <c r="C51">
        <v>51.18</v>
      </c>
      <c r="D51">
        <v>0.26</v>
      </c>
      <c r="F51">
        <v>50</v>
      </c>
      <c r="G51">
        <v>0.23861422204539157</v>
      </c>
      <c r="H51" s="51">
        <f t="shared" si="0"/>
        <v>-5.1663406231213294E-2</v>
      </c>
    </row>
    <row r="52" spans="1:8" x14ac:dyDescent="0.25">
      <c r="A52">
        <v>51</v>
      </c>
      <c r="B52">
        <v>-5.6355282485485017</v>
      </c>
      <c r="C52">
        <v>51.7</v>
      </c>
      <c r="D52">
        <v>0.28000000000000003</v>
      </c>
      <c r="H52" s="51">
        <f t="shared" si="0"/>
        <v>-1</v>
      </c>
    </row>
    <row r="53" spans="1:8" x14ac:dyDescent="0.25">
      <c r="A53">
        <v>52</v>
      </c>
      <c r="B53">
        <v>-5.155676820874211</v>
      </c>
      <c r="C53">
        <v>50.14</v>
      </c>
      <c r="D53">
        <v>0.32</v>
      </c>
      <c r="H53" s="51" t="e">
        <f t="shared" si="0"/>
        <v>#DIV/0!</v>
      </c>
    </row>
    <row r="54" spans="1:8" x14ac:dyDescent="0.25">
      <c r="A54">
        <v>53</v>
      </c>
      <c r="B54">
        <v>-6.2039231261014871</v>
      </c>
      <c r="C54">
        <v>51.4</v>
      </c>
      <c r="D54">
        <v>0.28000000000000003</v>
      </c>
      <c r="H54" s="51" t="e">
        <f t="shared" si="0"/>
        <v>#DIV/0!</v>
      </c>
    </row>
    <row r="55" spans="1:8" x14ac:dyDescent="0.25">
      <c r="A55">
        <v>54</v>
      </c>
      <c r="B55">
        <v>-4.4398757650852234</v>
      </c>
      <c r="C55">
        <v>50.12</v>
      </c>
      <c r="D55">
        <v>0.36</v>
      </c>
      <c r="H55" s="51" t="e">
        <f t="shared" si="0"/>
        <v>#DIV/0!</v>
      </c>
    </row>
    <row r="56" spans="1:8" x14ac:dyDescent="0.25">
      <c r="A56">
        <v>55</v>
      </c>
      <c r="B56">
        <v>-4.8138148097991911</v>
      </c>
      <c r="C56">
        <v>51.06</v>
      </c>
      <c r="D56">
        <v>0.36</v>
      </c>
      <c r="H56" s="51" t="e">
        <f t="shared" si="0"/>
        <v>#DIV/0!</v>
      </c>
    </row>
    <row r="57" spans="1:8" x14ac:dyDescent="0.25">
      <c r="A57">
        <v>56</v>
      </c>
      <c r="B57">
        <v>-2.3731584115028306</v>
      </c>
      <c r="C57">
        <v>51.72</v>
      </c>
      <c r="D57">
        <v>0.5</v>
      </c>
      <c r="H57" s="51" t="e">
        <f t="shared" si="0"/>
        <v>#DIV/0!</v>
      </c>
    </row>
    <row r="58" spans="1:8" x14ac:dyDescent="0.25">
      <c r="A58">
        <v>57</v>
      </c>
      <c r="B58">
        <v>-2.1513293449878668</v>
      </c>
      <c r="C58">
        <v>54.34</v>
      </c>
      <c r="D58">
        <v>0.52</v>
      </c>
      <c r="H58" s="51" t="e">
        <f t="shared" si="0"/>
        <v>#DIV/0!</v>
      </c>
    </row>
    <row r="59" spans="1:8" x14ac:dyDescent="0.25">
      <c r="A59">
        <v>58</v>
      </c>
      <c r="B59">
        <v>-3.0342768470048793</v>
      </c>
      <c r="C59">
        <v>54.08</v>
      </c>
      <c r="D59">
        <v>0.46</v>
      </c>
      <c r="H59" s="51" t="e">
        <f t="shared" si="0"/>
        <v>#DIV/0!</v>
      </c>
    </row>
    <row r="60" spans="1:8" x14ac:dyDescent="0.25">
      <c r="A60">
        <v>59</v>
      </c>
      <c r="B60">
        <v>-3.9813573868274794</v>
      </c>
      <c r="C60">
        <v>52.66</v>
      </c>
      <c r="D60">
        <v>0.4</v>
      </c>
      <c r="H60" s="51" t="e">
        <f t="shared" si="0"/>
        <v>#DIV/0!</v>
      </c>
    </row>
    <row r="61" spans="1:8" x14ac:dyDescent="0.25">
      <c r="A61">
        <v>60</v>
      </c>
      <c r="B61">
        <v>-1.6956693792343105</v>
      </c>
      <c r="C61">
        <v>53.22</v>
      </c>
      <c r="D61">
        <v>0.54</v>
      </c>
      <c r="H61" s="51" t="e">
        <f t="shared" si="0"/>
        <v>#DIV/0!</v>
      </c>
    </row>
    <row r="62" spans="1:8" x14ac:dyDescent="0.25">
      <c r="A62">
        <v>61</v>
      </c>
      <c r="B62">
        <v>-2.0370226864814729</v>
      </c>
      <c r="C62">
        <v>56.46</v>
      </c>
      <c r="D62">
        <v>0.54</v>
      </c>
      <c r="H62" s="51" t="e">
        <f t="shared" si="0"/>
        <v>#DIV/0!</v>
      </c>
    </row>
    <row r="63" spans="1:8" x14ac:dyDescent="0.25">
      <c r="A63">
        <v>62</v>
      </c>
      <c r="B63">
        <v>-2.8702817240953475</v>
      </c>
      <c r="C63">
        <v>55.26</v>
      </c>
      <c r="D63">
        <v>0.48</v>
      </c>
      <c r="H63" s="51" t="e">
        <f t="shared" si="0"/>
        <v>#DIV/0!</v>
      </c>
    </row>
    <row r="64" spans="1:8" x14ac:dyDescent="0.25">
      <c r="A64">
        <v>63</v>
      </c>
      <c r="B64">
        <v>0.39557017862796684</v>
      </c>
      <c r="C64">
        <v>51.72</v>
      </c>
      <c r="D64">
        <v>0.68</v>
      </c>
      <c r="H64" s="51" t="e">
        <f t="shared" si="0"/>
        <v>#DIV/0!</v>
      </c>
    </row>
    <row r="65" spans="1:8" x14ac:dyDescent="0.25">
      <c r="A65">
        <v>64</v>
      </c>
      <c r="B65">
        <v>-1.8439279434680969</v>
      </c>
      <c r="C65">
        <v>53.68</v>
      </c>
      <c r="D65">
        <v>0.52</v>
      </c>
      <c r="H65" s="51" t="e">
        <f t="shared" si="0"/>
        <v>#DIV/0!</v>
      </c>
    </row>
    <row r="66" spans="1:8" x14ac:dyDescent="0.25">
      <c r="A66">
        <v>65</v>
      </c>
      <c r="B66">
        <v>0.16030333411694012</v>
      </c>
      <c r="C66">
        <v>53.92</v>
      </c>
      <c r="D66">
        <v>0.66</v>
      </c>
      <c r="H66" s="51" t="e">
        <f t="shared" si="0"/>
        <v>#DIV/0!</v>
      </c>
    </row>
    <row r="67" spans="1:8" x14ac:dyDescent="0.25">
      <c r="A67">
        <v>66</v>
      </c>
      <c r="B67">
        <v>-3.3111734669208506</v>
      </c>
      <c r="C67">
        <v>54.34</v>
      </c>
      <c r="D67">
        <v>0.46</v>
      </c>
      <c r="H67" s="51" t="e">
        <f t="shared" ref="H67:H130" si="1">(G67-G66)/G66</f>
        <v>#DIV/0!</v>
      </c>
    </row>
    <row r="68" spans="1:8" x14ac:dyDescent="0.25">
      <c r="A68">
        <v>67</v>
      </c>
      <c r="B68">
        <v>-0.48489091002942414</v>
      </c>
      <c r="C68">
        <v>54.42</v>
      </c>
      <c r="D68">
        <v>0.6</v>
      </c>
      <c r="H68" s="51" t="e">
        <f t="shared" si="1"/>
        <v>#DIV/0!</v>
      </c>
    </row>
    <row r="69" spans="1:8" x14ac:dyDescent="0.25">
      <c r="A69">
        <v>68</v>
      </c>
      <c r="B69">
        <v>-1.2422715457677851</v>
      </c>
      <c r="C69">
        <v>52.8</v>
      </c>
      <c r="D69">
        <v>0.6</v>
      </c>
      <c r="H69" s="51" t="e">
        <f t="shared" si="1"/>
        <v>#DIV/0!</v>
      </c>
    </row>
    <row r="70" spans="1:8" x14ac:dyDescent="0.25">
      <c r="A70">
        <v>69</v>
      </c>
      <c r="B70">
        <v>0.78949371421337944</v>
      </c>
      <c r="C70">
        <v>54.6</v>
      </c>
      <c r="D70">
        <v>0.72</v>
      </c>
      <c r="H70" s="51" t="e">
        <f t="shared" si="1"/>
        <v>#DIV/0!</v>
      </c>
    </row>
    <row r="71" spans="1:8" x14ac:dyDescent="0.25">
      <c r="A71">
        <v>70</v>
      </c>
      <c r="B71">
        <v>-0.86417751002312782</v>
      </c>
      <c r="C71">
        <v>55.96</v>
      </c>
      <c r="D71">
        <v>0.6</v>
      </c>
      <c r="H71" s="51" t="e">
        <f t="shared" si="1"/>
        <v>#DIV/0!</v>
      </c>
    </row>
    <row r="72" spans="1:8" x14ac:dyDescent="0.25">
      <c r="A72">
        <v>71</v>
      </c>
      <c r="B72">
        <v>9.0464037775996611E-2</v>
      </c>
      <c r="C72">
        <v>55.28</v>
      </c>
      <c r="D72">
        <v>0.66</v>
      </c>
      <c r="H72" s="51" t="e">
        <f t="shared" si="1"/>
        <v>#DIV/0!</v>
      </c>
    </row>
    <row r="73" spans="1:8" x14ac:dyDescent="0.25">
      <c r="A73">
        <v>72</v>
      </c>
      <c r="B73">
        <v>2.2815598245859205</v>
      </c>
      <c r="C73">
        <v>57.74</v>
      </c>
      <c r="D73">
        <v>0.8</v>
      </c>
      <c r="H73" s="51" t="e">
        <f t="shared" si="1"/>
        <v>#DIV/0!</v>
      </c>
    </row>
    <row r="74" spans="1:8" x14ac:dyDescent="0.25">
      <c r="A74">
        <v>73</v>
      </c>
      <c r="B74">
        <v>0.89249649512768603</v>
      </c>
      <c r="C74">
        <v>53.58</v>
      </c>
      <c r="D74">
        <v>0.72</v>
      </c>
      <c r="H74" s="51" t="e">
        <f t="shared" si="1"/>
        <v>#DIV/0!</v>
      </c>
    </row>
    <row r="75" spans="1:8" x14ac:dyDescent="0.25">
      <c r="A75">
        <v>74</v>
      </c>
      <c r="B75">
        <v>0.55763345885277393</v>
      </c>
      <c r="C75">
        <v>56.4</v>
      </c>
      <c r="D75">
        <v>0.7</v>
      </c>
      <c r="H75" s="51" t="e">
        <f t="shared" si="1"/>
        <v>#DIV/0!</v>
      </c>
    </row>
    <row r="76" spans="1:8" x14ac:dyDescent="0.25">
      <c r="A76">
        <v>75</v>
      </c>
      <c r="B76">
        <v>-0.56552616083621654</v>
      </c>
      <c r="C76">
        <v>56.22</v>
      </c>
      <c r="D76">
        <v>0.6</v>
      </c>
      <c r="H76" s="51" t="e">
        <f t="shared" si="1"/>
        <v>#DIV/0!</v>
      </c>
    </row>
    <row r="77" spans="1:8" x14ac:dyDescent="0.25">
      <c r="A77">
        <v>76</v>
      </c>
      <c r="B77">
        <v>-1.3624474960565609</v>
      </c>
      <c r="C77">
        <v>57.24</v>
      </c>
      <c r="D77">
        <v>0.6</v>
      </c>
      <c r="H77" s="51" t="e">
        <f t="shared" si="1"/>
        <v>#DIV/0!</v>
      </c>
    </row>
    <row r="78" spans="1:8" x14ac:dyDescent="0.25">
      <c r="A78">
        <v>77</v>
      </c>
      <c r="B78">
        <v>1.4365997714996142</v>
      </c>
      <c r="C78">
        <v>55.32</v>
      </c>
      <c r="D78">
        <v>0.72</v>
      </c>
      <c r="H78" s="51" t="e">
        <f t="shared" si="1"/>
        <v>#DIV/0!</v>
      </c>
    </row>
    <row r="79" spans="1:8" x14ac:dyDescent="0.25">
      <c r="A79">
        <v>78</v>
      </c>
      <c r="B79">
        <v>0.80215666973590938</v>
      </c>
      <c r="C79">
        <v>56.24</v>
      </c>
      <c r="D79">
        <v>0.7</v>
      </c>
      <c r="H79" s="51" t="e">
        <f t="shared" si="1"/>
        <v>#DIV/0!</v>
      </c>
    </row>
    <row r="80" spans="1:8" x14ac:dyDescent="0.25">
      <c r="A80">
        <v>79</v>
      </c>
      <c r="B80">
        <v>0.1371258206367543</v>
      </c>
      <c r="C80">
        <v>57.16</v>
      </c>
      <c r="D80">
        <v>0.7</v>
      </c>
      <c r="H80" s="51" t="e">
        <f t="shared" si="1"/>
        <v>#DIV/0!</v>
      </c>
    </row>
    <row r="81" spans="1:8" x14ac:dyDescent="0.25">
      <c r="A81">
        <v>80</v>
      </c>
      <c r="B81">
        <v>2.5460901095867206</v>
      </c>
      <c r="C81">
        <v>56.16</v>
      </c>
      <c r="D81">
        <v>0.78</v>
      </c>
      <c r="H81" s="51" t="e">
        <f t="shared" si="1"/>
        <v>#DIV/0!</v>
      </c>
    </row>
    <row r="82" spans="1:8" x14ac:dyDescent="0.25">
      <c r="A82">
        <v>81</v>
      </c>
      <c r="B82">
        <v>2.2219892159700403</v>
      </c>
      <c r="C82">
        <v>58.18</v>
      </c>
      <c r="D82">
        <v>0.76</v>
      </c>
      <c r="H82" s="51" t="e">
        <f t="shared" si="1"/>
        <v>#DIV/0!</v>
      </c>
    </row>
    <row r="83" spans="1:8" x14ac:dyDescent="0.25">
      <c r="A83">
        <v>82</v>
      </c>
      <c r="B83">
        <v>2.3673331120014134</v>
      </c>
      <c r="C83">
        <v>58.38</v>
      </c>
      <c r="D83">
        <v>0.78</v>
      </c>
      <c r="H83" s="51" t="e">
        <f t="shared" si="1"/>
        <v>#DIV/0!</v>
      </c>
    </row>
    <row r="84" spans="1:8" x14ac:dyDescent="0.25">
      <c r="A84">
        <v>83</v>
      </c>
      <c r="B84">
        <v>2.9861768342256578</v>
      </c>
      <c r="C84">
        <v>56.44</v>
      </c>
      <c r="D84">
        <v>0.82</v>
      </c>
      <c r="H84" s="51" t="e">
        <f t="shared" si="1"/>
        <v>#DIV/0!</v>
      </c>
    </row>
    <row r="85" spans="1:8" x14ac:dyDescent="0.25">
      <c r="A85">
        <v>84</v>
      </c>
      <c r="B85">
        <v>0.97795546948910128</v>
      </c>
      <c r="C85">
        <v>57.42</v>
      </c>
      <c r="D85">
        <v>0.72</v>
      </c>
      <c r="H85" s="51" t="e">
        <f t="shared" si="1"/>
        <v>#DIV/0!</v>
      </c>
    </row>
    <row r="86" spans="1:8" x14ac:dyDescent="0.25">
      <c r="A86">
        <v>85</v>
      </c>
      <c r="B86">
        <v>1.4930485129356363</v>
      </c>
      <c r="C86">
        <v>57.84</v>
      </c>
      <c r="D86">
        <v>0.76</v>
      </c>
      <c r="H86" s="51" t="e">
        <f t="shared" si="1"/>
        <v>#DIV/0!</v>
      </c>
    </row>
    <row r="87" spans="1:8" x14ac:dyDescent="0.25">
      <c r="A87">
        <v>86</v>
      </c>
      <c r="B87">
        <v>3.3656622703075425</v>
      </c>
      <c r="C87">
        <v>58.44</v>
      </c>
      <c r="D87">
        <v>0.86</v>
      </c>
      <c r="H87" s="51" t="e">
        <f t="shared" si="1"/>
        <v>#DIV/0!</v>
      </c>
    </row>
    <row r="88" spans="1:8" x14ac:dyDescent="0.25">
      <c r="A88">
        <v>87</v>
      </c>
      <c r="B88">
        <v>3.1573844723701465</v>
      </c>
      <c r="C88">
        <v>56.98</v>
      </c>
      <c r="D88">
        <v>0.86</v>
      </c>
      <c r="H88" s="51" t="e">
        <f t="shared" si="1"/>
        <v>#DIV/0!</v>
      </c>
    </row>
    <row r="89" spans="1:8" x14ac:dyDescent="0.25">
      <c r="A89">
        <v>88</v>
      </c>
      <c r="B89">
        <v>3.2040901094675052</v>
      </c>
      <c r="C89">
        <v>57.84</v>
      </c>
      <c r="D89">
        <v>0.84</v>
      </c>
      <c r="H89" s="51" t="e">
        <f t="shared" si="1"/>
        <v>#DIV/0!</v>
      </c>
    </row>
    <row r="90" spans="1:8" x14ac:dyDescent="0.25">
      <c r="A90">
        <v>89</v>
      </c>
      <c r="B90">
        <v>3.1047858864069093</v>
      </c>
      <c r="C90">
        <v>58.28</v>
      </c>
      <c r="D90">
        <v>0.88</v>
      </c>
      <c r="H90" s="51" t="e">
        <f t="shared" si="1"/>
        <v>#DIV/0!</v>
      </c>
    </row>
    <row r="91" spans="1:8" x14ac:dyDescent="0.25">
      <c r="A91">
        <v>90</v>
      </c>
      <c r="B91">
        <v>4.5098116874694805</v>
      </c>
      <c r="C91">
        <v>57.96</v>
      </c>
      <c r="D91">
        <v>0.94</v>
      </c>
      <c r="H91" s="51" t="e">
        <f t="shared" si="1"/>
        <v>#DIV/0!</v>
      </c>
    </row>
    <row r="92" spans="1:8" x14ac:dyDescent="0.25">
      <c r="A92">
        <v>91</v>
      </c>
      <c r="B92">
        <v>2.9098587023019769</v>
      </c>
      <c r="C92">
        <v>56.26</v>
      </c>
      <c r="D92">
        <v>0.82</v>
      </c>
      <c r="H92" s="51" t="e">
        <f t="shared" si="1"/>
        <v>#DIV/0!</v>
      </c>
    </row>
    <row r="93" spans="1:8" x14ac:dyDescent="0.25">
      <c r="A93">
        <v>92</v>
      </c>
      <c r="B93">
        <v>4.3415258949994913</v>
      </c>
      <c r="C93">
        <v>57.56</v>
      </c>
      <c r="D93">
        <v>0.9</v>
      </c>
      <c r="H93" s="51" t="e">
        <f t="shared" si="1"/>
        <v>#DIV/0!</v>
      </c>
    </row>
    <row r="94" spans="1:8" x14ac:dyDescent="0.25">
      <c r="A94">
        <v>93</v>
      </c>
      <c r="B94">
        <v>3.221728698611257</v>
      </c>
      <c r="C94">
        <v>56.66</v>
      </c>
      <c r="D94">
        <v>0.86</v>
      </c>
      <c r="H94" s="51" t="e">
        <f t="shared" si="1"/>
        <v>#DIV/0!</v>
      </c>
    </row>
    <row r="95" spans="1:8" x14ac:dyDescent="0.25">
      <c r="A95">
        <v>94</v>
      </c>
      <c r="B95">
        <v>4.0653055576086237</v>
      </c>
      <c r="C95">
        <v>57.56</v>
      </c>
      <c r="D95">
        <v>0.88</v>
      </c>
      <c r="H95" s="51" t="e">
        <f t="shared" si="1"/>
        <v>#DIV/0!</v>
      </c>
    </row>
    <row r="96" spans="1:8" x14ac:dyDescent="0.25">
      <c r="A96">
        <v>95</v>
      </c>
      <c r="B96">
        <v>3.1328183947801636</v>
      </c>
      <c r="C96">
        <v>57.44</v>
      </c>
      <c r="D96">
        <v>0.86</v>
      </c>
      <c r="H96" s="51" t="e">
        <f t="shared" si="1"/>
        <v>#DIV/0!</v>
      </c>
    </row>
    <row r="97" spans="1:8" x14ac:dyDescent="0.25">
      <c r="A97">
        <v>96</v>
      </c>
      <c r="B97">
        <v>4.4250968495607275</v>
      </c>
      <c r="C97">
        <v>58.8</v>
      </c>
      <c r="D97">
        <v>0.9</v>
      </c>
      <c r="H97" s="51" t="e">
        <f t="shared" si="1"/>
        <v>#DIV/0!</v>
      </c>
    </row>
    <row r="98" spans="1:8" x14ac:dyDescent="0.25">
      <c r="A98">
        <v>97</v>
      </c>
      <c r="B98">
        <v>4.4557783430814819</v>
      </c>
      <c r="C98">
        <v>57.5</v>
      </c>
      <c r="D98">
        <v>0.94</v>
      </c>
      <c r="H98" s="51" t="e">
        <f t="shared" si="1"/>
        <v>#DIV/0!</v>
      </c>
    </row>
    <row r="99" spans="1:8" x14ac:dyDescent="0.25">
      <c r="A99">
        <v>98</v>
      </c>
      <c r="B99">
        <v>3.6248031394481672</v>
      </c>
      <c r="C99">
        <v>57.94</v>
      </c>
      <c r="D99">
        <v>0.88</v>
      </c>
      <c r="H99" s="51" t="e">
        <f t="shared" si="1"/>
        <v>#DIV/0!</v>
      </c>
    </row>
    <row r="100" spans="1:8" x14ac:dyDescent="0.25">
      <c r="A100">
        <v>99</v>
      </c>
      <c r="B100">
        <v>4.4805485982894782</v>
      </c>
      <c r="C100">
        <v>56.86</v>
      </c>
      <c r="D100">
        <v>0.92</v>
      </c>
      <c r="H100" s="51" t="e">
        <f t="shared" si="1"/>
        <v>#DIV/0!</v>
      </c>
    </row>
    <row r="101" spans="1:8" x14ac:dyDescent="0.25">
      <c r="A101">
        <v>100</v>
      </c>
      <c r="B101">
        <v>3.716137512803066</v>
      </c>
      <c r="C101">
        <v>56.88</v>
      </c>
      <c r="D101">
        <v>0.92</v>
      </c>
      <c r="H101" s="51" t="e">
        <f t="shared" si="1"/>
        <v>#DIV/0!</v>
      </c>
    </row>
    <row r="102" spans="1:8" x14ac:dyDescent="0.25">
      <c r="A102">
        <v>101</v>
      </c>
      <c r="B102">
        <v>3.6387366638183614</v>
      </c>
      <c r="C102">
        <v>57.56</v>
      </c>
      <c r="D102">
        <v>0.9</v>
      </c>
      <c r="H102" s="51" t="e">
        <f t="shared" si="1"/>
        <v>#DIV/0!</v>
      </c>
    </row>
    <row r="103" spans="1:8" x14ac:dyDescent="0.25">
      <c r="A103">
        <v>102</v>
      </c>
      <c r="B103">
        <v>2.0954478194713544</v>
      </c>
      <c r="C103">
        <v>59.08</v>
      </c>
      <c r="D103">
        <v>0.82</v>
      </c>
      <c r="H103" s="51" t="e">
        <f t="shared" si="1"/>
        <v>#DIV/0!</v>
      </c>
    </row>
    <row r="104" spans="1:8" x14ac:dyDescent="0.25">
      <c r="A104">
        <v>103</v>
      </c>
      <c r="B104">
        <v>4.4053174310922705</v>
      </c>
      <c r="C104">
        <v>56.48</v>
      </c>
      <c r="D104">
        <v>0.9</v>
      </c>
      <c r="H104" s="51" t="e">
        <f t="shared" si="1"/>
        <v>#DIV/0!</v>
      </c>
    </row>
    <row r="105" spans="1:8" x14ac:dyDescent="0.25">
      <c r="A105">
        <v>104</v>
      </c>
      <c r="B105">
        <v>3.8286909850835786</v>
      </c>
      <c r="C105">
        <v>58.08</v>
      </c>
      <c r="D105">
        <v>0.88</v>
      </c>
      <c r="H105" s="51" t="e">
        <f t="shared" si="1"/>
        <v>#DIV/0!</v>
      </c>
    </row>
    <row r="106" spans="1:8" x14ac:dyDescent="0.25">
      <c r="A106">
        <v>105</v>
      </c>
      <c r="B106">
        <v>4.823693702220921</v>
      </c>
      <c r="C106">
        <v>56.4</v>
      </c>
      <c r="D106">
        <v>0.92</v>
      </c>
      <c r="H106" s="51" t="e">
        <f t="shared" si="1"/>
        <v>#DIV/0!</v>
      </c>
    </row>
    <row r="107" spans="1:8" x14ac:dyDescent="0.25">
      <c r="A107">
        <v>106</v>
      </c>
      <c r="B107">
        <v>3.7154294291734864</v>
      </c>
      <c r="C107">
        <v>58.46</v>
      </c>
      <c r="D107">
        <v>0.9</v>
      </c>
      <c r="H107" s="51" t="e">
        <f t="shared" si="1"/>
        <v>#DIV/0!</v>
      </c>
    </row>
    <row r="108" spans="1:8" x14ac:dyDescent="0.25">
      <c r="A108">
        <v>107</v>
      </c>
      <c r="B108">
        <v>3.732146315693853</v>
      </c>
      <c r="C108">
        <v>58.48</v>
      </c>
      <c r="D108">
        <v>0.9</v>
      </c>
      <c r="H108" s="51" t="e">
        <f t="shared" si="1"/>
        <v>#DIV/0!</v>
      </c>
    </row>
    <row r="109" spans="1:8" x14ac:dyDescent="0.25">
      <c r="A109">
        <v>108</v>
      </c>
      <c r="B109">
        <v>4.150951037049281</v>
      </c>
      <c r="C109">
        <v>56.32</v>
      </c>
      <c r="D109">
        <v>0.9</v>
      </c>
      <c r="H109" s="51" t="e">
        <f t="shared" si="1"/>
        <v>#DIV/0!</v>
      </c>
    </row>
    <row r="110" spans="1:8" x14ac:dyDescent="0.25">
      <c r="A110">
        <v>109</v>
      </c>
      <c r="B110">
        <v>4.1887515786886427</v>
      </c>
      <c r="C110">
        <v>59.56</v>
      </c>
      <c r="D110">
        <v>0.94</v>
      </c>
      <c r="H110" s="51" t="e">
        <f t="shared" si="1"/>
        <v>#DIV/0!</v>
      </c>
    </row>
    <row r="111" spans="1:8" x14ac:dyDescent="0.25">
      <c r="A111">
        <v>110</v>
      </c>
      <c r="B111">
        <v>4.0288197968006187</v>
      </c>
      <c r="C111">
        <v>56.18</v>
      </c>
      <c r="D111">
        <v>0.9</v>
      </c>
      <c r="H111" s="51" t="e">
        <f t="shared" si="1"/>
        <v>#DIV/0!</v>
      </c>
    </row>
    <row r="112" spans="1:8" x14ac:dyDescent="0.25">
      <c r="A112">
        <v>111</v>
      </c>
      <c r="B112">
        <v>4.5737262437343356</v>
      </c>
      <c r="C112">
        <v>58.58</v>
      </c>
      <c r="D112">
        <v>0.96</v>
      </c>
      <c r="H112" s="51" t="e">
        <f t="shared" si="1"/>
        <v>#DIV/0!</v>
      </c>
    </row>
    <row r="113" spans="1:8" x14ac:dyDescent="0.25">
      <c r="A113">
        <v>112</v>
      </c>
      <c r="B113">
        <v>3.9658625226020776</v>
      </c>
      <c r="C113">
        <v>57.26</v>
      </c>
      <c r="D113">
        <v>0.88</v>
      </c>
      <c r="H113" s="51" t="e">
        <f t="shared" si="1"/>
        <v>#DIV/0!</v>
      </c>
    </row>
    <row r="114" spans="1:8" x14ac:dyDescent="0.25">
      <c r="A114">
        <v>113</v>
      </c>
      <c r="B114">
        <v>4.5752890038490301</v>
      </c>
      <c r="C114">
        <v>59.66</v>
      </c>
      <c r="D114">
        <v>0.94</v>
      </c>
      <c r="H114" s="51" t="e">
        <f t="shared" si="1"/>
        <v>#DIV/0!</v>
      </c>
    </row>
    <row r="115" spans="1:8" x14ac:dyDescent="0.25">
      <c r="A115">
        <v>114</v>
      </c>
      <c r="B115">
        <v>4.0331039822101671</v>
      </c>
      <c r="C115">
        <v>58.32</v>
      </c>
      <c r="D115">
        <v>0.88</v>
      </c>
      <c r="H115" s="51" t="e">
        <f t="shared" si="1"/>
        <v>#DIV/0!</v>
      </c>
    </row>
    <row r="116" spans="1:8" x14ac:dyDescent="0.25">
      <c r="A116">
        <v>115</v>
      </c>
      <c r="B116">
        <v>5.176521173834808</v>
      </c>
      <c r="C116">
        <v>58.44</v>
      </c>
      <c r="D116">
        <v>0.94</v>
      </c>
      <c r="H116" s="51" t="e">
        <f t="shared" si="1"/>
        <v>#DIV/0!</v>
      </c>
    </row>
    <row r="117" spans="1:8" x14ac:dyDescent="0.25">
      <c r="A117">
        <v>116</v>
      </c>
      <c r="B117">
        <v>5.5710882264375581</v>
      </c>
      <c r="C117">
        <v>56.96</v>
      </c>
      <c r="D117">
        <v>0.98</v>
      </c>
      <c r="H117" s="51" t="e">
        <f t="shared" si="1"/>
        <v>#DIV/0!</v>
      </c>
    </row>
    <row r="118" spans="1:8" x14ac:dyDescent="0.25">
      <c r="A118">
        <v>117</v>
      </c>
      <c r="B118">
        <v>3.7221824636459373</v>
      </c>
      <c r="C118">
        <v>57.4</v>
      </c>
      <c r="D118">
        <v>0.9</v>
      </c>
      <c r="H118" s="51" t="e">
        <f t="shared" si="1"/>
        <v>#DIV/0!</v>
      </c>
    </row>
    <row r="119" spans="1:8" x14ac:dyDescent="0.25">
      <c r="A119">
        <v>118</v>
      </c>
      <c r="B119">
        <v>4.1250687946081301</v>
      </c>
      <c r="C119">
        <v>58.18</v>
      </c>
      <c r="D119">
        <v>0.9</v>
      </c>
      <c r="H119" s="51" t="e">
        <f t="shared" si="1"/>
        <v>#DIV/0!</v>
      </c>
    </row>
    <row r="120" spans="1:8" x14ac:dyDescent="0.25">
      <c r="A120">
        <v>119</v>
      </c>
      <c r="B120">
        <v>5.7573014144897448</v>
      </c>
      <c r="C120">
        <v>57.06</v>
      </c>
      <c r="D120">
        <v>0.98</v>
      </c>
      <c r="H120" s="51" t="e">
        <f t="shared" si="1"/>
        <v>#DIV/0!</v>
      </c>
    </row>
    <row r="121" spans="1:8" x14ac:dyDescent="0.25">
      <c r="A121">
        <v>120</v>
      </c>
      <c r="B121">
        <v>5.1167025004625302</v>
      </c>
      <c r="C121">
        <v>58.82</v>
      </c>
      <c r="D121">
        <v>0.98</v>
      </c>
      <c r="H121" s="51" t="e">
        <f t="shared" si="1"/>
        <v>#DIV/0!</v>
      </c>
    </row>
    <row r="122" spans="1:8" x14ac:dyDescent="0.25">
      <c r="A122">
        <v>121</v>
      </c>
      <c r="B122">
        <v>4.6337473948001922</v>
      </c>
      <c r="C122">
        <v>56.22</v>
      </c>
      <c r="D122">
        <v>0.94</v>
      </c>
      <c r="H122" s="51" t="e">
        <f t="shared" si="1"/>
        <v>#DIV/0!</v>
      </c>
    </row>
    <row r="123" spans="1:8" x14ac:dyDescent="0.25">
      <c r="A123">
        <v>122</v>
      </c>
      <c r="B123">
        <v>4.1642280344963183</v>
      </c>
      <c r="C123">
        <v>59.12</v>
      </c>
      <c r="D123">
        <v>0.94</v>
      </c>
      <c r="H123" s="51" t="e">
        <f t="shared" si="1"/>
        <v>#DIV/0!</v>
      </c>
    </row>
    <row r="124" spans="1:8" x14ac:dyDescent="0.25">
      <c r="A124">
        <v>123</v>
      </c>
      <c r="B124">
        <v>4.5954856474399568</v>
      </c>
      <c r="C124">
        <v>58.08</v>
      </c>
      <c r="D124">
        <v>0.94</v>
      </c>
      <c r="H124" s="51" t="e">
        <f t="shared" si="1"/>
        <v>#DIV/0!</v>
      </c>
    </row>
    <row r="125" spans="1:8" x14ac:dyDescent="0.25">
      <c r="A125">
        <v>124</v>
      </c>
      <c r="B125">
        <v>4.9706315021514964</v>
      </c>
      <c r="C125">
        <v>60</v>
      </c>
      <c r="D125">
        <v>1</v>
      </c>
      <c r="H125" s="51" t="e">
        <f t="shared" si="1"/>
        <v>#DIV/0!</v>
      </c>
    </row>
    <row r="126" spans="1:8" x14ac:dyDescent="0.25">
      <c r="A126">
        <v>125</v>
      </c>
      <c r="B126">
        <v>4.6325855040550259</v>
      </c>
      <c r="C126">
        <v>55.56</v>
      </c>
      <c r="D126">
        <v>0.96</v>
      </c>
      <c r="H126" s="51" t="e">
        <f t="shared" si="1"/>
        <v>#DIV/0!</v>
      </c>
    </row>
    <row r="127" spans="1:8" x14ac:dyDescent="0.25">
      <c r="A127">
        <v>126</v>
      </c>
      <c r="B127">
        <v>4.3154147725105476</v>
      </c>
      <c r="C127">
        <v>59.26</v>
      </c>
      <c r="D127">
        <v>0.94</v>
      </c>
      <c r="H127" s="51" t="e">
        <f t="shared" si="1"/>
        <v>#DIV/0!</v>
      </c>
    </row>
    <row r="128" spans="1:8" x14ac:dyDescent="0.25">
      <c r="A128">
        <v>127</v>
      </c>
      <c r="B128">
        <v>4.4855844970941696</v>
      </c>
      <c r="C128">
        <v>57.96</v>
      </c>
      <c r="D128">
        <v>0.94</v>
      </c>
      <c r="H128" s="51" t="e">
        <f t="shared" si="1"/>
        <v>#DIV/0!</v>
      </c>
    </row>
    <row r="129" spans="1:8" x14ac:dyDescent="0.25">
      <c r="A129">
        <v>128</v>
      </c>
      <c r="B129">
        <v>3.8714463881254169</v>
      </c>
      <c r="C129">
        <v>58.04</v>
      </c>
      <c r="D129">
        <v>0.92</v>
      </c>
      <c r="H129" s="51" t="e">
        <f t="shared" si="1"/>
        <v>#DIV/0!</v>
      </c>
    </row>
    <row r="130" spans="1:8" x14ac:dyDescent="0.25">
      <c r="A130">
        <v>129</v>
      </c>
      <c r="B130">
        <v>5.4908922693729405</v>
      </c>
      <c r="C130">
        <v>58.18</v>
      </c>
      <c r="D130">
        <v>1</v>
      </c>
      <c r="H130" s="51" t="e">
        <f t="shared" si="1"/>
        <v>#DIV/0!</v>
      </c>
    </row>
    <row r="131" spans="1:8" x14ac:dyDescent="0.25">
      <c r="A131">
        <v>130</v>
      </c>
      <c r="B131">
        <v>5.5490994056463148</v>
      </c>
      <c r="C131">
        <v>58.7</v>
      </c>
      <c r="D131">
        <v>0.98</v>
      </c>
      <c r="H131" s="51" t="e">
        <f t="shared" ref="H131:H194" si="2">(G131-G130)/G130</f>
        <v>#DIV/0!</v>
      </c>
    </row>
    <row r="132" spans="1:8" x14ac:dyDescent="0.25">
      <c r="A132">
        <v>131</v>
      </c>
      <c r="B132">
        <v>4.0108017524480859</v>
      </c>
      <c r="C132">
        <v>58.22</v>
      </c>
      <c r="D132">
        <v>0.94</v>
      </c>
      <c r="H132" s="51" t="e">
        <f t="shared" si="2"/>
        <v>#DIV/0!</v>
      </c>
    </row>
    <row r="133" spans="1:8" x14ac:dyDescent="0.25">
      <c r="A133">
        <v>132</v>
      </c>
      <c r="B133">
        <v>4.9501352875232678</v>
      </c>
      <c r="C133">
        <v>59.08</v>
      </c>
      <c r="D133">
        <v>0.98</v>
      </c>
      <c r="H133" s="51" t="e">
        <f t="shared" si="2"/>
        <v>#DIV/0!</v>
      </c>
    </row>
    <row r="134" spans="1:8" x14ac:dyDescent="0.25">
      <c r="A134">
        <v>133</v>
      </c>
      <c r="B134">
        <v>4.8593337421417271</v>
      </c>
      <c r="C134">
        <v>58.26</v>
      </c>
      <c r="D134">
        <v>0.96</v>
      </c>
      <c r="H134" s="51" t="e">
        <f t="shared" si="2"/>
        <v>#DIV/0!</v>
      </c>
    </row>
    <row r="135" spans="1:8" x14ac:dyDescent="0.25">
      <c r="A135">
        <v>134</v>
      </c>
      <c r="B135">
        <v>4.6752051405906858</v>
      </c>
      <c r="C135">
        <v>59.7</v>
      </c>
      <c r="D135">
        <v>0.96</v>
      </c>
      <c r="H135" s="51" t="e">
        <f t="shared" si="2"/>
        <v>#DIV/0!</v>
      </c>
    </row>
    <row r="136" spans="1:8" x14ac:dyDescent="0.25">
      <c r="A136">
        <v>135</v>
      </c>
      <c r="B136">
        <v>5.3459240270853137</v>
      </c>
      <c r="C136">
        <v>58.76</v>
      </c>
      <c r="D136">
        <v>1</v>
      </c>
      <c r="H136" s="51" t="e">
        <f t="shared" si="2"/>
        <v>#DIV/0!</v>
      </c>
    </row>
    <row r="137" spans="1:8" x14ac:dyDescent="0.25">
      <c r="A137">
        <v>136</v>
      </c>
      <c r="B137">
        <v>5.4830455811023766</v>
      </c>
      <c r="C137">
        <v>57.6</v>
      </c>
      <c r="D137">
        <v>1</v>
      </c>
      <c r="H137" s="51" t="e">
        <f t="shared" si="2"/>
        <v>#DIV/0!</v>
      </c>
    </row>
    <row r="138" spans="1:8" x14ac:dyDescent="0.25">
      <c r="H138" s="51" t="e">
        <f t="shared" si="2"/>
        <v>#DIV/0!</v>
      </c>
    </row>
    <row r="139" spans="1:8" x14ac:dyDescent="0.25">
      <c r="H139" s="51" t="e">
        <f t="shared" si="2"/>
        <v>#DIV/0!</v>
      </c>
    </row>
    <row r="140" spans="1:8" x14ac:dyDescent="0.25">
      <c r="H140" s="51" t="e">
        <f t="shared" si="2"/>
        <v>#DIV/0!</v>
      </c>
    </row>
    <row r="141" spans="1:8" x14ac:dyDescent="0.25">
      <c r="H141" s="51" t="e">
        <f t="shared" si="2"/>
        <v>#DIV/0!</v>
      </c>
    </row>
    <row r="142" spans="1:8" x14ac:dyDescent="0.25">
      <c r="H142" s="51" t="e">
        <f t="shared" si="2"/>
        <v>#DIV/0!</v>
      </c>
    </row>
    <row r="143" spans="1:8" x14ac:dyDescent="0.25">
      <c r="H143" s="51" t="e">
        <f t="shared" si="2"/>
        <v>#DIV/0!</v>
      </c>
    </row>
    <row r="144" spans="1:8" x14ac:dyDescent="0.25">
      <c r="H144" s="51" t="e">
        <f t="shared" si="2"/>
        <v>#DIV/0!</v>
      </c>
    </row>
    <row r="145" spans="8:8" x14ac:dyDescent="0.25">
      <c r="H145" s="51" t="e">
        <f t="shared" si="2"/>
        <v>#DIV/0!</v>
      </c>
    </row>
    <row r="146" spans="8:8" x14ac:dyDescent="0.25">
      <c r="H146" s="51" t="e">
        <f t="shared" si="2"/>
        <v>#DIV/0!</v>
      </c>
    </row>
    <row r="147" spans="8:8" x14ac:dyDescent="0.25">
      <c r="H147" s="51" t="e">
        <f t="shared" si="2"/>
        <v>#DIV/0!</v>
      </c>
    </row>
    <row r="148" spans="8:8" x14ac:dyDescent="0.25">
      <c r="H148" s="51" t="e">
        <f t="shared" si="2"/>
        <v>#DIV/0!</v>
      </c>
    </row>
    <row r="149" spans="8:8" x14ac:dyDescent="0.25">
      <c r="H149" s="51" t="e">
        <f t="shared" si="2"/>
        <v>#DIV/0!</v>
      </c>
    </row>
    <row r="150" spans="8:8" x14ac:dyDescent="0.25">
      <c r="H150" s="51" t="e">
        <f t="shared" si="2"/>
        <v>#DIV/0!</v>
      </c>
    </row>
    <row r="151" spans="8:8" x14ac:dyDescent="0.25">
      <c r="H151" s="51" t="e">
        <f t="shared" si="2"/>
        <v>#DIV/0!</v>
      </c>
    </row>
    <row r="152" spans="8:8" x14ac:dyDescent="0.25">
      <c r="H152" s="51" t="e">
        <f t="shared" si="2"/>
        <v>#DIV/0!</v>
      </c>
    </row>
    <row r="153" spans="8:8" x14ac:dyDescent="0.25">
      <c r="H153" s="51" t="e">
        <f t="shared" si="2"/>
        <v>#DIV/0!</v>
      </c>
    </row>
    <row r="154" spans="8:8" x14ac:dyDescent="0.25">
      <c r="H154" s="51" t="e">
        <f t="shared" si="2"/>
        <v>#DIV/0!</v>
      </c>
    </row>
    <row r="155" spans="8:8" x14ac:dyDescent="0.25">
      <c r="H155" s="51" t="e">
        <f t="shared" si="2"/>
        <v>#DIV/0!</v>
      </c>
    </row>
    <row r="156" spans="8:8" x14ac:dyDescent="0.25">
      <c r="H156" s="51" t="e">
        <f t="shared" si="2"/>
        <v>#DIV/0!</v>
      </c>
    </row>
    <row r="157" spans="8:8" x14ac:dyDescent="0.25">
      <c r="H157" s="51" t="e">
        <f t="shared" si="2"/>
        <v>#DIV/0!</v>
      </c>
    </row>
    <row r="158" spans="8:8" x14ac:dyDescent="0.25">
      <c r="H158" s="51" t="e">
        <f t="shared" si="2"/>
        <v>#DIV/0!</v>
      </c>
    </row>
    <row r="159" spans="8:8" x14ac:dyDescent="0.25">
      <c r="H159" s="51" t="e">
        <f t="shared" si="2"/>
        <v>#DIV/0!</v>
      </c>
    </row>
    <row r="160" spans="8:8" x14ac:dyDescent="0.25">
      <c r="H160" s="51" t="e">
        <f t="shared" si="2"/>
        <v>#DIV/0!</v>
      </c>
    </row>
    <row r="161" spans="8:8" x14ac:dyDescent="0.25">
      <c r="H161" s="51" t="e">
        <f t="shared" si="2"/>
        <v>#DIV/0!</v>
      </c>
    </row>
    <row r="162" spans="8:8" x14ac:dyDescent="0.25">
      <c r="H162" s="51" t="e">
        <f t="shared" si="2"/>
        <v>#DIV/0!</v>
      </c>
    </row>
    <row r="163" spans="8:8" x14ac:dyDescent="0.25">
      <c r="H163" s="51" t="e">
        <f t="shared" si="2"/>
        <v>#DIV/0!</v>
      </c>
    </row>
    <row r="164" spans="8:8" x14ac:dyDescent="0.25">
      <c r="H164" s="51" t="e">
        <f t="shared" si="2"/>
        <v>#DIV/0!</v>
      </c>
    </row>
    <row r="165" spans="8:8" x14ac:dyDescent="0.25">
      <c r="H165" s="51" t="e">
        <f t="shared" si="2"/>
        <v>#DIV/0!</v>
      </c>
    </row>
    <row r="166" spans="8:8" x14ac:dyDescent="0.25">
      <c r="H166" s="51" t="e">
        <f t="shared" si="2"/>
        <v>#DIV/0!</v>
      </c>
    </row>
    <row r="167" spans="8:8" x14ac:dyDescent="0.25">
      <c r="H167" s="51" t="e">
        <f t="shared" si="2"/>
        <v>#DIV/0!</v>
      </c>
    </row>
    <row r="168" spans="8:8" x14ac:dyDescent="0.25">
      <c r="H168" s="51" t="e">
        <f t="shared" si="2"/>
        <v>#DIV/0!</v>
      </c>
    </row>
    <row r="169" spans="8:8" x14ac:dyDescent="0.25">
      <c r="H169" s="51" t="e">
        <f t="shared" si="2"/>
        <v>#DIV/0!</v>
      </c>
    </row>
    <row r="170" spans="8:8" x14ac:dyDescent="0.25">
      <c r="H170" s="51" t="e">
        <f t="shared" si="2"/>
        <v>#DIV/0!</v>
      </c>
    </row>
    <row r="171" spans="8:8" x14ac:dyDescent="0.25">
      <c r="H171" s="51" t="e">
        <f t="shared" si="2"/>
        <v>#DIV/0!</v>
      </c>
    </row>
    <row r="172" spans="8:8" x14ac:dyDescent="0.25">
      <c r="H172" s="51" t="e">
        <f t="shared" si="2"/>
        <v>#DIV/0!</v>
      </c>
    </row>
    <row r="173" spans="8:8" x14ac:dyDescent="0.25">
      <c r="H173" s="51" t="e">
        <f t="shared" si="2"/>
        <v>#DIV/0!</v>
      </c>
    </row>
    <row r="174" spans="8:8" x14ac:dyDescent="0.25">
      <c r="H174" s="51" t="e">
        <f t="shared" si="2"/>
        <v>#DIV/0!</v>
      </c>
    </row>
    <row r="175" spans="8:8" x14ac:dyDescent="0.25">
      <c r="H175" s="51" t="e">
        <f t="shared" si="2"/>
        <v>#DIV/0!</v>
      </c>
    </row>
    <row r="176" spans="8:8" x14ac:dyDescent="0.25">
      <c r="H176" s="51" t="e">
        <f t="shared" si="2"/>
        <v>#DIV/0!</v>
      </c>
    </row>
    <row r="177" spans="8:8" x14ac:dyDescent="0.25">
      <c r="H177" s="51" t="e">
        <f t="shared" si="2"/>
        <v>#DIV/0!</v>
      </c>
    </row>
    <row r="178" spans="8:8" x14ac:dyDescent="0.25">
      <c r="H178" s="51" t="e">
        <f t="shared" si="2"/>
        <v>#DIV/0!</v>
      </c>
    </row>
    <row r="179" spans="8:8" x14ac:dyDescent="0.25">
      <c r="H179" s="51" t="e">
        <f t="shared" si="2"/>
        <v>#DIV/0!</v>
      </c>
    </row>
    <row r="180" spans="8:8" x14ac:dyDescent="0.25">
      <c r="H180" s="51" t="e">
        <f t="shared" si="2"/>
        <v>#DIV/0!</v>
      </c>
    </row>
    <row r="181" spans="8:8" x14ac:dyDescent="0.25">
      <c r="H181" s="51" t="e">
        <f t="shared" si="2"/>
        <v>#DIV/0!</v>
      </c>
    </row>
    <row r="182" spans="8:8" x14ac:dyDescent="0.25">
      <c r="H182" s="51" t="e">
        <f t="shared" si="2"/>
        <v>#DIV/0!</v>
      </c>
    </row>
    <row r="183" spans="8:8" x14ac:dyDescent="0.25">
      <c r="H183" s="51" t="e">
        <f t="shared" si="2"/>
        <v>#DIV/0!</v>
      </c>
    </row>
    <row r="184" spans="8:8" x14ac:dyDescent="0.25">
      <c r="H184" s="51" t="e">
        <f t="shared" si="2"/>
        <v>#DIV/0!</v>
      </c>
    </row>
    <row r="185" spans="8:8" x14ac:dyDescent="0.25">
      <c r="H185" s="51" t="e">
        <f t="shared" si="2"/>
        <v>#DIV/0!</v>
      </c>
    </row>
    <row r="186" spans="8:8" x14ac:dyDescent="0.25">
      <c r="H186" s="51" t="e">
        <f t="shared" si="2"/>
        <v>#DIV/0!</v>
      </c>
    </row>
    <row r="187" spans="8:8" x14ac:dyDescent="0.25">
      <c r="H187" s="51" t="e">
        <f t="shared" si="2"/>
        <v>#DIV/0!</v>
      </c>
    </row>
    <row r="188" spans="8:8" x14ac:dyDescent="0.25">
      <c r="H188" s="51" t="e">
        <f t="shared" si="2"/>
        <v>#DIV/0!</v>
      </c>
    </row>
    <row r="189" spans="8:8" x14ac:dyDescent="0.25">
      <c r="H189" s="51" t="e">
        <f t="shared" si="2"/>
        <v>#DIV/0!</v>
      </c>
    </row>
    <row r="190" spans="8:8" x14ac:dyDescent="0.25">
      <c r="H190" s="51" t="e">
        <f t="shared" si="2"/>
        <v>#DIV/0!</v>
      </c>
    </row>
    <row r="191" spans="8:8" x14ac:dyDescent="0.25">
      <c r="H191" s="51" t="e">
        <f t="shared" si="2"/>
        <v>#DIV/0!</v>
      </c>
    </row>
    <row r="192" spans="8:8" x14ac:dyDescent="0.25">
      <c r="H192" s="51" t="e">
        <f t="shared" si="2"/>
        <v>#DIV/0!</v>
      </c>
    </row>
    <row r="193" spans="8:8" x14ac:dyDescent="0.25">
      <c r="H193" s="51" t="e">
        <f t="shared" si="2"/>
        <v>#DIV/0!</v>
      </c>
    </row>
    <row r="194" spans="8:8" x14ac:dyDescent="0.25">
      <c r="H194" s="51" t="e">
        <f t="shared" si="2"/>
        <v>#DIV/0!</v>
      </c>
    </row>
    <row r="195" spans="8:8" x14ac:dyDescent="0.25">
      <c r="H195" s="51" t="e">
        <f t="shared" ref="H195:H258" si="3">(G195-G194)/G194</f>
        <v>#DIV/0!</v>
      </c>
    </row>
    <row r="196" spans="8:8" x14ac:dyDescent="0.25">
      <c r="H196" s="51" t="e">
        <f t="shared" si="3"/>
        <v>#DIV/0!</v>
      </c>
    </row>
    <row r="197" spans="8:8" x14ac:dyDescent="0.25">
      <c r="H197" s="51" t="e">
        <f t="shared" si="3"/>
        <v>#DIV/0!</v>
      </c>
    </row>
    <row r="198" spans="8:8" x14ac:dyDescent="0.25">
      <c r="H198" s="51" t="e">
        <f t="shared" si="3"/>
        <v>#DIV/0!</v>
      </c>
    </row>
    <row r="199" spans="8:8" x14ac:dyDescent="0.25">
      <c r="H199" s="51" t="e">
        <f t="shared" si="3"/>
        <v>#DIV/0!</v>
      </c>
    </row>
    <row r="200" spans="8:8" x14ac:dyDescent="0.25">
      <c r="H200" s="51" t="e">
        <f t="shared" si="3"/>
        <v>#DIV/0!</v>
      </c>
    </row>
    <row r="201" spans="8:8" x14ac:dyDescent="0.25">
      <c r="H201" s="51" t="e">
        <f t="shared" si="3"/>
        <v>#DIV/0!</v>
      </c>
    </row>
    <row r="202" spans="8:8" x14ac:dyDescent="0.25">
      <c r="H202" s="51" t="e">
        <f t="shared" si="3"/>
        <v>#DIV/0!</v>
      </c>
    </row>
    <row r="203" spans="8:8" x14ac:dyDescent="0.25">
      <c r="H203" s="51" t="e">
        <f t="shared" si="3"/>
        <v>#DIV/0!</v>
      </c>
    </row>
    <row r="204" spans="8:8" x14ac:dyDescent="0.25">
      <c r="H204" s="51" t="e">
        <f t="shared" si="3"/>
        <v>#DIV/0!</v>
      </c>
    </row>
    <row r="205" spans="8:8" x14ac:dyDescent="0.25">
      <c r="H205" s="51" t="e">
        <f t="shared" si="3"/>
        <v>#DIV/0!</v>
      </c>
    </row>
    <row r="206" spans="8:8" x14ac:dyDescent="0.25">
      <c r="H206" s="51" t="e">
        <f t="shared" si="3"/>
        <v>#DIV/0!</v>
      </c>
    </row>
    <row r="207" spans="8:8" x14ac:dyDescent="0.25">
      <c r="H207" s="51" t="e">
        <f t="shared" si="3"/>
        <v>#DIV/0!</v>
      </c>
    </row>
    <row r="208" spans="8:8" x14ac:dyDescent="0.25">
      <c r="H208" s="51" t="e">
        <f t="shared" si="3"/>
        <v>#DIV/0!</v>
      </c>
    </row>
    <row r="209" spans="8:8" x14ac:dyDescent="0.25">
      <c r="H209" s="51" t="e">
        <f t="shared" si="3"/>
        <v>#DIV/0!</v>
      </c>
    </row>
    <row r="210" spans="8:8" x14ac:dyDescent="0.25">
      <c r="H210" s="51" t="e">
        <f t="shared" si="3"/>
        <v>#DIV/0!</v>
      </c>
    </row>
    <row r="211" spans="8:8" x14ac:dyDescent="0.25">
      <c r="H211" s="51" t="e">
        <f t="shared" si="3"/>
        <v>#DIV/0!</v>
      </c>
    </row>
    <row r="212" spans="8:8" x14ac:dyDescent="0.25">
      <c r="H212" s="51" t="e">
        <f t="shared" si="3"/>
        <v>#DIV/0!</v>
      </c>
    </row>
    <row r="213" spans="8:8" x14ac:dyDescent="0.25">
      <c r="H213" s="51" t="e">
        <f t="shared" si="3"/>
        <v>#DIV/0!</v>
      </c>
    </row>
    <row r="214" spans="8:8" x14ac:dyDescent="0.25">
      <c r="H214" s="51" t="e">
        <f t="shared" si="3"/>
        <v>#DIV/0!</v>
      </c>
    </row>
    <row r="215" spans="8:8" x14ac:dyDescent="0.25">
      <c r="H215" s="51" t="e">
        <f t="shared" si="3"/>
        <v>#DIV/0!</v>
      </c>
    </row>
    <row r="216" spans="8:8" x14ac:dyDescent="0.25">
      <c r="H216" s="51" t="e">
        <f t="shared" si="3"/>
        <v>#DIV/0!</v>
      </c>
    </row>
    <row r="217" spans="8:8" x14ac:dyDescent="0.25">
      <c r="H217" s="51" t="e">
        <f t="shared" si="3"/>
        <v>#DIV/0!</v>
      </c>
    </row>
    <row r="218" spans="8:8" x14ac:dyDescent="0.25">
      <c r="H218" s="51" t="e">
        <f t="shared" si="3"/>
        <v>#DIV/0!</v>
      </c>
    </row>
    <row r="219" spans="8:8" x14ac:dyDescent="0.25">
      <c r="H219" s="51" t="e">
        <f t="shared" si="3"/>
        <v>#DIV/0!</v>
      </c>
    </row>
    <row r="220" spans="8:8" x14ac:dyDescent="0.25">
      <c r="H220" s="51" t="e">
        <f t="shared" si="3"/>
        <v>#DIV/0!</v>
      </c>
    </row>
    <row r="221" spans="8:8" x14ac:dyDescent="0.25">
      <c r="H221" s="51" t="e">
        <f t="shared" si="3"/>
        <v>#DIV/0!</v>
      </c>
    </row>
    <row r="222" spans="8:8" x14ac:dyDescent="0.25">
      <c r="H222" s="51" t="e">
        <f t="shared" si="3"/>
        <v>#DIV/0!</v>
      </c>
    </row>
    <row r="223" spans="8:8" x14ac:dyDescent="0.25">
      <c r="H223" s="51" t="e">
        <f t="shared" si="3"/>
        <v>#DIV/0!</v>
      </c>
    </row>
    <row r="224" spans="8:8" x14ac:dyDescent="0.25">
      <c r="H224" s="51" t="e">
        <f t="shared" si="3"/>
        <v>#DIV/0!</v>
      </c>
    </row>
    <row r="225" spans="8:8" x14ac:dyDescent="0.25">
      <c r="H225" s="51" t="e">
        <f t="shared" si="3"/>
        <v>#DIV/0!</v>
      </c>
    </row>
    <row r="226" spans="8:8" x14ac:dyDescent="0.25">
      <c r="H226" s="51" t="e">
        <f t="shared" si="3"/>
        <v>#DIV/0!</v>
      </c>
    </row>
    <row r="227" spans="8:8" x14ac:dyDescent="0.25">
      <c r="H227" s="51" t="e">
        <f t="shared" si="3"/>
        <v>#DIV/0!</v>
      </c>
    </row>
    <row r="228" spans="8:8" x14ac:dyDescent="0.25">
      <c r="H228" s="51" t="e">
        <f t="shared" si="3"/>
        <v>#DIV/0!</v>
      </c>
    </row>
    <row r="229" spans="8:8" x14ac:dyDescent="0.25">
      <c r="H229" s="51" t="e">
        <f t="shared" si="3"/>
        <v>#DIV/0!</v>
      </c>
    </row>
    <row r="230" spans="8:8" x14ac:dyDescent="0.25">
      <c r="H230" s="51" t="e">
        <f t="shared" si="3"/>
        <v>#DIV/0!</v>
      </c>
    </row>
    <row r="231" spans="8:8" x14ac:dyDescent="0.25">
      <c r="H231" s="51" t="e">
        <f t="shared" si="3"/>
        <v>#DIV/0!</v>
      </c>
    </row>
    <row r="232" spans="8:8" x14ac:dyDescent="0.25">
      <c r="H232" s="51" t="e">
        <f t="shared" si="3"/>
        <v>#DIV/0!</v>
      </c>
    </row>
    <row r="233" spans="8:8" x14ac:dyDescent="0.25">
      <c r="H233" s="51" t="e">
        <f t="shared" si="3"/>
        <v>#DIV/0!</v>
      </c>
    </row>
    <row r="234" spans="8:8" x14ac:dyDescent="0.25">
      <c r="H234" s="51" t="e">
        <f t="shared" si="3"/>
        <v>#DIV/0!</v>
      </c>
    </row>
    <row r="235" spans="8:8" x14ac:dyDescent="0.25">
      <c r="H235" s="51" t="e">
        <f t="shared" si="3"/>
        <v>#DIV/0!</v>
      </c>
    </row>
    <row r="236" spans="8:8" x14ac:dyDescent="0.25">
      <c r="H236" s="51" t="e">
        <f t="shared" si="3"/>
        <v>#DIV/0!</v>
      </c>
    </row>
    <row r="237" spans="8:8" x14ac:dyDescent="0.25">
      <c r="H237" s="51" t="e">
        <f t="shared" si="3"/>
        <v>#DIV/0!</v>
      </c>
    </row>
    <row r="238" spans="8:8" x14ac:dyDescent="0.25">
      <c r="H238" s="51" t="e">
        <f t="shared" si="3"/>
        <v>#DIV/0!</v>
      </c>
    </row>
    <row r="239" spans="8:8" x14ac:dyDescent="0.25">
      <c r="H239" s="51" t="e">
        <f t="shared" si="3"/>
        <v>#DIV/0!</v>
      </c>
    </row>
    <row r="240" spans="8:8" x14ac:dyDescent="0.25">
      <c r="H240" s="51" t="e">
        <f t="shared" si="3"/>
        <v>#DIV/0!</v>
      </c>
    </row>
    <row r="241" spans="8:8" x14ac:dyDescent="0.25">
      <c r="H241" s="51" t="e">
        <f t="shared" si="3"/>
        <v>#DIV/0!</v>
      </c>
    </row>
    <row r="242" spans="8:8" x14ac:dyDescent="0.25">
      <c r="H242" s="51" t="e">
        <f t="shared" si="3"/>
        <v>#DIV/0!</v>
      </c>
    </row>
    <row r="243" spans="8:8" x14ac:dyDescent="0.25">
      <c r="H243" s="51" t="e">
        <f t="shared" si="3"/>
        <v>#DIV/0!</v>
      </c>
    </row>
    <row r="244" spans="8:8" x14ac:dyDescent="0.25">
      <c r="H244" s="51" t="e">
        <f t="shared" si="3"/>
        <v>#DIV/0!</v>
      </c>
    </row>
    <row r="245" spans="8:8" x14ac:dyDescent="0.25">
      <c r="H245" s="51" t="e">
        <f t="shared" si="3"/>
        <v>#DIV/0!</v>
      </c>
    </row>
    <row r="246" spans="8:8" x14ac:dyDescent="0.25">
      <c r="H246" s="51" t="e">
        <f t="shared" si="3"/>
        <v>#DIV/0!</v>
      </c>
    </row>
    <row r="247" spans="8:8" x14ac:dyDescent="0.25">
      <c r="H247" s="51" t="e">
        <f t="shared" si="3"/>
        <v>#DIV/0!</v>
      </c>
    </row>
    <row r="248" spans="8:8" x14ac:dyDescent="0.25">
      <c r="H248" s="51" t="e">
        <f t="shared" si="3"/>
        <v>#DIV/0!</v>
      </c>
    </row>
    <row r="249" spans="8:8" x14ac:dyDescent="0.25">
      <c r="H249" s="51" t="e">
        <f t="shared" si="3"/>
        <v>#DIV/0!</v>
      </c>
    </row>
    <row r="250" spans="8:8" x14ac:dyDescent="0.25">
      <c r="H250" s="51" t="e">
        <f t="shared" si="3"/>
        <v>#DIV/0!</v>
      </c>
    </row>
    <row r="251" spans="8:8" x14ac:dyDescent="0.25">
      <c r="H251" s="51" t="e">
        <f t="shared" si="3"/>
        <v>#DIV/0!</v>
      </c>
    </row>
    <row r="252" spans="8:8" x14ac:dyDescent="0.25">
      <c r="H252" s="51" t="e">
        <f t="shared" si="3"/>
        <v>#DIV/0!</v>
      </c>
    </row>
    <row r="253" spans="8:8" x14ac:dyDescent="0.25">
      <c r="H253" s="51" t="e">
        <f t="shared" si="3"/>
        <v>#DIV/0!</v>
      </c>
    </row>
    <row r="254" spans="8:8" x14ac:dyDescent="0.25">
      <c r="H254" s="51" t="e">
        <f t="shared" si="3"/>
        <v>#DIV/0!</v>
      </c>
    </row>
    <row r="255" spans="8:8" x14ac:dyDescent="0.25">
      <c r="H255" s="51" t="e">
        <f t="shared" si="3"/>
        <v>#DIV/0!</v>
      </c>
    </row>
    <row r="256" spans="8:8" x14ac:dyDescent="0.25">
      <c r="H256" s="51" t="e">
        <f t="shared" si="3"/>
        <v>#DIV/0!</v>
      </c>
    </row>
    <row r="257" spans="8:8" x14ac:dyDescent="0.25">
      <c r="H257" s="51" t="e">
        <f t="shared" si="3"/>
        <v>#DIV/0!</v>
      </c>
    </row>
    <row r="258" spans="8:8" x14ac:dyDescent="0.25">
      <c r="H258" s="51" t="e">
        <f t="shared" si="3"/>
        <v>#DIV/0!</v>
      </c>
    </row>
    <row r="259" spans="8:8" x14ac:dyDescent="0.25">
      <c r="H259" s="51" t="e">
        <f t="shared" ref="H259:H322" si="4">(G259-G258)/G258</f>
        <v>#DIV/0!</v>
      </c>
    </row>
    <row r="260" spans="8:8" x14ac:dyDescent="0.25">
      <c r="H260" s="51" t="e">
        <f t="shared" si="4"/>
        <v>#DIV/0!</v>
      </c>
    </row>
    <row r="261" spans="8:8" x14ac:dyDescent="0.25">
      <c r="H261" s="51" t="e">
        <f t="shared" si="4"/>
        <v>#DIV/0!</v>
      </c>
    </row>
    <row r="262" spans="8:8" x14ac:dyDescent="0.25">
      <c r="H262" s="51" t="e">
        <f t="shared" si="4"/>
        <v>#DIV/0!</v>
      </c>
    </row>
    <row r="263" spans="8:8" x14ac:dyDescent="0.25">
      <c r="H263" s="51" t="e">
        <f t="shared" si="4"/>
        <v>#DIV/0!</v>
      </c>
    </row>
    <row r="264" spans="8:8" x14ac:dyDescent="0.25">
      <c r="H264" s="51" t="e">
        <f t="shared" si="4"/>
        <v>#DIV/0!</v>
      </c>
    </row>
    <row r="265" spans="8:8" x14ac:dyDescent="0.25">
      <c r="H265" s="51" t="e">
        <f t="shared" si="4"/>
        <v>#DIV/0!</v>
      </c>
    </row>
    <row r="266" spans="8:8" x14ac:dyDescent="0.25">
      <c r="H266" s="51" t="e">
        <f t="shared" si="4"/>
        <v>#DIV/0!</v>
      </c>
    </row>
    <row r="267" spans="8:8" x14ac:dyDescent="0.25">
      <c r="H267" s="51" t="e">
        <f t="shared" si="4"/>
        <v>#DIV/0!</v>
      </c>
    </row>
    <row r="268" spans="8:8" x14ac:dyDescent="0.25">
      <c r="H268" s="51" t="e">
        <f t="shared" si="4"/>
        <v>#DIV/0!</v>
      </c>
    </row>
    <row r="269" spans="8:8" x14ac:dyDescent="0.25">
      <c r="H269" s="51" t="e">
        <f t="shared" si="4"/>
        <v>#DIV/0!</v>
      </c>
    </row>
    <row r="270" spans="8:8" x14ac:dyDescent="0.25">
      <c r="H270" s="51" t="e">
        <f t="shared" si="4"/>
        <v>#DIV/0!</v>
      </c>
    </row>
    <row r="271" spans="8:8" x14ac:dyDescent="0.25">
      <c r="H271" s="51" t="e">
        <f t="shared" si="4"/>
        <v>#DIV/0!</v>
      </c>
    </row>
    <row r="272" spans="8:8" x14ac:dyDescent="0.25">
      <c r="H272" s="51" t="e">
        <f t="shared" si="4"/>
        <v>#DIV/0!</v>
      </c>
    </row>
    <row r="273" spans="8:8" x14ac:dyDescent="0.25">
      <c r="H273" s="51" t="e">
        <f t="shared" si="4"/>
        <v>#DIV/0!</v>
      </c>
    </row>
    <row r="274" spans="8:8" x14ac:dyDescent="0.25">
      <c r="H274" s="51" t="e">
        <f t="shared" si="4"/>
        <v>#DIV/0!</v>
      </c>
    </row>
    <row r="275" spans="8:8" x14ac:dyDescent="0.25">
      <c r="H275" s="51" t="e">
        <f t="shared" si="4"/>
        <v>#DIV/0!</v>
      </c>
    </row>
    <row r="276" spans="8:8" x14ac:dyDescent="0.25">
      <c r="H276" s="51" t="e">
        <f t="shared" si="4"/>
        <v>#DIV/0!</v>
      </c>
    </row>
    <row r="277" spans="8:8" x14ac:dyDescent="0.25">
      <c r="H277" s="51" t="e">
        <f t="shared" si="4"/>
        <v>#DIV/0!</v>
      </c>
    </row>
    <row r="278" spans="8:8" x14ac:dyDescent="0.25">
      <c r="H278" s="51" t="e">
        <f t="shared" si="4"/>
        <v>#DIV/0!</v>
      </c>
    </row>
    <row r="279" spans="8:8" x14ac:dyDescent="0.25">
      <c r="H279" s="51" t="e">
        <f t="shared" si="4"/>
        <v>#DIV/0!</v>
      </c>
    </row>
    <row r="280" spans="8:8" x14ac:dyDescent="0.25">
      <c r="H280" s="51" t="e">
        <f t="shared" si="4"/>
        <v>#DIV/0!</v>
      </c>
    </row>
    <row r="281" spans="8:8" x14ac:dyDescent="0.25">
      <c r="H281" s="51" t="e">
        <f t="shared" si="4"/>
        <v>#DIV/0!</v>
      </c>
    </row>
    <row r="282" spans="8:8" x14ac:dyDescent="0.25">
      <c r="H282" s="51" t="e">
        <f t="shared" si="4"/>
        <v>#DIV/0!</v>
      </c>
    </row>
    <row r="283" spans="8:8" x14ac:dyDescent="0.25">
      <c r="H283" s="51" t="e">
        <f t="shared" si="4"/>
        <v>#DIV/0!</v>
      </c>
    </row>
    <row r="284" spans="8:8" x14ac:dyDescent="0.25">
      <c r="H284" s="51" t="e">
        <f t="shared" si="4"/>
        <v>#DIV/0!</v>
      </c>
    </row>
    <row r="285" spans="8:8" x14ac:dyDescent="0.25">
      <c r="H285" s="51" t="e">
        <f t="shared" si="4"/>
        <v>#DIV/0!</v>
      </c>
    </row>
    <row r="286" spans="8:8" x14ac:dyDescent="0.25">
      <c r="H286" s="51" t="e">
        <f t="shared" si="4"/>
        <v>#DIV/0!</v>
      </c>
    </row>
    <row r="287" spans="8:8" x14ac:dyDescent="0.25">
      <c r="H287" s="51" t="e">
        <f t="shared" si="4"/>
        <v>#DIV/0!</v>
      </c>
    </row>
    <row r="288" spans="8:8" x14ac:dyDescent="0.25">
      <c r="H288" s="51" t="e">
        <f t="shared" si="4"/>
        <v>#DIV/0!</v>
      </c>
    </row>
    <row r="289" spans="8:8" x14ac:dyDescent="0.25">
      <c r="H289" s="51" t="e">
        <f t="shared" si="4"/>
        <v>#DIV/0!</v>
      </c>
    </row>
    <row r="290" spans="8:8" x14ac:dyDescent="0.25">
      <c r="H290" s="51" t="e">
        <f t="shared" si="4"/>
        <v>#DIV/0!</v>
      </c>
    </row>
    <row r="291" spans="8:8" x14ac:dyDescent="0.25">
      <c r="H291" s="51" t="e">
        <f t="shared" si="4"/>
        <v>#DIV/0!</v>
      </c>
    </row>
    <row r="292" spans="8:8" x14ac:dyDescent="0.25">
      <c r="H292" s="51" t="e">
        <f t="shared" si="4"/>
        <v>#DIV/0!</v>
      </c>
    </row>
    <row r="293" spans="8:8" x14ac:dyDescent="0.25">
      <c r="H293" s="51" t="e">
        <f t="shared" si="4"/>
        <v>#DIV/0!</v>
      </c>
    </row>
    <row r="294" spans="8:8" x14ac:dyDescent="0.25">
      <c r="H294" s="51" t="e">
        <f t="shared" si="4"/>
        <v>#DIV/0!</v>
      </c>
    </row>
    <row r="295" spans="8:8" x14ac:dyDescent="0.25">
      <c r="H295" s="51" t="e">
        <f t="shared" si="4"/>
        <v>#DIV/0!</v>
      </c>
    </row>
    <row r="296" spans="8:8" x14ac:dyDescent="0.25">
      <c r="H296" s="51" t="e">
        <f t="shared" si="4"/>
        <v>#DIV/0!</v>
      </c>
    </row>
    <row r="297" spans="8:8" x14ac:dyDescent="0.25">
      <c r="H297" s="51" t="e">
        <f t="shared" si="4"/>
        <v>#DIV/0!</v>
      </c>
    </row>
    <row r="298" spans="8:8" x14ac:dyDescent="0.25">
      <c r="H298" s="51" t="e">
        <f t="shared" si="4"/>
        <v>#DIV/0!</v>
      </c>
    </row>
    <row r="299" spans="8:8" x14ac:dyDescent="0.25">
      <c r="H299" s="51" t="e">
        <f t="shared" si="4"/>
        <v>#DIV/0!</v>
      </c>
    </row>
    <row r="300" spans="8:8" x14ac:dyDescent="0.25">
      <c r="H300" s="51" t="e">
        <f t="shared" si="4"/>
        <v>#DIV/0!</v>
      </c>
    </row>
    <row r="301" spans="8:8" x14ac:dyDescent="0.25">
      <c r="H301" s="51" t="e">
        <f t="shared" si="4"/>
        <v>#DIV/0!</v>
      </c>
    </row>
    <row r="302" spans="8:8" x14ac:dyDescent="0.25">
      <c r="H302" s="51" t="e">
        <f t="shared" si="4"/>
        <v>#DIV/0!</v>
      </c>
    </row>
    <row r="303" spans="8:8" x14ac:dyDescent="0.25">
      <c r="H303" s="51" t="e">
        <f t="shared" si="4"/>
        <v>#DIV/0!</v>
      </c>
    </row>
    <row r="304" spans="8:8" x14ac:dyDescent="0.25">
      <c r="H304" s="51" t="e">
        <f t="shared" si="4"/>
        <v>#DIV/0!</v>
      </c>
    </row>
    <row r="305" spans="8:8" x14ac:dyDescent="0.25">
      <c r="H305" s="51" t="e">
        <f t="shared" si="4"/>
        <v>#DIV/0!</v>
      </c>
    </row>
    <row r="306" spans="8:8" x14ac:dyDescent="0.25">
      <c r="H306" s="51" t="e">
        <f t="shared" si="4"/>
        <v>#DIV/0!</v>
      </c>
    </row>
    <row r="307" spans="8:8" x14ac:dyDescent="0.25">
      <c r="H307" s="51" t="e">
        <f t="shared" si="4"/>
        <v>#DIV/0!</v>
      </c>
    </row>
    <row r="308" spans="8:8" x14ac:dyDescent="0.25">
      <c r="H308" s="51" t="e">
        <f t="shared" si="4"/>
        <v>#DIV/0!</v>
      </c>
    </row>
    <row r="309" spans="8:8" x14ac:dyDescent="0.25">
      <c r="H309" s="51" t="e">
        <f t="shared" si="4"/>
        <v>#DIV/0!</v>
      </c>
    </row>
    <row r="310" spans="8:8" x14ac:dyDescent="0.25">
      <c r="H310" s="51" t="e">
        <f t="shared" si="4"/>
        <v>#DIV/0!</v>
      </c>
    </row>
    <row r="311" spans="8:8" x14ac:dyDescent="0.25">
      <c r="H311" s="51" t="e">
        <f t="shared" si="4"/>
        <v>#DIV/0!</v>
      </c>
    </row>
    <row r="312" spans="8:8" x14ac:dyDescent="0.25">
      <c r="H312" s="51" t="e">
        <f t="shared" si="4"/>
        <v>#DIV/0!</v>
      </c>
    </row>
    <row r="313" spans="8:8" x14ac:dyDescent="0.25">
      <c r="H313" s="51" t="e">
        <f t="shared" si="4"/>
        <v>#DIV/0!</v>
      </c>
    </row>
    <row r="314" spans="8:8" x14ac:dyDescent="0.25">
      <c r="H314" s="51" t="e">
        <f t="shared" si="4"/>
        <v>#DIV/0!</v>
      </c>
    </row>
    <row r="315" spans="8:8" x14ac:dyDescent="0.25">
      <c r="H315" s="51" t="e">
        <f t="shared" si="4"/>
        <v>#DIV/0!</v>
      </c>
    </row>
    <row r="316" spans="8:8" x14ac:dyDescent="0.25">
      <c r="H316" s="51" t="e">
        <f t="shared" si="4"/>
        <v>#DIV/0!</v>
      </c>
    </row>
    <row r="317" spans="8:8" x14ac:dyDescent="0.25">
      <c r="H317" s="51" t="e">
        <f t="shared" si="4"/>
        <v>#DIV/0!</v>
      </c>
    </row>
    <row r="318" spans="8:8" x14ac:dyDescent="0.25">
      <c r="H318" s="51" t="e">
        <f t="shared" si="4"/>
        <v>#DIV/0!</v>
      </c>
    </row>
    <row r="319" spans="8:8" x14ac:dyDescent="0.25">
      <c r="H319" s="51" t="e">
        <f t="shared" si="4"/>
        <v>#DIV/0!</v>
      </c>
    </row>
    <row r="320" spans="8:8" x14ac:dyDescent="0.25">
      <c r="H320" s="51" t="e">
        <f t="shared" si="4"/>
        <v>#DIV/0!</v>
      </c>
    </row>
    <row r="321" spans="8:8" x14ac:dyDescent="0.25">
      <c r="H321" s="51" t="e">
        <f t="shared" si="4"/>
        <v>#DIV/0!</v>
      </c>
    </row>
    <row r="322" spans="8:8" x14ac:dyDescent="0.25">
      <c r="H322" s="51" t="e">
        <f t="shared" si="4"/>
        <v>#DIV/0!</v>
      </c>
    </row>
    <row r="323" spans="8:8" x14ac:dyDescent="0.25">
      <c r="H323" s="51" t="e">
        <f t="shared" ref="H323:H386" si="5">(G323-G322)/G322</f>
        <v>#DIV/0!</v>
      </c>
    </row>
    <row r="324" spans="8:8" x14ac:dyDescent="0.25">
      <c r="H324" s="51" t="e">
        <f t="shared" si="5"/>
        <v>#DIV/0!</v>
      </c>
    </row>
    <row r="325" spans="8:8" x14ac:dyDescent="0.25">
      <c r="H325" s="51" t="e">
        <f t="shared" si="5"/>
        <v>#DIV/0!</v>
      </c>
    </row>
    <row r="326" spans="8:8" x14ac:dyDescent="0.25">
      <c r="H326" s="51" t="e">
        <f t="shared" si="5"/>
        <v>#DIV/0!</v>
      </c>
    </row>
    <row r="327" spans="8:8" x14ac:dyDescent="0.25">
      <c r="H327" s="51" t="e">
        <f t="shared" si="5"/>
        <v>#DIV/0!</v>
      </c>
    </row>
    <row r="328" spans="8:8" x14ac:dyDescent="0.25">
      <c r="H328" s="51" t="e">
        <f t="shared" si="5"/>
        <v>#DIV/0!</v>
      </c>
    </row>
    <row r="329" spans="8:8" x14ac:dyDescent="0.25">
      <c r="H329" s="51" t="e">
        <f t="shared" si="5"/>
        <v>#DIV/0!</v>
      </c>
    </row>
    <row r="330" spans="8:8" x14ac:dyDescent="0.25">
      <c r="H330" s="51" t="e">
        <f t="shared" si="5"/>
        <v>#DIV/0!</v>
      </c>
    </row>
    <row r="331" spans="8:8" x14ac:dyDescent="0.25">
      <c r="H331" s="51" t="e">
        <f t="shared" si="5"/>
        <v>#DIV/0!</v>
      </c>
    </row>
    <row r="332" spans="8:8" x14ac:dyDescent="0.25">
      <c r="H332" s="51" t="e">
        <f t="shared" si="5"/>
        <v>#DIV/0!</v>
      </c>
    </row>
    <row r="333" spans="8:8" x14ac:dyDescent="0.25">
      <c r="H333" s="51" t="e">
        <f t="shared" si="5"/>
        <v>#DIV/0!</v>
      </c>
    </row>
    <row r="334" spans="8:8" x14ac:dyDescent="0.25">
      <c r="H334" s="51" t="e">
        <f t="shared" si="5"/>
        <v>#DIV/0!</v>
      </c>
    </row>
    <row r="335" spans="8:8" x14ac:dyDescent="0.25">
      <c r="H335" s="51" t="e">
        <f t="shared" si="5"/>
        <v>#DIV/0!</v>
      </c>
    </row>
    <row r="336" spans="8:8" x14ac:dyDescent="0.25">
      <c r="H336" s="51" t="e">
        <f t="shared" si="5"/>
        <v>#DIV/0!</v>
      </c>
    </row>
    <row r="337" spans="8:8" x14ac:dyDescent="0.25">
      <c r="H337" s="51" t="e">
        <f t="shared" si="5"/>
        <v>#DIV/0!</v>
      </c>
    </row>
    <row r="338" spans="8:8" x14ac:dyDescent="0.25">
      <c r="H338" s="51" t="e">
        <f t="shared" si="5"/>
        <v>#DIV/0!</v>
      </c>
    </row>
    <row r="339" spans="8:8" x14ac:dyDescent="0.25">
      <c r="H339" s="51" t="e">
        <f t="shared" si="5"/>
        <v>#DIV/0!</v>
      </c>
    </row>
    <row r="340" spans="8:8" x14ac:dyDescent="0.25">
      <c r="H340" s="51" t="e">
        <f t="shared" si="5"/>
        <v>#DIV/0!</v>
      </c>
    </row>
    <row r="341" spans="8:8" x14ac:dyDescent="0.25">
      <c r="H341" s="51" t="e">
        <f t="shared" si="5"/>
        <v>#DIV/0!</v>
      </c>
    </row>
    <row r="342" spans="8:8" x14ac:dyDescent="0.25">
      <c r="H342" s="51" t="e">
        <f t="shared" si="5"/>
        <v>#DIV/0!</v>
      </c>
    </row>
    <row r="343" spans="8:8" x14ac:dyDescent="0.25">
      <c r="H343" s="51" t="e">
        <f t="shared" si="5"/>
        <v>#DIV/0!</v>
      </c>
    </row>
    <row r="344" spans="8:8" x14ac:dyDescent="0.25">
      <c r="H344" s="51" t="e">
        <f t="shared" si="5"/>
        <v>#DIV/0!</v>
      </c>
    </row>
    <row r="345" spans="8:8" x14ac:dyDescent="0.25">
      <c r="H345" s="51" t="e">
        <f t="shared" si="5"/>
        <v>#DIV/0!</v>
      </c>
    </row>
    <row r="346" spans="8:8" x14ac:dyDescent="0.25">
      <c r="H346" s="51" t="e">
        <f t="shared" si="5"/>
        <v>#DIV/0!</v>
      </c>
    </row>
    <row r="347" spans="8:8" x14ac:dyDescent="0.25">
      <c r="H347" s="51" t="e">
        <f t="shared" si="5"/>
        <v>#DIV/0!</v>
      </c>
    </row>
    <row r="348" spans="8:8" x14ac:dyDescent="0.25">
      <c r="H348" s="51" t="e">
        <f t="shared" si="5"/>
        <v>#DIV/0!</v>
      </c>
    </row>
    <row r="349" spans="8:8" x14ac:dyDescent="0.25">
      <c r="H349" s="51" t="e">
        <f t="shared" si="5"/>
        <v>#DIV/0!</v>
      </c>
    </row>
    <row r="350" spans="8:8" x14ac:dyDescent="0.25">
      <c r="H350" s="51" t="e">
        <f t="shared" si="5"/>
        <v>#DIV/0!</v>
      </c>
    </row>
    <row r="351" spans="8:8" x14ac:dyDescent="0.25">
      <c r="H351" s="51" t="e">
        <f t="shared" si="5"/>
        <v>#DIV/0!</v>
      </c>
    </row>
    <row r="352" spans="8:8" x14ac:dyDescent="0.25">
      <c r="H352" s="51" t="e">
        <f t="shared" si="5"/>
        <v>#DIV/0!</v>
      </c>
    </row>
    <row r="353" spans="8:8" x14ac:dyDescent="0.25">
      <c r="H353" s="51" t="e">
        <f t="shared" si="5"/>
        <v>#DIV/0!</v>
      </c>
    </row>
    <row r="354" spans="8:8" x14ac:dyDescent="0.25">
      <c r="H354" s="51" t="e">
        <f t="shared" si="5"/>
        <v>#DIV/0!</v>
      </c>
    </row>
    <row r="355" spans="8:8" x14ac:dyDescent="0.25">
      <c r="H355" s="51" t="e">
        <f t="shared" si="5"/>
        <v>#DIV/0!</v>
      </c>
    </row>
    <row r="356" spans="8:8" x14ac:dyDescent="0.25">
      <c r="H356" s="51" t="e">
        <f t="shared" si="5"/>
        <v>#DIV/0!</v>
      </c>
    </row>
    <row r="357" spans="8:8" x14ac:dyDescent="0.25">
      <c r="H357" s="51" t="e">
        <f t="shared" si="5"/>
        <v>#DIV/0!</v>
      </c>
    </row>
    <row r="358" spans="8:8" x14ac:dyDescent="0.25">
      <c r="H358" s="51" t="e">
        <f t="shared" si="5"/>
        <v>#DIV/0!</v>
      </c>
    </row>
    <row r="359" spans="8:8" x14ac:dyDescent="0.25">
      <c r="H359" s="51" t="e">
        <f t="shared" si="5"/>
        <v>#DIV/0!</v>
      </c>
    </row>
    <row r="360" spans="8:8" x14ac:dyDescent="0.25">
      <c r="H360" s="51" t="e">
        <f t="shared" si="5"/>
        <v>#DIV/0!</v>
      </c>
    </row>
    <row r="361" spans="8:8" x14ac:dyDescent="0.25">
      <c r="H361" s="51" t="e">
        <f t="shared" si="5"/>
        <v>#DIV/0!</v>
      </c>
    </row>
    <row r="362" spans="8:8" x14ac:dyDescent="0.25">
      <c r="H362" s="51" t="e">
        <f t="shared" si="5"/>
        <v>#DIV/0!</v>
      </c>
    </row>
    <row r="363" spans="8:8" x14ac:dyDescent="0.25">
      <c r="H363" s="51" t="e">
        <f t="shared" si="5"/>
        <v>#DIV/0!</v>
      </c>
    </row>
    <row r="364" spans="8:8" x14ac:dyDescent="0.25">
      <c r="H364" s="51" t="e">
        <f t="shared" si="5"/>
        <v>#DIV/0!</v>
      </c>
    </row>
    <row r="365" spans="8:8" x14ac:dyDescent="0.25">
      <c r="H365" s="51" t="e">
        <f t="shared" si="5"/>
        <v>#DIV/0!</v>
      </c>
    </row>
    <row r="366" spans="8:8" x14ac:dyDescent="0.25">
      <c r="H366" s="51" t="e">
        <f t="shared" si="5"/>
        <v>#DIV/0!</v>
      </c>
    </row>
    <row r="367" spans="8:8" x14ac:dyDescent="0.25">
      <c r="H367" s="51" t="e">
        <f t="shared" si="5"/>
        <v>#DIV/0!</v>
      </c>
    </row>
    <row r="368" spans="8:8" x14ac:dyDescent="0.25">
      <c r="H368" s="51" t="e">
        <f t="shared" si="5"/>
        <v>#DIV/0!</v>
      </c>
    </row>
    <row r="369" spans="8:8" x14ac:dyDescent="0.25">
      <c r="H369" s="51" t="e">
        <f t="shared" si="5"/>
        <v>#DIV/0!</v>
      </c>
    </row>
    <row r="370" spans="8:8" x14ac:dyDescent="0.25">
      <c r="H370" s="51" t="e">
        <f t="shared" si="5"/>
        <v>#DIV/0!</v>
      </c>
    </row>
    <row r="371" spans="8:8" x14ac:dyDescent="0.25">
      <c r="H371" s="51" t="e">
        <f t="shared" si="5"/>
        <v>#DIV/0!</v>
      </c>
    </row>
    <row r="372" spans="8:8" x14ac:dyDescent="0.25">
      <c r="H372" s="51" t="e">
        <f t="shared" si="5"/>
        <v>#DIV/0!</v>
      </c>
    </row>
    <row r="373" spans="8:8" x14ac:dyDescent="0.25">
      <c r="H373" s="51" t="e">
        <f t="shared" si="5"/>
        <v>#DIV/0!</v>
      </c>
    </row>
    <row r="374" spans="8:8" x14ac:dyDescent="0.25">
      <c r="H374" s="51" t="e">
        <f t="shared" si="5"/>
        <v>#DIV/0!</v>
      </c>
    </row>
    <row r="375" spans="8:8" x14ac:dyDescent="0.25">
      <c r="H375" s="51" t="e">
        <f t="shared" si="5"/>
        <v>#DIV/0!</v>
      </c>
    </row>
    <row r="376" spans="8:8" x14ac:dyDescent="0.25">
      <c r="H376" s="51" t="e">
        <f t="shared" si="5"/>
        <v>#DIV/0!</v>
      </c>
    </row>
    <row r="377" spans="8:8" x14ac:dyDescent="0.25">
      <c r="H377" s="51" t="e">
        <f t="shared" si="5"/>
        <v>#DIV/0!</v>
      </c>
    </row>
    <row r="378" spans="8:8" x14ac:dyDescent="0.25">
      <c r="H378" s="51" t="e">
        <f t="shared" si="5"/>
        <v>#DIV/0!</v>
      </c>
    </row>
    <row r="379" spans="8:8" x14ac:dyDescent="0.25">
      <c r="H379" s="51" t="e">
        <f t="shared" si="5"/>
        <v>#DIV/0!</v>
      </c>
    </row>
    <row r="380" spans="8:8" x14ac:dyDescent="0.25">
      <c r="H380" s="51" t="e">
        <f t="shared" si="5"/>
        <v>#DIV/0!</v>
      </c>
    </row>
    <row r="381" spans="8:8" x14ac:dyDescent="0.25">
      <c r="H381" s="51" t="e">
        <f t="shared" si="5"/>
        <v>#DIV/0!</v>
      </c>
    </row>
    <row r="382" spans="8:8" x14ac:dyDescent="0.25">
      <c r="H382" s="51" t="e">
        <f t="shared" si="5"/>
        <v>#DIV/0!</v>
      </c>
    </row>
    <row r="383" spans="8:8" x14ac:dyDescent="0.25">
      <c r="H383" s="51" t="e">
        <f t="shared" si="5"/>
        <v>#DIV/0!</v>
      </c>
    </row>
    <row r="384" spans="8:8" x14ac:dyDescent="0.25">
      <c r="H384" s="51" t="e">
        <f t="shared" si="5"/>
        <v>#DIV/0!</v>
      </c>
    </row>
    <row r="385" spans="8:8" x14ac:dyDescent="0.25">
      <c r="H385" s="51" t="e">
        <f t="shared" si="5"/>
        <v>#DIV/0!</v>
      </c>
    </row>
    <row r="386" spans="8:8" x14ac:dyDescent="0.25">
      <c r="H386" s="51" t="e">
        <f t="shared" si="5"/>
        <v>#DIV/0!</v>
      </c>
    </row>
    <row r="387" spans="8:8" x14ac:dyDescent="0.25">
      <c r="H387" s="51" t="e">
        <f t="shared" ref="H387:H450" si="6">(G387-G386)/G386</f>
        <v>#DIV/0!</v>
      </c>
    </row>
    <row r="388" spans="8:8" x14ac:dyDescent="0.25">
      <c r="H388" s="51" t="e">
        <f t="shared" si="6"/>
        <v>#DIV/0!</v>
      </c>
    </row>
    <row r="389" spans="8:8" x14ac:dyDescent="0.25">
      <c r="H389" s="51" t="e">
        <f t="shared" si="6"/>
        <v>#DIV/0!</v>
      </c>
    </row>
    <row r="390" spans="8:8" x14ac:dyDescent="0.25">
      <c r="H390" s="51" t="e">
        <f t="shared" si="6"/>
        <v>#DIV/0!</v>
      </c>
    </row>
    <row r="391" spans="8:8" x14ac:dyDescent="0.25">
      <c r="H391" s="51" t="e">
        <f t="shared" si="6"/>
        <v>#DIV/0!</v>
      </c>
    </row>
    <row r="392" spans="8:8" x14ac:dyDescent="0.25">
      <c r="H392" s="51" t="e">
        <f t="shared" si="6"/>
        <v>#DIV/0!</v>
      </c>
    </row>
    <row r="393" spans="8:8" x14ac:dyDescent="0.25">
      <c r="H393" s="51" t="e">
        <f t="shared" si="6"/>
        <v>#DIV/0!</v>
      </c>
    </row>
    <row r="394" spans="8:8" x14ac:dyDescent="0.25">
      <c r="H394" s="51" t="e">
        <f t="shared" si="6"/>
        <v>#DIV/0!</v>
      </c>
    </row>
    <row r="395" spans="8:8" x14ac:dyDescent="0.25">
      <c r="H395" s="51" t="e">
        <f t="shared" si="6"/>
        <v>#DIV/0!</v>
      </c>
    </row>
    <row r="396" spans="8:8" x14ac:dyDescent="0.25">
      <c r="H396" s="51" t="e">
        <f t="shared" si="6"/>
        <v>#DIV/0!</v>
      </c>
    </row>
    <row r="397" spans="8:8" x14ac:dyDescent="0.25">
      <c r="H397" s="51" t="e">
        <f t="shared" si="6"/>
        <v>#DIV/0!</v>
      </c>
    </row>
    <row r="398" spans="8:8" x14ac:dyDescent="0.25">
      <c r="H398" s="51" t="e">
        <f t="shared" si="6"/>
        <v>#DIV/0!</v>
      </c>
    </row>
    <row r="399" spans="8:8" x14ac:dyDescent="0.25">
      <c r="H399" s="51" t="e">
        <f t="shared" si="6"/>
        <v>#DIV/0!</v>
      </c>
    </row>
    <row r="400" spans="8:8" x14ac:dyDescent="0.25">
      <c r="H400" s="51" t="e">
        <f t="shared" si="6"/>
        <v>#DIV/0!</v>
      </c>
    </row>
    <row r="401" spans="8:8" x14ac:dyDescent="0.25">
      <c r="H401" s="51" t="e">
        <f t="shared" si="6"/>
        <v>#DIV/0!</v>
      </c>
    </row>
    <row r="402" spans="8:8" x14ac:dyDescent="0.25">
      <c r="H402" s="51" t="e">
        <f t="shared" si="6"/>
        <v>#DIV/0!</v>
      </c>
    </row>
    <row r="403" spans="8:8" x14ac:dyDescent="0.25">
      <c r="H403" s="51" t="e">
        <f t="shared" si="6"/>
        <v>#DIV/0!</v>
      </c>
    </row>
    <row r="404" spans="8:8" x14ac:dyDescent="0.25">
      <c r="H404" s="51" t="e">
        <f t="shared" si="6"/>
        <v>#DIV/0!</v>
      </c>
    </row>
    <row r="405" spans="8:8" x14ac:dyDescent="0.25">
      <c r="H405" s="51" t="e">
        <f t="shared" si="6"/>
        <v>#DIV/0!</v>
      </c>
    </row>
    <row r="406" spans="8:8" x14ac:dyDescent="0.25">
      <c r="H406" s="51" t="e">
        <f t="shared" si="6"/>
        <v>#DIV/0!</v>
      </c>
    </row>
    <row r="407" spans="8:8" x14ac:dyDescent="0.25">
      <c r="H407" s="51" t="e">
        <f t="shared" si="6"/>
        <v>#DIV/0!</v>
      </c>
    </row>
    <row r="408" spans="8:8" x14ac:dyDescent="0.25">
      <c r="H408" s="51" t="e">
        <f t="shared" si="6"/>
        <v>#DIV/0!</v>
      </c>
    </row>
    <row r="409" spans="8:8" x14ac:dyDescent="0.25">
      <c r="H409" s="51" t="e">
        <f t="shared" si="6"/>
        <v>#DIV/0!</v>
      </c>
    </row>
    <row r="410" spans="8:8" x14ac:dyDescent="0.25">
      <c r="H410" s="51" t="e">
        <f t="shared" si="6"/>
        <v>#DIV/0!</v>
      </c>
    </row>
    <row r="411" spans="8:8" x14ac:dyDescent="0.25">
      <c r="H411" s="51" t="e">
        <f t="shared" si="6"/>
        <v>#DIV/0!</v>
      </c>
    </row>
    <row r="412" spans="8:8" x14ac:dyDescent="0.25">
      <c r="H412" s="51" t="e">
        <f t="shared" si="6"/>
        <v>#DIV/0!</v>
      </c>
    </row>
    <row r="413" spans="8:8" x14ac:dyDescent="0.25">
      <c r="H413" s="51" t="e">
        <f t="shared" si="6"/>
        <v>#DIV/0!</v>
      </c>
    </row>
    <row r="414" spans="8:8" x14ac:dyDescent="0.25">
      <c r="H414" s="51" t="e">
        <f t="shared" si="6"/>
        <v>#DIV/0!</v>
      </c>
    </row>
    <row r="415" spans="8:8" x14ac:dyDescent="0.25">
      <c r="H415" s="51" t="e">
        <f t="shared" si="6"/>
        <v>#DIV/0!</v>
      </c>
    </row>
    <row r="416" spans="8:8" x14ac:dyDescent="0.25">
      <c r="H416" s="51" t="e">
        <f t="shared" si="6"/>
        <v>#DIV/0!</v>
      </c>
    </row>
    <row r="417" spans="8:8" x14ac:dyDescent="0.25">
      <c r="H417" s="51" t="e">
        <f t="shared" si="6"/>
        <v>#DIV/0!</v>
      </c>
    </row>
    <row r="418" spans="8:8" x14ac:dyDescent="0.25">
      <c r="H418" s="51" t="e">
        <f t="shared" si="6"/>
        <v>#DIV/0!</v>
      </c>
    </row>
    <row r="419" spans="8:8" x14ac:dyDescent="0.25">
      <c r="H419" s="51" t="e">
        <f t="shared" si="6"/>
        <v>#DIV/0!</v>
      </c>
    </row>
    <row r="420" spans="8:8" x14ac:dyDescent="0.25">
      <c r="H420" s="51" t="e">
        <f t="shared" si="6"/>
        <v>#DIV/0!</v>
      </c>
    </row>
    <row r="421" spans="8:8" x14ac:dyDescent="0.25">
      <c r="H421" s="51" t="e">
        <f t="shared" si="6"/>
        <v>#DIV/0!</v>
      </c>
    </row>
    <row r="422" spans="8:8" x14ac:dyDescent="0.25">
      <c r="H422" s="51" t="e">
        <f t="shared" si="6"/>
        <v>#DIV/0!</v>
      </c>
    </row>
    <row r="423" spans="8:8" x14ac:dyDescent="0.25">
      <c r="H423" s="51" t="e">
        <f t="shared" si="6"/>
        <v>#DIV/0!</v>
      </c>
    </row>
    <row r="424" spans="8:8" x14ac:dyDescent="0.25">
      <c r="H424" s="51" t="e">
        <f t="shared" si="6"/>
        <v>#DIV/0!</v>
      </c>
    </row>
    <row r="425" spans="8:8" x14ac:dyDescent="0.25">
      <c r="H425" s="51" t="e">
        <f t="shared" si="6"/>
        <v>#DIV/0!</v>
      </c>
    </row>
    <row r="426" spans="8:8" x14ac:dyDescent="0.25">
      <c r="H426" s="51" t="e">
        <f t="shared" si="6"/>
        <v>#DIV/0!</v>
      </c>
    </row>
    <row r="427" spans="8:8" x14ac:dyDescent="0.25">
      <c r="H427" s="51" t="e">
        <f t="shared" si="6"/>
        <v>#DIV/0!</v>
      </c>
    </row>
    <row r="428" spans="8:8" x14ac:dyDescent="0.25">
      <c r="H428" s="51" t="e">
        <f t="shared" si="6"/>
        <v>#DIV/0!</v>
      </c>
    </row>
    <row r="429" spans="8:8" x14ac:dyDescent="0.25">
      <c r="H429" s="51" t="e">
        <f t="shared" si="6"/>
        <v>#DIV/0!</v>
      </c>
    </row>
    <row r="430" spans="8:8" x14ac:dyDescent="0.25">
      <c r="H430" s="51" t="e">
        <f t="shared" si="6"/>
        <v>#DIV/0!</v>
      </c>
    </row>
    <row r="431" spans="8:8" x14ac:dyDescent="0.25">
      <c r="H431" s="51" t="e">
        <f t="shared" si="6"/>
        <v>#DIV/0!</v>
      </c>
    </row>
    <row r="432" spans="8:8" x14ac:dyDescent="0.25">
      <c r="H432" s="51" t="e">
        <f t="shared" si="6"/>
        <v>#DIV/0!</v>
      </c>
    </row>
    <row r="433" spans="8:8" x14ac:dyDescent="0.25">
      <c r="H433" s="51" t="e">
        <f t="shared" si="6"/>
        <v>#DIV/0!</v>
      </c>
    </row>
    <row r="434" spans="8:8" x14ac:dyDescent="0.25">
      <c r="H434" s="51" t="e">
        <f t="shared" si="6"/>
        <v>#DIV/0!</v>
      </c>
    </row>
    <row r="435" spans="8:8" x14ac:dyDescent="0.25">
      <c r="H435" s="51" t="e">
        <f t="shared" si="6"/>
        <v>#DIV/0!</v>
      </c>
    </row>
    <row r="436" spans="8:8" x14ac:dyDescent="0.25">
      <c r="H436" s="51" t="e">
        <f t="shared" si="6"/>
        <v>#DIV/0!</v>
      </c>
    </row>
    <row r="437" spans="8:8" x14ac:dyDescent="0.25">
      <c r="H437" s="51" t="e">
        <f t="shared" si="6"/>
        <v>#DIV/0!</v>
      </c>
    </row>
    <row r="438" spans="8:8" x14ac:dyDescent="0.25">
      <c r="H438" s="51" t="e">
        <f t="shared" si="6"/>
        <v>#DIV/0!</v>
      </c>
    </row>
    <row r="439" spans="8:8" x14ac:dyDescent="0.25">
      <c r="H439" s="51" t="e">
        <f t="shared" si="6"/>
        <v>#DIV/0!</v>
      </c>
    </row>
    <row r="440" spans="8:8" x14ac:dyDescent="0.25">
      <c r="H440" s="51" t="e">
        <f t="shared" si="6"/>
        <v>#DIV/0!</v>
      </c>
    </row>
    <row r="441" spans="8:8" x14ac:dyDescent="0.25">
      <c r="H441" s="51" t="e">
        <f t="shared" si="6"/>
        <v>#DIV/0!</v>
      </c>
    </row>
    <row r="442" spans="8:8" x14ac:dyDescent="0.25">
      <c r="H442" s="51" t="e">
        <f t="shared" si="6"/>
        <v>#DIV/0!</v>
      </c>
    </row>
    <row r="443" spans="8:8" x14ac:dyDescent="0.25">
      <c r="H443" s="51" t="e">
        <f t="shared" si="6"/>
        <v>#DIV/0!</v>
      </c>
    </row>
    <row r="444" spans="8:8" x14ac:dyDescent="0.25">
      <c r="H444" s="51" t="e">
        <f t="shared" si="6"/>
        <v>#DIV/0!</v>
      </c>
    </row>
    <row r="445" spans="8:8" x14ac:dyDescent="0.25">
      <c r="H445" s="51" t="e">
        <f t="shared" si="6"/>
        <v>#DIV/0!</v>
      </c>
    </row>
    <row r="446" spans="8:8" x14ac:dyDescent="0.25">
      <c r="H446" s="51" t="e">
        <f t="shared" si="6"/>
        <v>#DIV/0!</v>
      </c>
    </row>
    <row r="447" spans="8:8" x14ac:dyDescent="0.25">
      <c r="H447" s="51" t="e">
        <f t="shared" si="6"/>
        <v>#DIV/0!</v>
      </c>
    </row>
    <row r="448" spans="8:8" x14ac:dyDescent="0.25">
      <c r="H448" s="51" t="e">
        <f t="shared" si="6"/>
        <v>#DIV/0!</v>
      </c>
    </row>
    <row r="449" spans="8:8" x14ac:dyDescent="0.25">
      <c r="H449" s="51" t="e">
        <f t="shared" si="6"/>
        <v>#DIV/0!</v>
      </c>
    </row>
    <row r="450" spans="8:8" x14ac:dyDescent="0.25">
      <c r="H450" s="51" t="e">
        <f t="shared" si="6"/>
        <v>#DIV/0!</v>
      </c>
    </row>
    <row r="451" spans="8:8" x14ac:dyDescent="0.25">
      <c r="H451" s="51" t="e">
        <f t="shared" ref="H451:H477" si="7">(G451-G450)/G450</f>
        <v>#DIV/0!</v>
      </c>
    </row>
    <row r="452" spans="8:8" x14ac:dyDescent="0.25">
      <c r="H452" s="51" t="e">
        <f t="shared" si="7"/>
        <v>#DIV/0!</v>
      </c>
    </row>
    <row r="453" spans="8:8" x14ac:dyDescent="0.25">
      <c r="H453" s="51" t="e">
        <f t="shared" si="7"/>
        <v>#DIV/0!</v>
      </c>
    </row>
    <row r="454" spans="8:8" x14ac:dyDescent="0.25">
      <c r="H454" s="51" t="e">
        <f t="shared" si="7"/>
        <v>#DIV/0!</v>
      </c>
    </row>
    <row r="455" spans="8:8" x14ac:dyDescent="0.25">
      <c r="H455" s="51" t="e">
        <f t="shared" si="7"/>
        <v>#DIV/0!</v>
      </c>
    </row>
    <row r="456" spans="8:8" x14ac:dyDescent="0.25">
      <c r="H456" s="51" t="e">
        <f t="shared" si="7"/>
        <v>#DIV/0!</v>
      </c>
    </row>
    <row r="457" spans="8:8" x14ac:dyDescent="0.25">
      <c r="H457" s="51" t="e">
        <f t="shared" si="7"/>
        <v>#DIV/0!</v>
      </c>
    </row>
    <row r="458" spans="8:8" x14ac:dyDescent="0.25">
      <c r="H458" s="51" t="e">
        <f t="shared" si="7"/>
        <v>#DIV/0!</v>
      </c>
    </row>
    <row r="459" spans="8:8" x14ac:dyDescent="0.25">
      <c r="H459" s="51" t="e">
        <f t="shared" si="7"/>
        <v>#DIV/0!</v>
      </c>
    </row>
    <row r="460" spans="8:8" x14ac:dyDescent="0.25">
      <c r="H460" s="51" t="e">
        <f t="shared" si="7"/>
        <v>#DIV/0!</v>
      </c>
    </row>
    <row r="461" spans="8:8" x14ac:dyDescent="0.25">
      <c r="H461" s="51" t="e">
        <f t="shared" si="7"/>
        <v>#DIV/0!</v>
      </c>
    </row>
    <row r="462" spans="8:8" x14ac:dyDescent="0.25">
      <c r="H462" s="51" t="e">
        <f t="shared" si="7"/>
        <v>#DIV/0!</v>
      </c>
    </row>
    <row r="463" spans="8:8" x14ac:dyDescent="0.25">
      <c r="H463" s="51" t="e">
        <f t="shared" si="7"/>
        <v>#DIV/0!</v>
      </c>
    </row>
    <row r="464" spans="8:8" x14ac:dyDescent="0.25">
      <c r="H464" s="51" t="e">
        <f t="shared" si="7"/>
        <v>#DIV/0!</v>
      </c>
    </row>
    <row r="465" spans="8:8" x14ac:dyDescent="0.25">
      <c r="H465" s="51" t="e">
        <f t="shared" si="7"/>
        <v>#DIV/0!</v>
      </c>
    </row>
    <row r="466" spans="8:8" x14ac:dyDescent="0.25">
      <c r="H466" s="51" t="e">
        <f t="shared" si="7"/>
        <v>#DIV/0!</v>
      </c>
    </row>
    <row r="467" spans="8:8" x14ac:dyDescent="0.25">
      <c r="H467" s="51" t="e">
        <f t="shared" si="7"/>
        <v>#DIV/0!</v>
      </c>
    </row>
    <row r="468" spans="8:8" x14ac:dyDescent="0.25">
      <c r="H468" s="51" t="e">
        <f t="shared" si="7"/>
        <v>#DIV/0!</v>
      </c>
    </row>
    <row r="469" spans="8:8" x14ac:dyDescent="0.25">
      <c r="H469" s="51" t="e">
        <f t="shared" si="7"/>
        <v>#DIV/0!</v>
      </c>
    </row>
    <row r="470" spans="8:8" x14ac:dyDescent="0.25">
      <c r="H470" s="51" t="e">
        <f t="shared" si="7"/>
        <v>#DIV/0!</v>
      </c>
    </row>
    <row r="471" spans="8:8" x14ac:dyDescent="0.25">
      <c r="H471" s="51" t="e">
        <f t="shared" si="7"/>
        <v>#DIV/0!</v>
      </c>
    </row>
    <row r="472" spans="8:8" x14ac:dyDescent="0.25">
      <c r="H472" s="51" t="e">
        <f t="shared" si="7"/>
        <v>#DIV/0!</v>
      </c>
    </row>
    <row r="473" spans="8:8" x14ac:dyDescent="0.25">
      <c r="H473" s="51" t="e">
        <f t="shared" si="7"/>
        <v>#DIV/0!</v>
      </c>
    </row>
    <row r="474" spans="8:8" x14ac:dyDescent="0.25">
      <c r="H474" s="51" t="e">
        <f t="shared" si="7"/>
        <v>#DIV/0!</v>
      </c>
    </row>
    <row r="475" spans="8:8" x14ac:dyDescent="0.25">
      <c r="H475" s="51" t="e">
        <f t="shared" si="7"/>
        <v>#DIV/0!</v>
      </c>
    </row>
    <row r="476" spans="8:8" x14ac:dyDescent="0.25">
      <c r="H476" s="51" t="e">
        <f t="shared" si="7"/>
        <v>#DIV/0!</v>
      </c>
    </row>
    <row r="477" spans="8:8" x14ac:dyDescent="0.25">
      <c r="H477" s="51" t="e">
        <f t="shared" si="7"/>
        <v>#DIV/0!</v>
      </c>
    </row>
    <row r="478" spans="8:8" x14ac:dyDescent="0.25">
      <c r="H478" s="51" t="e">
        <f t="shared" ref="H478:H500" si="8">(G478-G477)/G477</f>
        <v>#DIV/0!</v>
      </c>
    </row>
    <row r="479" spans="8:8" x14ac:dyDescent="0.25">
      <c r="H479" s="51" t="e">
        <f t="shared" si="8"/>
        <v>#DIV/0!</v>
      </c>
    </row>
    <row r="480" spans="8:8" x14ac:dyDescent="0.25">
      <c r="H480" s="51" t="e">
        <f t="shared" si="8"/>
        <v>#DIV/0!</v>
      </c>
    </row>
    <row r="481" spans="8:8" x14ac:dyDescent="0.25">
      <c r="H481" s="51" t="e">
        <f t="shared" si="8"/>
        <v>#DIV/0!</v>
      </c>
    </row>
    <row r="482" spans="8:8" x14ac:dyDescent="0.25">
      <c r="H482" s="51" t="e">
        <f t="shared" si="8"/>
        <v>#DIV/0!</v>
      </c>
    </row>
    <row r="483" spans="8:8" x14ac:dyDescent="0.25">
      <c r="H483" s="51" t="e">
        <f t="shared" si="8"/>
        <v>#DIV/0!</v>
      </c>
    </row>
    <row r="484" spans="8:8" x14ac:dyDescent="0.25">
      <c r="H484" s="51" t="e">
        <f t="shared" si="8"/>
        <v>#DIV/0!</v>
      </c>
    </row>
    <row r="485" spans="8:8" x14ac:dyDescent="0.25">
      <c r="H485" s="51" t="e">
        <f t="shared" si="8"/>
        <v>#DIV/0!</v>
      </c>
    </row>
    <row r="486" spans="8:8" x14ac:dyDescent="0.25">
      <c r="H486" s="51" t="e">
        <f t="shared" si="8"/>
        <v>#DIV/0!</v>
      </c>
    </row>
    <row r="487" spans="8:8" x14ac:dyDescent="0.25">
      <c r="H487" s="51" t="e">
        <f t="shared" si="8"/>
        <v>#DIV/0!</v>
      </c>
    </row>
    <row r="488" spans="8:8" x14ac:dyDescent="0.25">
      <c r="H488" s="51" t="e">
        <f t="shared" si="8"/>
        <v>#DIV/0!</v>
      </c>
    </row>
    <row r="489" spans="8:8" x14ac:dyDescent="0.25">
      <c r="H489" s="51" t="e">
        <f t="shared" si="8"/>
        <v>#DIV/0!</v>
      </c>
    </row>
    <row r="490" spans="8:8" x14ac:dyDescent="0.25">
      <c r="H490" s="51" t="e">
        <f t="shared" si="8"/>
        <v>#DIV/0!</v>
      </c>
    </row>
    <row r="491" spans="8:8" x14ac:dyDescent="0.25">
      <c r="H491" s="51" t="e">
        <f t="shared" si="8"/>
        <v>#DIV/0!</v>
      </c>
    </row>
    <row r="492" spans="8:8" x14ac:dyDescent="0.25">
      <c r="H492" s="51" t="e">
        <f t="shared" si="8"/>
        <v>#DIV/0!</v>
      </c>
    </row>
    <row r="493" spans="8:8" x14ac:dyDescent="0.25">
      <c r="H493" s="51" t="e">
        <f t="shared" si="8"/>
        <v>#DIV/0!</v>
      </c>
    </row>
    <row r="494" spans="8:8" x14ac:dyDescent="0.25">
      <c r="H494" s="51" t="e">
        <f t="shared" si="8"/>
        <v>#DIV/0!</v>
      </c>
    </row>
    <row r="495" spans="8:8" x14ac:dyDescent="0.25">
      <c r="H495" s="51" t="e">
        <f t="shared" si="8"/>
        <v>#DIV/0!</v>
      </c>
    </row>
    <row r="496" spans="8:8" x14ac:dyDescent="0.25">
      <c r="H496" s="51" t="e">
        <f t="shared" si="8"/>
        <v>#DIV/0!</v>
      </c>
    </row>
    <row r="497" spans="8:8" x14ac:dyDescent="0.25">
      <c r="H497" s="51" t="e">
        <f t="shared" si="8"/>
        <v>#DIV/0!</v>
      </c>
    </row>
    <row r="498" spans="8:8" x14ac:dyDescent="0.25">
      <c r="H498" s="51" t="e">
        <f t="shared" si="8"/>
        <v>#DIV/0!</v>
      </c>
    </row>
    <row r="499" spans="8:8" x14ac:dyDescent="0.25">
      <c r="H499" s="51" t="e">
        <f t="shared" si="8"/>
        <v>#DIV/0!</v>
      </c>
    </row>
    <row r="500" spans="8:8" x14ac:dyDescent="0.25">
      <c r="H500" s="51" t="e">
        <f t="shared" si="8"/>
        <v>#DIV/0!</v>
      </c>
    </row>
    <row r="501" spans="8:8" x14ac:dyDescent="0.25">
      <c r="H501" s="51" t="e">
        <f>(G501-G500)/G500</f>
        <v>#DIV/0!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463F6-6C48-4EBB-84FE-F4B8936A937D}">
  <sheetPr codeName="Sheet3"/>
  <dimension ref="A1:P51"/>
  <sheetViews>
    <sheetView topLeftCell="A13" workbookViewId="0">
      <selection activeCell="A4" sqref="A4:A6"/>
    </sheetView>
  </sheetViews>
  <sheetFormatPr defaultRowHeight="15" x14ac:dyDescent="0.25"/>
  <sheetData>
    <row r="1" spans="1:5" x14ac:dyDescent="0.25">
      <c r="A1" t="s">
        <v>5</v>
      </c>
    </row>
    <row r="2" spans="1:5" x14ac:dyDescent="0.25">
      <c r="A2">
        <v>5</v>
      </c>
    </row>
    <row r="3" spans="1:5" x14ac:dyDescent="0.25">
      <c r="A3">
        <v>1</v>
      </c>
    </row>
    <row r="4" spans="1:5" x14ac:dyDescent="0.25">
      <c r="A4">
        <v>1</v>
      </c>
    </row>
    <row r="5" spans="1:5" x14ac:dyDescent="0.25">
      <c r="A5" t="s">
        <v>6</v>
      </c>
    </row>
    <row r="6" spans="1:5" x14ac:dyDescent="0.25">
      <c r="A6">
        <v>16</v>
      </c>
    </row>
    <row r="7" spans="1:5" x14ac:dyDescent="0.25">
      <c r="A7">
        <v>1.2527056984333182</v>
      </c>
      <c r="B7">
        <v>0.32039394818112593</v>
      </c>
      <c r="C7">
        <v>-0.53300658645357557</v>
      </c>
      <c r="D7">
        <v>-1.2560898957761633</v>
      </c>
      <c r="E7">
        <v>-0.63525382779889605</v>
      </c>
    </row>
    <row r="8" spans="1:5" x14ac:dyDescent="0.25">
      <c r="A8">
        <v>-2.1519891241261947E-2</v>
      </c>
      <c r="B8">
        <v>7.6519023673723929E-2</v>
      </c>
      <c r="C8">
        <v>-0.39040350417851333</v>
      </c>
      <c r="D8">
        <v>-4.6566068922074003E-2</v>
      </c>
      <c r="E8">
        <v>-1.0422158680956604E-2</v>
      </c>
    </row>
    <row r="9" spans="1:5" x14ac:dyDescent="0.25">
      <c r="A9">
        <v>0.11527600098263188</v>
      </c>
      <c r="B9">
        <v>0.35523902043925815</v>
      </c>
      <c r="C9">
        <v>-0.13235063890389365</v>
      </c>
      <c r="D9">
        <v>-8.2788034998140761E-2</v>
      </c>
      <c r="E9">
        <v>-0.1848714815160219</v>
      </c>
    </row>
    <row r="10" spans="1:5" x14ac:dyDescent="0.25">
      <c r="A10">
        <v>1.7780772384972094</v>
      </c>
      <c r="B10">
        <v>0.515320212771611</v>
      </c>
      <c r="C10">
        <v>0.84025719901842089</v>
      </c>
      <c r="D10">
        <v>4.8355694038017719E-2</v>
      </c>
      <c r="E10">
        <v>0.79791991003709994</v>
      </c>
    </row>
    <row r="11" spans="1:5" x14ac:dyDescent="0.25">
      <c r="A11">
        <v>1.6816234792431661</v>
      </c>
      <c r="B11">
        <v>0.35711575844243332</v>
      </c>
      <c r="C11">
        <v>-6.7040444344453817E-2</v>
      </c>
      <c r="D11">
        <v>-0.87542857206296698</v>
      </c>
      <c r="E11">
        <v>-0.38937197185564676</v>
      </c>
    </row>
    <row r="12" spans="1:5" x14ac:dyDescent="0.25">
      <c r="A12">
        <v>-3.3822270067294734E-2</v>
      </c>
      <c r="B12">
        <v>8.1729226807969249E-2</v>
      </c>
      <c r="C12">
        <v>0.13340900345851406</v>
      </c>
      <c r="D12">
        <v>8.7494649931163845E-3</v>
      </c>
      <c r="E12">
        <v>-0.2222814138467625</v>
      </c>
    </row>
    <row r="13" spans="1:5" x14ac:dyDescent="0.25">
      <c r="A13">
        <v>1.1779953152241438</v>
      </c>
      <c r="B13">
        <v>0.23668095391976904</v>
      </c>
      <c r="C13">
        <v>-0.48654012630570209</v>
      </c>
      <c r="D13">
        <v>-2.352352930530591</v>
      </c>
      <c r="E13">
        <v>-0.15717543879298318</v>
      </c>
    </row>
    <row r="14" spans="1:5" x14ac:dyDescent="0.25">
      <c r="A14">
        <v>7.3544278692516257E-2</v>
      </c>
      <c r="B14">
        <v>0.23628735088692432</v>
      </c>
      <c r="C14">
        <v>-2.0985966760906652E-2</v>
      </c>
      <c r="D14">
        <v>1.8437818624301848E-2</v>
      </c>
      <c r="E14">
        <v>-0.31388175073485958</v>
      </c>
    </row>
    <row r="15" spans="1:5" x14ac:dyDescent="0.25">
      <c r="A15">
        <v>-0.18317277137289514</v>
      </c>
      <c r="B15">
        <v>4.3122637411073667E-2</v>
      </c>
      <c r="C15">
        <v>-0.25363507341087804</v>
      </c>
      <c r="D15">
        <v>2.3525420788316063E-2</v>
      </c>
      <c r="E15">
        <v>5.8806505803737474E-2</v>
      </c>
    </row>
    <row r="16" spans="1:5" x14ac:dyDescent="0.25">
      <c r="A16">
        <v>1.5085948184895315</v>
      </c>
      <c r="B16">
        <v>0.28835946484415309</v>
      </c>
      <c r="C16">
        <v>-0.15304475480307353</v>
      </c>
      <c r="D16">
        <v>-2.2036772724951814</v>
      </c>
      <c r="E16">
        <v>-0.51188323078131204</v>
      </c>
    </row>
    <row r="17" spans="1:16" x14ac:dyDescent="0.25">
      <c r="A17">
        <v>1.5018682265496728</v>
      </c>
      <c r="B17">
        <v>0.40924048589977419</v>
      </c>
      <c r="C17">
        <v>-0.57953691494756088</v>
      </c>
      <c r="D17">
        <v>-0.98367102321939803</v>
      </c>
      <c r="E17">
        <v>-0.2014957202632067</v>
      </c>
    </row>
    <row r="18" spans="1:16" x14ac:dyDescent="0.25">
      <c r="A18">
        <v>1.3608164915029881</v>
      </c>
      <c r="B18">
        <v>0.31851051193254842</v>
      </c>
      <c r="C18">
        <v>0.74152399252983259</v>
      </c>
      <c r="D18">
        <v>0.28198678723397197</v>
      </c>
      <c r="E18">
        <v>0.3752534838730972</v>
      </c>
    </row>
    <row r="19" spans="1:16" x14ac:dyDescent="0.25">
      <c r="A19">
        <v>1.598851151391671</v>
      </c>
      <c r="B19">
        <v>0.34844512444449677</v>
      </c>
      <c r="C19">
        <v>-0.11027745285926518</v>
      </c>
      <c r="D19">
        <v>-1.0161523965154005</v>
      </c>
      <c r="E19">
        <v>-0.70165731268707754</v>
      </c>
    </row>
    <row r="20" spans="1:16" x14ac:dyDescent="0.25">
      <c r="A20">
        <v>1.5242542733854023</v>
      </c>
      <c r="B20">
        <v>0.38705007347951442</v>
      </c>
      <c r="C20">
        <v>-0.30232711307799703</v>
      </c>
      <c r="D20">
        <v>-1.1695583791633484</v>
      </c>
      <c r="E20">
        <v>-0.67445280351699066</v>
      </c>
    </row>
    <row r="21" spans="1:16" x14ac:dyDescent="0.25">
      <c r="A21">
        <v>1.5775718589999415</v>
      </c>
      <c r="B21">
        <v>0.42907735241206479</v>
      </c>
      <c r="C21">
        <v>1.3224277041129445E-2</v>
      </c>
      <c r="D21">
        <v>-2.1480810455046284</v>
      </c>
      <c r="E21">
        <v>-0.50231262980302394</v>
      </c>
    </row>
    <row r="22" spans="1:16" x14ac:dyDescent="0.25">
      <c r="A22">
        <v>6.3516634136348907E-2</v>
      </c>
      <c r="B22">
        <v>5.9774758109340166E-2</v>
      </c>
      <c r="C22">
        <v>0.1350854044898207</v>
      </c>
      <c r="D22">
        <v>0.24869028661736334</v>
      </c>
      <c r="E22">
        <v>0.19906421799408322</v>
      </c>
    </row>
    <row r="23" spans="1:16" x14ac:dyDescent="0.25">
      <c r="A23">
        <v>-6.9919258514654956E-2</v>
      </c>
      <c r="B23">
        <v>-0.20423350799289605</v>
      </c>
      <c r="C23">
        <v>-0.2298981528013106</v>
      </c>
      <c r="D23">
        <v>-2.3331034705396547E-2</v>
      </c>
      <c r="E23">
        <v>-0.18507978417531096</v>
      </c>
      <c r="F23">
        <v>1.2833664496275462E-4</v>
      </c>
      <c r="G23">
        <v>-0.13084763391020457</v>
      </c>
      <c r="H23">
        <v>3.5082799500261948E-2</v>
      </c>
      <c r="I23">
        <v>-0.10295975428155441</v>
      </c>
      <c r="J23">
        <v>-0.18187589332498635</v>
      </c>
      <c r="K23">
        <v>-5.0951607209847989E-2</v>
      </c>
      <c r="L23">
        <v>-0.10465515673964226</v>
      </c>
      <c r="M23">
        <v>-0.166054115892974</v>
      </c>
      <c r="N23">
        <v>-9.8712735025334106E-2</v>
      </c>
      <c r="O23">
        <v>-5.4300976766242064E-2</v>
      </c>
      <c r="P23">
        <v>0.24548364840714773</v>
      </c>
    </row>
    <row r="24" spans="1:16" x14ac:dyDescent="0.25">
      <c r="A24">
        <v>-1.7603511212519187</v>
      </c>
      <c r="B24">
        <v>4.8755651602833718E-2</v>
      </c>
      <c r="C24">
        <v>0.16486118840436012</v>
      </c>
      <c r="D24">
        <v>-3.0610101282513611</v>
      </c>
      <c r="E24">
        <v>-1.8177285854445879</v>
      </c>
      <c r="F24">
        <v>-4.480770549793231E-2</v>
      </c>
      <c r="G24">
        <v>-1.9665271153602293</v>
      </c>
      <c r="H24">
        <v>-8.2869807891696026E-2</v>
      </c>
      <c r="I24">
        <v>9.7741588341558244E-2</v>
      </c>
      <c r="J24">
        <v>-1.7468618822243103</v>
      </c>
      <c r="K24">
        <v>-2.5171671546696364</v>
      </c>
      <c r="L24">
        <v>-2.0676649891428016</v>
      </c>
      <c r="M24">
        <v>-1.9203489273670951</v>
      </c>
      <c r="N24">
        <v>-1.9285873858172209</v>
      </c>
      <c r="O24">
        <v>-2.2141555447767631</v>
      </c>
      <c r="P24">
        <v>0.3287255129226086</v>
      </c>
    </row>
    <row r="25" spans="1:16" x14ac:dyDescent="0.25">
      <c r="A25">
        <v>0.59414191830329688</v>
      </c>
      <c r="B25">
        <v>-0.47838325164896189</v>
      </c>
      <c r="C25">
        <v>0.24070461891814471</v>
      </c>
      <c r="D25">
        <v>0.43903585904130249</v>
      </c>
      <c r="E25">
        <v>-0.72720457651270165</v>
      </c>
      <c r="F25">
        <v>0.42948524725726905</v>
      </c>
      <c r="G25">
        <v>-0.56288005044531275</v>
      </c>
      <c r="H25">
        <v>0.33767982933342738</v>
      </c>
      <c r="I25">
        <v>-0.15846597313836502</v>
      </c>
      <c r="J25">
        <v>0.43320147101429118</v>
      </c>
      <c r="K25">
        <v>0.43952425859052735</v>
      </c>
      <c r="L25">
        <v>-1.6704455654761379</v>
      </c>
      <c r="M25">
        <v>0.4873163517631755</v>
      </c>
      <c r="N25">
        <v>0.80256122385405648</v>
      </c>
      <c r="O25">
        <v>0.31487583993067786</v>
      </c>
      <c r="P25">
        <v>0.41121505383162432</v>
      </c>
    </row>
    <row r="26" spans="1:16" x14ac:dyDescent="0.25">
      <c r="A26" t="s">
        <v>7</v>
      </c>
      <c r="B26">
        <v>-7.5517513919661092E-2</v>
      </c>
    </row>
    <row r="27" spans="1:16" x14ac:dyDescent="0.25">
      <c r="A27">
        <v>5</v>
      </c>
    </row>
    <row r="28" spans="1:16" x14ac:dyDescent="0.25">
      <c r="A28">
        <v>1</v>
      </c>
    </row>
    <row r="29" spans="1:16" x14ac:dyDescent="0.25">
      <c r="A29">
        <v>1</v>
      </c>
    </row>
    <row r="30" spans="1:16" x14ac:dyDescent="0.25">
      <c r="A30" t="s">
        <v>6</v>
      </c>
    </row>
    <row r="31" spans="1:16" x14ac:dyDescent="0.25">
      <c r="A31">
        <v>16</v>
      </c>
    </row>
    <row r="32" spans="1:16" x14ac:dyDescent="0.25">
      <c r="A32">
        <v>-1.6569981706637402</v>
      </c>
      <c r="B32">
        <v>-0.49117414649576502</v>
      </c>
      <c r="C32">
        <v>-0.15386807406058986</v>
      </c>
      <c r="D32">
        <v>-4.7608181879751743E-2</v>
      </c>
      <c r="E32">
        <v>0.32109447853430584</v>
      </c>
    </row>
    <row r="33" spans="1:16" x14ac:dyDescent="0.25">
      <c r="A33">
        <v>6.5377646161992695E-2</v>
      </c>
      <c r="B33">
        <v>0.43241968226460287</v>
      </c>
      <c r="C33">
        <v>0.10301002896822291</v>
      </c>
      <c r="D33">
        <v>0.31298978812970407</v>
      </c>
      <c r="E33">
        <v>6.2456814549165969E-2</v>
      </c>
    </row>
    <row r="34" spans="1:16" x14ac:dyDescent="0.25">
      <c r="A34">
        <v>-0.27433982591280248</v>
      </c>
      <c r="B34">
        <v>-0.46948621020240805</v>
      </c>
      <c r="C34">
        <v>-0.33154739097159014</v>
      </c>
      <c r="D34">
        <v>-5.7547318753294724E-4</v>
      </c>
      <c r="E34">
        <v>-0.54367719269893522</v>
      </c>
    </row>
    <row r="35" spans="1:16" x14ac:dyDescent="0.25">
      <c r="A35">
        <v>-0.29987586698641427</v>
      </c>
      <c r="B35">
        <v>0.27699460987880953</v>
      </c>
      <c r="C35">
        <v>9.9975147386293317E-2</v>
      </c>
      <c r="D35">
        <v>0.32232263812052669</v>
      </c>
      <c r="E35">
        <v>2.8070294459113229E-2</v>
      </c>
    </row>
    <row r="36" spans="1:16" x14ac:dyDescent="0.25">
      <c r="A36">
        <v>-0.39741407551982455</v>
      </c>
      <c r="B36">
        <v>-0.79756352912764195</v>
      </c>
      <c r="C36">
        <v>-0.27202608781490706</v>
      </c>
      <c r="D36">
        <v>-0.51977495487819803</v>
      </c>
      <c r="E36">
        <v>9.0251084139612636E-2</v>
      </c>
    </row>
    <row r="37" spans="1:16" x14ac:dyDescent="0.25">
      <c r="A37">
        <v>-0.44298391128344894</v>
      </c>
      <c r="B37">
        <v>-0.4542216982447016</v>
      </c>
      <c r="C37">
        <v>-0.49672086376066987</v>
      </c>
      <c r="D37">
        <v>0.14506029692657804</v>
      </c>
      <c r="E37">
        <v>-0.4044258546347636</v>
      </c>
    </row>
    <row r="38" spans="1:16" x14ac:dyDescent="0.25">
      <c r="A38">
        <v>-0.23360056805663326</v>
      </c>
      <c r="B38">
        <v>-0.2734530825064091</v>
      </c>
      <c r="C38">
        <v>-0.40336624883820682</v>
      </c>
      <c r="D38">
        <v>-4.4727877810391411E-3</v>
      </c>
      <c r="E38">
        <v>-0.37356377409244207</v>
      </c>
    </row>
    <row r="39" spans="1:16" x14ac:dyDescent="0.25">
      <c r="A39">
        <v>-0.92685438211921567</v>
      </c>
      <c r="B39">
        <v>-0.18720180392928401</v>
      </c>
      <c r="C39">
        <v>3.5322546622438514E-2</v>
      </c>
      <c r="D39">
        <v>0.51573284905814931</v>
      </c>
      <c r="E39">
        <v>0.48887395281401796</v>
      </c>
    </row>
    <row r="40" spans="1:16" x14ac:dyDescent="0.25">
      <c r="A40">
        <v>0.40904982442108107</v>
      </c>
      <c r="B40">
        <v>0.62036321815953988</v>
      </c>
      <c r="C40">
        <v>0.49572206651294226</v>
      </c>
      <c r="D40">
        <v>-0.16354156681137025</v>
      </c>
      <c r="E40">
        <v>0.18118428474634296</v>
      </c>
    </row>
    <row r="41" spans="1:16" x14ac:dyDescent="0.25">
      <c r="A41">
        <v>0.2292139394380886</v>
      </c>
      <c r="B41">
        <v>-6.5749181540798368E-2</v>
      </c>
      <c r="C41">
        <v>-2.1070865878404597E-2</v>
      </c>
      <c r="D41">
        <v>0.11646405141877948</v>
      </c>
      <c r="E41">
        <v>8.5104713496947523E-2</v>
      </c>
    </row>
    <row r="42" spans="1:16" x14ac:dyDescent="0.25">
      <c r="A42">
        <v>0.44746425849572019</v>
      </c>
      <c r="B42">
        <v>0.54644470579655624</v>
      </c>
      <c r="C42">
        <v>0.57934093607506398</v>
      </c>
      <c r="D42">
        <v>-6.8648079185969796E-2</v>
      </c>
      <c r="E42">
        <v>0.33642360516090608</v>
      </c>
    </row>
    <row r="43" spans="1:16" x14ac:dyDescent="0.25">
      <c r="A43">
        <v>-2.8813890544675557E-3</v>
      </c>
      <c r="B43">
        <v>-0.5317538889200516</v>
      </c>
      <c r="C43">
        <v>5.2776764314857783E-2</v>
      </c>
      <c r="D43">
        <v>-0.51239994568015423</v>
      </c>
      <c r="E43">
        <v>0.13937828082088255</v>
      </c>
    </row>
    <row r="44" spans="1:16" x14ac:dyDescent="0.25">
      <c r="A44">
        <v>-3.9403850993179765E-2</v>
      </c>
      <c r="B44">
        <v>-0.45721183492242629</v>
      </c>
      <c r="C44">
        <v>-0.12555894991238345</v>
      </c>
      <c r="D44">
        <v>-0.32889957823111843</v>
      </c>
      <c r="E44">
        <v>-0.30028282043898846</v>
      </c>
    </row>
    <row r="45" spans="1:16" x14ac:dyDescent="0.25">
      <c r="A45">
        <v>-0.13898102701355755</v>
      </c>
      <c r="B45">
        <v>-0.54350590036555602</v>
      </c>
      <c r="C45">
        <v>-2.5057409841185482E-2</v>
      </c>
      <c r="D45">
        <v>-0.45333333474422494</v>
      </c>
      <c r="E45">
        <v>-0.37495721255155717</v>
      </c>
    </row>
    <row r="46" spans="1:16" x14ac:dyDescent="0.25">
      <c r="A46">
        <v>-1.1452106042626253</v>
      </c>
      <c r="B46">
        <v>-0.42967600677347423</v>
      </c>
      <c r="C46">
        <v>0.12220253419722102</v>
      </c>
      <c r="D46">
        <v>9.7492663471028751E-2</v>
      </c>
      <c r="E46">
        <v>0.26785552052822736</v>
      </c>
    </row>
    <row r="47" spans="1:16" x14ac:dyDescent="0.25">
      <c r="A47">
        <v>-4.3379933728962705E-2</v>
      </c>
      <c r="B47">
        <v>-0.32800266201999756</v>
      </c>
      <c r="C47">
        <v>0.35112384087345699</v>
      </c>
      <c r="D47">
        <v>0.23914659922428966</v>
      </c>
      <c r="E47">
        <v>-0.13359739298282869</v>
      </c>
    </row>
    <row r="48" spans="1:16" x14ac:dyDescent="0.25">
      <c r="A48">
        <v>-0.11175482311640948</v>
      </c>
      <c r="B48">
        <v>-4.4174002957795486E-2</v>
      </c>
      <c r="C48">
        <v>-3.2641861724482461E-2</v>
      </c>
      <c r="D48">
        <v>-0.18638558795907628</v>
      </c>
      <c r="E48">
        <v>8.1942966623828259E-2</v>
      </c>
      <c r="F48">
        <v>0.21256194852498395</v>
      </c>
      <c r="G48">
        <v>8.2630522794747155E-2</v>
      </c>
      <c r="H48">
        <v>4.5156807884629342E-2</v>
      </c>
      <c r="I48">
        <v>1.6164994032112107E-2</v>
      </c>
      <c r="J48">
        <v>0.4407368848961366</v>
      </c>
      <c r="K48">
        <v>-9.7594712896981364E-2</v>
      </c>
      <c r="L48">
        <v>0.17855130124783791</v>
      </c>
      <c r="M48">
        <v>5.6188123405073946E-2</v>
      </c>
      <c r="N48">
        <v>-8.1797086407962613E-2</v>
      </c>
      <c r="O48">
        <v>-8.0419147334526112E-2</v>
      </c>
      <c r="P48">
        <v>0.43642792268635067</v>
      </c>
    </row>
    <row r="49" spans="1:16" x14ac:dyDescent="0.25">
      <c r="A49">
        <v>0.91307095045333531</v>
      </c>
      <c r="B49">
        <v>-0.37592881510024861</v>
      </c>
      <c r="C49">
        <v>-0.58206167613132986</v>
      </c>
      <c r="D49">
        <v>-0.16177375261262258</v>
      </c>
      <c r="E49">
        <v>0.42722460759683917</v>
      </c>
      <c r="F49">
        <v>-0.32892175396234019</v>
      </c>
      <c r="G49">
        <v>-0.22413832025309219</v>
      </c>
      <c r="H49">
        <v>0.46760086897586517</v>
      </c>
      <c r="I49">
        <v>-0.68578735801542379</v>
      </c>
      <c r="J49">
        <v>-0.35010624462104828</v>
      </c>
      <c r="K49">
        <v>-0.84965257337805256</v>
      </c>
      <c r="L49">
        <v>0.24035004624854303</v>
      </c>
      <c r="M49">
        <v>0.31624872439277368</v>
      </c>
      <c r="N49">
        <v>0.49510345155759133</v>
      </c>
      <c r="O49">
        <v>0.76561971740493373</v>
      </c>
      <c r="P49">
        <v>-0.271690541846135</v>
      </c>
    </row>
    <row r="50" spans="1:16" x14ac:dyDescent="0.25">
      <c r="A50">
        <v>-7.5911000784928725E-2</v>
      </c>
      <c r="B50">
        <v>-0.79613916549860841</v>
      </c>
      <c r="C50">
        <v>0.53965311805288219</v>
      </c>
      <c r="D50">
        <v>-0.17302702715185644</v>
      </c>
      <c r="E50">
        <v>-2.9582372526545768E-2</v>
      </c>
      <c r="F50">
        <v>-0.48787742598198724</v>
      </c>
      <c r="G50">
        <v>-3.0751850839554065</v>
      </c>
      <c r="H50">
        <v>2.4521641258989075</v>
      </c>
      <c r="I50">
        <v>-0.91047129077249778</v>
      </c>
      <c r="J50">
        <v>2.5455016199895151</v>
      </c>
      <c r="K50">
        <v>-0.69029755528642522</v>
      </c>
      <c r="L50">
        <v>-0.62955258729990315</v>
      </c>
      <c r="M50">
        <v>2.1875159026839133</v>
      </c>
      <c r="N50">
        <v>-1.0468002716796299</v>
      </c>
      <c r="O50">
        <v>0.39296896590647412</v>
      </c>
      <c r="P50">
        <v>-1.5782717525749734</v>
      </c>
    </row>
    <row r="51" spans="1:16" x14ac:dyDescent="0.25">
      <c r="A51">
        <v>-0.22607934045578412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B28E7-DDA9-49E9-A7FA-BF4906B9DDA0}">
  <sheetPr codeName="Sheet6"/>
  <dimension ref="B2:L33"/>
  <sheetViews>
    <sheetView workbookViewId="0">
      <selection activeCell="G29" sqref="G29"/>
    </sheetView>
  </sheetViews>
  <sheetFormatPr defaultRowHeight="15" x14ac:dyDescent="0.25"/>
  <cols>
    <col min="3" max="12" width="9.140625" customWidth="1"/>
    <col min="13" max="16" width="4" customWidth="1"/>
  </cols>
  <sheetData>
    <row r="2" spans="2:12" x14ac:dyDescent="0.25">
      <c r="B2" s="14">
        <v>0</v>
      </c>
      <c r="C2" s="15">
        <v>-1.5</v>
      </c>
      <c r="D2" s="15">
        <v>-1.4222222222222223</v>
      </c>
      <c r="E2" s="15">
        <v>-1.3444444444444446</v>
      </c>
      <c r="F2" s="15">
        <v>-1.2666666666666666</v>
      </c>
      <c r="G2" s="15">
        <v>-1.1888888888888889</v>
      </c>
      <c r="H2" s="15">
        <v>-1.1111111111111112</v>
      </c>
      <c r="I2" s="15">
        <v>-1.0333333333333334</v>
      </c>
      <c r="J2" s="15">
        <v>-0.9555555555555556</v>
      </c>
      <c r="K2" s="15">
        <v>-0.87777777777777777</v>
      </c>
      <c r="L2" s="15">
        <v>-0.8</v>
      </c>
    </row>
    <row r="3" spans="2:12" ht="18" customHeight="1" x14ac:dyDescent="0.25">
      <c r="B3" s="14">
        <v>20</v>
      </c>
      <c r="C3" s="47">
        <v>3.1093172244191163E-8</v>
      </c>
      <c r="D3" s="48">
        <v>1.6958296312767201E-8</v>
      </c>
      <c r="E3" s="47">
        <v>9.249098474904474E-9</v>
      </c>
      <c r="F3" s="47">
        <v>5.0444821060399638E-9</v>
      </c>
      <c r="G3" s="47">
        <v>2.7512735147715218E-9</v>
      </c>
      <c r="H3" s="47">
        <v>1.5005516495199439E-9</v>
      </c>
      <c r="I3" s="47">
        <v>8.1840472766801062E-10</v>
      </c>
      <c r="J3" s="15">
        <v>4.463600425056504E-10</v>
      </c>
      <c r="K3" s="15">
        <v>2.4344591468778804E-10</v>
      </c>
      <c r="L3" s="15">
        <v>1.3277602771076132E-10</v>
      </c>
    </row>
    <row r="4" spans="2:12" ht="18" customHeight="1" x14ac:dyDescent="0.25">
      <c r="B4" s="14">
        <v>19</v>
      </c>
      <c r="C4" s="47">
        <v>1.5196165304292475E-7</v>
      </c>
      <c r="D4" s="47">
        <v>8.2880281942251837E-8</v>
      </c>
      <c r="E4" s="47">
        <v>4.520312053440739E-8</v>
      </c>
      <c r="F4" s="48">
        <v>2.4653898649548355E-8</v>
      </c>
      <c r="G4" s="48">
        <v>1.3446299851833766E-8</v>
      </c>
      <c r="H4" s="47">
        <v>7.3336465503623799E-9</v>
      </c>
      <c r="I4" s="48">
        <v>3.9997896944754727E-9</v>
      </c>
      <c r="J4" s="15">
        <v>2.1814955855753778E-9</v>
      </c>
      <c r="K4" s="15">
        <v>1.1897933015138858E-9</v>
      </c>
      <c r="L4" s="15">
        <v>6.4891632559309484E-10</v>
      </c>
    </row>
    <row r="5" spans="2:12" ht="18" customHeight="1" x14ac:dyDescent="0.25">
      <c r="B5" s="14">
        <v>18</v>
      </c>
      <c r="C5" s="48">
        <v>7.4268180049954821E-7</v>
      </c>
      <c r="D5" s="48">
        <v>4.0506069995840311E-7</v>
      </c>
      <c r="E5" s="48">
        <v>2.2092118772541073E-7</v>
      </c>
      <c r="F5" s="47">
        <v>1.204909958075047E-7</v>
      </c>
      <c r="G5" s="47">
        <v>6.5716102458681381E-8</v>
      </c>
      <c r="H5" s="47">
        <v>3.5841732287811014E-8</v>
      </c>
      <c r="I5" s="48">
        <v>1.9548173246465842E-8</v>
      </c>
      <c r="J5" s="15">
        <v>1.0661624035770928E-8</v>
      </c>
      <c r="K5" s="15">
        <v>5.8148771850829483E-9</v>
      </c>
      <c r="L5" s="15">
        <v>3.1714489734070788E-9</v>
      </c>
    </row>
    <row r="6" spans="2:12" ht="18" customHeight="1" x14ac:dyDescent="0.25">
      <c r="B6" s="14">
        <v>17</v>
      </c>
      <c r="C6" s="47">
        <v>3.6296985401500506E-6</v>
      </c>
      <c r="D6" s="47">
        <v>1.9796501811729954E-6</v>
      </c>
      <c r="E6" s="47">
        <v>1.0797072695657592E-6</v>
      </c>
      <c r="F6" s="47">
        <v>5.8887540945890025E-7</v>
      </c>
      <c r="G6" s="48">
        <v>3.2117424811706934E-7</v>
      </c>
      <c r="H6" s="48">
        <v>1.7516928613987302E-7</v>
      </c>
      <c r="I6" s="47">
        <v>9.553778657542226E-8</v>
      </c>
      <c r="J6" s="15">
        <v>5.2106556659857071E-8</v>
      </c>
      <c r="K6" s="15">
        <v>2.8419050625559448E-8</v>
      </c>
      <c r="L6" s="15">
        <v>1.549982346815504E-8</v>
      </c>
    </row>
    <row r="7" spans="2:12" ht="18" customHeight="1" x14ac:dyDescent="0.25">
      <c r="B7" s="14">
        <v>16</v>
      </c>
      <c r="C7" s="47">
        <v>1.7739176629536254E-5</v>
      </c>
      <c r="D7" s="48">
        <v>9.6750705573229251E-6</v>
      </c>
      <c r="E7" s="48">
        <v>5.276831562514287E-6</v>
      </c>
      <c r="F7" s="48">
        <v>2.8780044031780758E-6</v>
      </c>
      <c r="G7" s="47">
        <v>1.5696730536223394E-6</v>
      </c>
      <c r="H7" s="47">
        <v>8.5610432948707325E-7</v>
      </c>
      <c r="I7" s="47">
        <v>4.6692168380380199E-7</v>
      </c>
      <c r="J7" s="15">
        <v>2.5466034071468283E-7</v>
      </c>
      <c r="K7" s="15">
        <v>1.3889242055930021E-7</v>
      </c>
      <c r="L7" s="15">
        <v>7.5752288006189854E-8</v>
      </c>
    </row>
    <row r="8" spans="2:12" ht="18" customHeight="1" x14ac:dyDescent="0.25">
      <c r="B8" s="14">
        <v>15</v>
      </c>
      <c r="C8" s="47">
        <v>8.6690706071777433E-5</v>
      </c>
      <c r="D8" s="48">
        <v>4.7283197348085547E-5</v>
      </c>
      <c r="E8" s="47">
        <v>2.5788931712798697E-5</v>
      </c>
      <c r="F8" s="47">
        <v>1.4065514549868302E-5</v>
      </c>
      <c r="G8" s="47">
        <v>7.6714168458200058E-6</v>
      </c>
      <c r="H8" s="47">
        <v>4.1840250599836259E-6</v>
      </c>
      <c r="I8" s="47">
        <v>2.2819823640077837E-6</v>
      </c>
      <c r="J8" s="15">
        <v>1.2446003387395414E-6</v>
      </c>
      <c r="K8" s="15">
        <v>6.7880860830174856E-7</v>
      </c>
      <c r="L8" s="15">
        <v>3.7022407422355783E-7</v>
      </c>
    </row>
    <row r="9" spans="2:12" ht="18" customHeight="1" x14ac:dyDescent="0.25">
      <c r="B9" s="14">
        <v>14</v>
      </c>
      <c r="C9" s="47">
        <v>4.2354078741997994E-4</v>
      </c>
      <c r="D9" s="47">
        <v>2.3104471973144891E-4</v>
      </c>
      <c r="E9" s="47">
        <v>1.2602562085249166E-4</v>
      </c>
      <c r="F9" s="48">
        <v>6.8738635686363186E-5</v>
      </c>
      <c r="G9" s="47">
        <v>3.7491400155986347E-5</v>
      </c>
      <c r="H9" s="47">
        <v>2.0448254533759475E-5</v>
      </c>
      <c r="I9" s="47">
        <v>1.115263426076022E-5</v>
      </c>
      <c r="J9" s="15">
        <v>6.0827062349171154E-6</v>
      </c>
      <c r="K9" s="15">
        <v>3.3175327908940917E-6</v>
      </c>
      <c r="L9" s="15">
        <v>1.8093936413429917E-6</v>
      </c>
    </row>
    <row r="10" spans="2:12" x14ac:dyDescent="0.25">
      <c r="B10" s="14">
        <v>13</v>
      </c>
      <c r="C10" s="15">
        <v>2.0665685751136268E-3</v>
      </c>
      <c r="D10" s="15">
        <v>1.1281716819007172E-3</v>
      </c>
      <c r="E10" s="15">
        <v>6.1562346657522522E-4</v>
      </c>
      <c r="F10" s="15">
        <v>3.3585661436668284E-4</v>
      </c>
      <c r="G10" s="15">
        <v>1.8320503252328317E-4</v>
      </c>
      <c r="H10" s="15">
        <v>9.9928818227915242E-5</v>
      </c>
      <c r="I10" s="15">
        <v>5.4503910318137517E-5</v>
      </c>
      <c r="J10" s="15">
        <v>2.9727309364053626E-5</v>
      </c>
      <c r="K10" s="15">
        <v>1.6213570056530428E-5</v>
      </c>
      <c r="L10" s="15">
        <v>8.8429879675303781E-6</v>
      </c>
    </row>
    <row r="11" spans="2:12" x14ac:dyDescent="0.25">
      <c r="B11" s="14">
        <v>12</v>
      </c>
      <c r="C11" s="15">
        <v>1.0019451321351572E-2</v>
      </c>
      <c r="D11" s="15">
        <v>5.4896388067631405E-3</v>
      </c>
      <c r="E11" s="15">
        <v>3.0015537218977617E-3</v>
      </c>
      <c r="F11" s="15">
        <v>1.6392919275538555E-3</v>
      </c>
      <c r="G11" s="15">
        <v>8.947408082711915E-4</v>
      </c>
      <c r="H11" s="15">
        <v>4.8819250771250927E-4</v>
      </c>
      <c r="I11" s="15">
        <v>2.6632055350322102E-4</v>
      </c>
      <c r="J11" s="15">
        <v>1.452695020906437E-4</v>
      </c>
      <c r="K11" s="15">
        <v>7.9235592534473374E-5</v>
      </c>
      <c r="L11" s="15">
        <v>4.3216852542742776E-5</v>
      </c>
    </row>
    <row r="12" spans="2:12" x14ac:dyDescent="0.25">
      <c r="B12" s="14">
        <v>11</v>
      </c>
      <c r="C12" s="15">
        <v>4.7132328885410434E-2</v>
      </c>
      <c r="D12" s="15">
        <v>2.6268937785575406E-2</v>
      </c>
      <c r="E12" s="15">
        <v>1.4500305827852963E-2</v>
      </c>
      <c r="F12" s="15">
        <v>7.9609812847760506E-3</v>
      </c>
      <c r="G12" s="15">
        <v>4.3577103932874554E-3</v>
      </c>
      <c r="H12" s="15">
        <v>2.3814240613000766E-3</v>
      </c>
      <c r="I12" s="15">
        <v>1.3002424334385653E-3</v>
      </c>
      <c r="J12" s="15">
        <v>7.0957498618091669E-4</v>
      </c>
      <c r="K12" s="15">
        <v>3.8712889810647687E-4</v>
      </c>
      <c r="L12" s="15">
        <v>2.1117826101579894E-4</v>
      </c>
    </row>
    <row r="13" spans="2:12" x14ac:dyDescent="0.25">
      <c r="B13" s="14">
        <v>10</v>
      </c>
      <c r="C13" s="15">
        <v>0.19468089647159767</v>
      </c>
      <c r="D13" s="15">
        <v>0.11648889585379558</v>
      </c>
      <c r="E13" s="15">
        <v>6.7085914954065726E-2</v>
      </c>
      <c r="F13" s="15">
        <v>3.7739783849763106E-2</v>
      </c>
      <c r="G13" s="15">
        <v>2.094267624247724E-2</v>
      </c>
      <c r="H13" s="15">
        <v>1.1531979518475934E-2</v>
      </c>
      <c r="I13" s="15">
        <v>6.322717541147555E-3</v>
      </c>
      <c r="J13" s="15">
        <v>3.4583667536445223E-3</v>
      </c>
      <c r="K13" s="15">
        <v>1.8891722075816933E-3</v>
      </c>
      <c r="L13" s="15">
        <v>1.0312450249591429E-3</v>
      </c>
    </row>
    <row r="14" spans="2:12" x14ac:dyDescent="0.25">
      <c r="B14" s="14">
        <v>9</v>
      </c>
      <c r="C14" s="15">
        <v>0.54159446532727684</v>
      </c>
      <c r="D14" s="15">
        <v>0.39186778154784896</v>
      </c>
      <c r="E14" s="15">
        <v>0.2600518797947573</v>
      </c>
      <c r="F14" s="15">
        <v>0.16084827213281311</v>
      </c>
      <c r="G14" s="15">
        <v>9.4647824673699893E-2</v>
      </c>
      <c r="H14" s="15">
        <v>5.3942115846562874E-2</v>
      </c>
      <c r="I14" s="15">
        <v>3.0159744308835109E-2</v>
      </c>
      <c r="J14" s="15">
        <v>1.6677864645105539E-2</v>
      </c>
      <c r="K14" s="15">
        <v>9.1656415274526965E-3</v>
      </c>
      <c r="L14" s="15">
        <v>5.0198806728727167E-3</v>
      </c>
    </row>
    <row r="15" spans="2:12" x14ac:dyDescent="0.25">
      <c r="B15" s="14">
        <v>8</v>
      </c>
      <c r="C15" s="15">
        <v>0.65784741949362924</v>
      </c>
      <c r="D15" s="15">
        <v>0.65201121792810413</v>
      </c>
      <c r="E15" s="15">
        <v>0.6239759086820198</v>
      </c>
      <c r="F15" s="15">
        <v>0.48368330876086979</v>
      </c>
      <c r="G15" s="15">
        <v>0.33815633747053525</v>
      </c>
      <c r="H15" s="15">
        <v>0.2179331022748601</v>
      </c>
      <c r="I15" s="15">
        <v>0.1319320206889574</v>
      </c>
      <c r="J15" s="15">
        <v>7.6547045589905938E-2</v>
      </c>
      <c r="K15" s="15">
        <v>4.3254116074226995E-2</v>
      </c>
      <c r="L15" s="15">
        <v>2.4064083221266103E-2</v>
      </c>
    </row>
    <row r="16" spans="2:12" x14ac:dyDescent="0.25">
      <c r="B16" s="14">
        <v>7</v>
      </c>
      <c r="C16" s="15">
        <v>0.65761239808732275</v>
      </c>
      <c r="D16" s="15">
        <v>0.65795642317034519</v>
      </c>
      <c r="E16" s="15">
        <v>0.65830028219557823</v>
      </c>
      <c r="F16" s="15">
        <v>0.65864397488194326</v>
      </c>
      <c r="G16" s="15">
        <v>0.65766087300347553</v>
      </c>
      <c r="H16" s="15">
        <v>0.57661379567449722</v>
      </c>
      <c r="I16" s="15">
        <v>0.42620709804526247</v>
      </c>
      <c r="J16" s="15">
        <v>0.28831654112883304</v>
      </c>
      <c r="K16" s="15">
        <v>0.18096764209588542</v>
      </c>
      <c r="L16" s="15">
        <v>0.10754790653404978</v>
      </c>
    </row>
    <row r="17" spans="2:12" x14ac:dyDescent="0.25">
      <c r="B17" s="14">
        <v>6</v>
      </c>
      <c r="C17" s="15">
        <v>0.65737729932570954</v>
      </c>
      <c r="D17" s="15">
        <v>0.65772143768084479</v>
      </c>
      <c r="E17" s="15">
        <v>0.65806541017057441</v>
      </c>
      <c r="F17" s="15">
        <v>0.65840921651336937</v>
      </c>
      <c r="G17" s="15">
        <v>0.65875285642836012</v>
      </c>
      <c r="H17" s="15">
        <v>0.65909632963533771</v>
      </c>
      <c r="I17" s="15">
        <v>0.65943963585475385</v>
      </c>
      <c r="J17" s="15">
        <v>0.63803315674628414</v>
      </c>
      <c r="K17" s="15">
        <v>0.51919923668470203</v>
      </c>
      <c r="L17" s="15">
        <v>0.37065768596770704</v>
      </c>
    </row>
    <row r="18" spans="2:12" x14ac:dyDescent="0.25">
      <c r="B18" s="14">
        <v>5</v>
      </c>
      <c r="C18" s="15">
        <v>0.65714212329877109</v>
      </c>
      <c r="D18" s="15">
        <v>0.65748637479434269</v>
      </c>
      <c r="E18" s="15">
        <v>0.6578304606172003</v>
      </c>
      <c r="F18" s="15">
        <v>0.65817438048536436</v>
      </c>
      <c r="G18" s="15">
        <v>0.6585181341175147</v>
      </c>
      <c r="H18" s="15">
        <v>0.65886172123299103</v>
      </c>
      <c r="I18" s="15">
        <v>0.65920514155179366</v>
      </c>
      <c r="J18" s="15">
        <v>0.65954839479458416</v>
      </c>
      <c r="K18" s="15">
        <v>0.65989148068268588</v>
      </c>
      <c r="L18" s="15">
        <v>0.6540744688465957</v>
      </c>
    </row>
    <row r="19" spans="2:12" x14ac:dyDescent="0.25">
      <c r="B19" s="14">
        <v>4</v>
      </c>
      <c r="C19" s="15">
        <v>0.65690687009663185</v>
      </c>
      <c r="D19" s="15">
        <v>0.65725123460075374</v>
      </c>
      <c r="E19" s="15">
        <v>0.65759543362516049</v>
      </c>
      <c r="F19" s="15">
        <v>0.65793946688742255</v>
      </c>
      <c r="G19" s="15">
        <v>0.65828333410576934</v>
      </c>
      <c r="H19" s="15">
        <v>0.65862703499908948</v>
      </c>
      <c r="I19" s="15">
        <v>0.6589705692869321</v>
      </c>
      <c r="J19" s="15">
        <v>0.65931393668950711</v>
      </c>
      <c r="K19" s="15">
        <v>0.65965713692768557</v>
      </c>
      <c r="L19" s="15">
        <v>0.66000016972300068</v>
      </c>
    </row>
    <row r="20" spans="2:12" x14ac:dyDescent="0.25">
      <c r="B20" s="14">
        <v>3</v>
      </c>
      <c r="C20" s="15">
        <v>0.65667153980955995</v>
      </c>
      <c r="D20" s="15">
        <v>0.65701601719013603</v>
      </c>
      <c r="E20" s="15">
        <v>0.6573603292843031</v>
      </c>
      <c r="F20" s="15">
        <v>0.6577044758091819</v>
      </c>
      <c r="G20" s="15">
        <v>0.65804845648255139</v>
      </c>
      <c r="H20" s="15">
        <v>0.65839227102284992</v>
      </c>
      <c r="I20" s="15">
        <v>0.6587359191491754</v>
      </c>
      <c r="J20" s="15">
        <v>0.65907940058128633</v>
      </c>
      <c r="K20" s="15">
        <v>0.65942271503960193</v>
      </c>
      <c r="L20" s="15">
        <v>0.65976586224520306</v>
      </c>
    </row>
    <row r="21" spans="2:12" x14ac:dyDescent="0.25">
      <c r="B21" s="14">
        <v>2</v>
      </c>
      <c r="C21" s="15">
        <v>0.65643613252796662</v>
      </c>
      <c r="D21" s="15">
        <v>0.65678072265269116</v>
      </c>
      <c r="E21" s="15">
        <v>0.65712514768461994</v>
      </c>
      <c r="F21" s="15">
        <v>0.65746940734042403</v>
      </c>
      <c r="G21" s="15">
        <v>0.65781350133743244</v>
      </c>
      <c r="H21" s="15">
        <v>0.65815742939363331</v>
      </c>
      <c r="I21" s="15">
        <v>0.65850119122767381</v>
      </c>
      <c r="J21" s="15">
        <v>0.65884478655886125</v>
      </c>
      <c r="K21" s="15">
        <v>0.65918821510716319</v>
      </c>
      <c r="L21" s="15">
        <v>0.65953147659320865</v>
      </c>
    </row>
    <row r="22" spans="2:12" x14ac:dyDescent="0.25">
      <c r="B22" s="14">
        <v>1</v>
      </c>
      <c r="C22" s="15">
        <v>0.65620064834240599</v>
      </c>
      <c r="D22" s="15">
        <v>0.65654535107876399</v>
      </c>
      <c r="E22" s="15">
        <v>0.656889888916246</v>
      </c>
      <c r="F22" s="15">
        <v>0.6572342615710739</v>
      </c>
      <c r="G22" s="15">
        <v>0.65757846876012738</v>
      </c>
      <c r="H22" s="15">
        <v>0.65792251020094428</v>
      </c>
      <c r="I22" s="15">
        <v>0.65826638561172146</v>
      </c>
      <c r="J22" s="15">
        <v>0.65861009471131515</v>
      </c>
      <c r="K22" s="15">
        <v>0.65895363721924194</v>
      </c>
      <c r="L22" s="15">
        <v>0.65929701285567888</v>
      </c>
    </row>
    <row r="23" spans="2:12" x14ac:dyDescent="0.25">
      <c r="B23" s="14">
        <v>0</v>
      </c>
      <c r="C23" s="15">
        <v>0.65596508734357561</v>
      </c>
      <c r="D23" s="15">
        <v>0.65630990255884225</v>
      </c>
      <c r="E23" s="15">
        <v>0.65665455306945941</v>
      </c>
      <c r="F23" s="15">
        <v>0.65699903859120012</v>
      </c>
      <c r="G23" s="15">
        <v>0.65734335884049466</v>
      </c>
      <c r="H23" s="15">
        <v>0.65768751353443111</v>
      </c>
      <c r="I23" s="15">
        <v>0.65803150239075614</v>
      </c>
      <c r="J23" s="15">
        <v>0.65837532512787555</v>
      </c>
      <c r="K23" s="15">
        <v>0.65871898146485464</v>
      </c>
      <c r="L23" s="15">
        <v>0.65906247112141936</v>
      </c>
    </row>
    <row r="24" spans="2:12" x14ac:dyDescent="0.25">
      <c r="B24" s="14">
        <v>-1</v>
      </c>
      <c r="C24" s="15">
        <v>0.6557294496223155</v>
      </c>
      <c r="D24" s="15">
        <v>0.65607437718355699</v>
      </c>
      <c r="E24" s="15">
        <v>0.65641914023468195</v>
      </c>
      <c r="F24" s="15">
        <v>0.65676373849101455</v>
      </c>
      <c r="G24" s="15">
        <v>0.6571081716685363</v>
      </c>
      <c r="H24" s="15">
        <v>0.65745243948388576</v>
      </c>
      <c r="I24" s="15">
        <v>0.65779654165435963</v>
      </c>
      <c r="J24" s="15">
        <v>0.65814047789791352</v>
      </c>
      <c r="K24" s="15">
        <v>0.65848424793316196</v>
      </c>
      <c r="L24" s="15">
        <v>0.65882785147937983</v>
      </c>
    </row>
    <row r="25" spans="2:12" x14ac:dyDescent="0.25">
      <c r="B25" s="14">
        <v>-2</v>
      </c>
      <c r="C25" s="15">
        <v>0.65549373526960897</v>
      </c>
      <c r="D25" s="15">
        <v>0.65583877504368226</v>
      </c>
      <c r="E25" s="15">
        <v>0.65618365050247807</v>
      </c>
      <c r="F25" s="15">
        <v>0.65652836136087234</v>
      </c>
      <c r="G25" s="15">
        <v>0.65687290733439763</v>
      </c>
      <c r="H25" s="15">
        <v>0.65721728813924363</v>
      </c>
      <c r="I25" s="15">
        <v>0.65756150349225728</v>
      </c>
      <c r="J25" s="15">
        <v>0.65790555311094412</v>
      </c>
      <c r="K25" s="15">
        <v>0.65824943671346836</v>
      </c>
      <c r="L25" s="15">
        <v>0.65859315401865404</v>
      </c>
    </row>
    <row r="26" spans="2:12" x14ac:dyDescent="0.25">
      <c r="B26" s="14">
        <v>-3</v>
      </c>
      <c r="C26" s="15">
        <v>0.65525794437658169</v>
      </c>
      <c r="D26" s="15">
        <v>0.6556030962301348</v>
      </c>
      <c r="E26" s="15">
        <v>0.65594808396355542</v>
      </c>
      <c r="F26" s="15">
        <v>0.65629290729127165</v>
      </c>
      <c r="G26" s="15">
        <v>0.65663756592836753</v>
      </c>
      <c r="H26" s="15">
        <v>0.65698205959058364</v>
      </c>
      <c r="I26" s="15">
        <v>0.65732638799431797</v>
      </c>
      <c r="J26" s="15">
        <v>0.65767055085662607</v>
      </c>
      <c r="K26" s="15">
        <v>0.65801454789522229</v>
      </c>
      <c r="L26" s="15">
        <v>0.6583583788284797</v>
      </c>
    </row>
    <row r="27" spans="2:12" x14ac:dyDescent="0.25">
      <c r="B27" s="14">
        <v>-4</v>
      </c>
      <c r="C27" s="15">
        <v>0.6550220770345021</v>
      </c>
      <c r="D27" s="15">
        <v>0.6553673408339743</v>
      </c>
      <c r="E27" s="15">
        <v>0.65571244070876467</v>
      </c>
      <c r="F27" s="15">
        <v>0.65605737637285377</v>
      </c>
      <c r="G27" s="15">
        <v>0.65640214754087756</v>
      </c>
      <c r="H27" s="15">
        <v>0.65674675392812798</v>
      </c>
      <c r="I27" s="15">
        <v>0.65709119525055393</v>
      </c>
      <c r="J27" s="15">
        <v>0.65743547122476165</v>
      </c>
      <c r="K27" s="15">
        <v>0.65777958156801553</v>
      </c>
      <c r="L27" s="15">
        <v>0.65812352599823853</v>
      </c>
    </row>
    <row r="28" spans="2:12" x14ac:dyDescent="0.25">
      <c r="B28" s="14">
        <v>-5</v>
      </c>
      <c r="C28" s="15">
        <v>0.6547861333347812</v>
      </c>
      <c r="D28" s="15">
        <v>0.65513150894640293</v>
      </c>
      <c r="E28" s="15">
        <v>0.65547672082909914</v>
      </c>
      <c r="F28" s="15">
        <v>0.65582176869640318</v>
      </c>
      <c r="G28" s="15">
        <v>0.65616665226250281</v>
      </c>
      <c r="H28" s="15">
        <v>0.65651137124224201</v>
      </c>
      <c r="I28" s="15">
        <v>0.65685592535112092</v>
      </c>
      <c r="J28" s="15">
        <v>0.65720031430529668</v>
      </c>
      <c r="K28" s="15">
        <v>0.65754453782158406</v>
      </c>
      <c r="L28" s="15">
        <v>0.65788859561745583</v>
      </c>
    </row>
    <row r="29" spans="2:12" x14ac:dyDescent="0.25">
      <c r="B29" s="14">
        <v>-6</v>
      </c>
      <c r="C29" s="15">
        <v>0.6545501133689724</v>
      </c>
      <c r="D29" s="15">
        <v>0.65489560065876562</v>
      </c>
      <c r="E29" s="15">
        <v>0.65524092441569504</v>
      </c>
      <c r="F29" s="15">
        <v>0.65558608435284671</v>
      </c>
      <c r="G29" s="15">
        <v>0.65593108018396129</v>
      </c>
      <c r="H29" s="15">
        <v>0.65627591162343446</v>
      </c>
      <c r="I29" s="15">
        <v>0.65662057838631815</v>
      </c>
      <c r="J29" s="15">
        <v>0.65696508018832045</v>
      </c>
      <c r="K29" s="15">
        <v>0.6573094167458069</v>
      </c>
      <c r="L29" s="15">
        <v>0.65765358777580063</v>
      </c>
    </row>
    <row r="30" spans="2:12" x14ac:dyDescent="0.25">
      <c r="B30" s="14">
        <v>-7</v>
      </c>
      <c r="C30" s="15">
        <v>0.65431401722877169</v>
      </c>
      <c r="D30" s="15">
        <v>0.65465961606254974</v>
      </c>
      <c r="E30" s="15">
        <v>0.65500505155983091</v>
      </c>
      <c r="F30" s="15">
        <v>0.6553503234332545</v>
      </c>
      <c r="G30" s="15">
        <v>0.65569543139611375</v>
      </c>
      <c r="H30" s="15">
        <v>0.65604037516235691</v>
      </c>
      <c r="I30" s="15">
        <v>0.65638515444658752</v>
      </c>
      <c r="J30" s="15">
        <v>0.65672976896406532</v>
      </c>
      <c r="K30" s="15">
        <v>0.65707421843070679</v>
      </c>
      <c r="L30" s="15">
        <v>0.65741850256308565</v>
      </c>
    </row>
    <row r="31" spans="2:12" x14ac:dyDescent="0.25">
      <c r="B31" s="14">
        <v>-8</v>
      </c>
      <c r="C31" s="15">
        <v>0.65407784500601684</v>
      </c>
      <c r="D31" s="15">
        <v>0.654423555249385</v>
      </c>
      <c r="E31" s="15">
        <v>0.65476910235292818</v>
      </c>
      <c r="F31" s="15">
        <v>0.65511448602883893</v>
      </c>
      <c r="G31" s="15">
        <v>0.65545970598996395</v>
      </c>
      <c r="H31" s="15">
        <v>0.65580476194980386</v>
      </c>
      <c r="I31" s="15">
        <v>0.65614965362251443</v>
      </c>
      <c r="J31" s="15">
        <v>0.65649438072290711</v>
      </c>
      <c r="K31" s="15">
        <v>0.65683894296644985</v>
      </c>
      <c r="L31" s="15">
        <v>0.65718334006926704</v>
      </c>
    </row>
    <row r="32" spans="2:12" x14ac:dyDescent="0.25">
      <c r="B32" s="14">
        <v>-9</v>
      </c>
      <c r="C32" s="15">
        <v>0.65384159679268805</v>
      </c>
      <c r="D32" s="15">
        <v>0.65418741831104343</v>
      </c>
      <c r="E32" s="15">
        <v>0.65453307688655049</v>
      </c>
      <c r="F32" s="15">
        <v>0.65487857223095547</v>
      </c>
      <c r="G32" s="15">
        <v>0.65522390405665831</v>
      </c>
      <c r="H32" s="15">
        <v>0.65556907207671278</v>
      </c>
      <c r="I32" s="15">
        <v>0.65591407600482721</v>
      </c>
      <c r="J32" s="15">
        <v>0.65625891555536486</v>
      </c>
      <c r="K32" s="15">
        <v>0.65660359044334538</v>
      </c>
      <c r="L32" s="15">
        <v>0.65694810038444451</v>
      </c>
    </row>
    <row r="33" spans="2:12" x14ac:dyDescent="0.25">
      <c r="B33" s="14"/>
      <c r="C33" s="17"/>
      <c r="D33" s="17"/>
      <c r="E33" s="17"/>
      <c r="F33" s="17"/>
      <c r="G33" s="17"/>
      <c r="H33" s="17"/>
      <c r="I33" s="17"/>
      <c r="J33" s="17"/>
      <c r="K33" s="17"/>
      <c r="L33" s="17"/>
    </row>
  </sheetData>
  <conditionalFormatting sqref="C3:L32">
    <cfRule type="colorScale" priority="9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C121B-9668-4F4A-96DC-8F32832FABB9}">
  <sheetPr codeName="Sheet7"/>
  <dimension ref="B2:L32"/>
  <sheetViews>
    <sheetView workbookViewId="0">
      <selection activeCell="G17" sqref="G17"/>
    </sheetView>
  </sheetViews>
  <sheetFormatPr defaultRowHeight="15" x14ac:dyDescent="0.25"/>
  <sheetData>
    <row r="2" spans="2:12" x14ac:dyDescent="0.25">
      <c r="B2" s="14">
        <v>0</v>
      </c>
      <c r="C2" s="15">
        <v>-1.5</v>
      </c>
      <c r="D2" s="15">
        <v>-1.4222222222222223</v>
      </c>
      <c r="E2" s="15">
        <v>-1.3444444444444446</v>
      </c>
      <c r="F2" s="15">
        <v>-1.2666666666666666</v>
      </c>
      <c r="G2" s="15">
        <v>-1.1888888888888889</v>
      </c>
      <c r="H2" s="15">
        <v>-1.1111111111111112</v>
      </c>
      <c r="I2" s="15">
        <v>-1.0333333333333334</v>
      </c>
      <c r="J2" s="15">
        <v>-0.9555555555555556</v>
      </c>
      <c r="K2" s="15">
        <v>-0.87777777777777777</v>
      </c>
      <c r="L2" s="15">
        <v>-0.8</v>
      </c>
    </row>
    <row r="3" spans="2:12" x14ac:dyDescent="0.25">
      <c r="B3" s="14">
        <v>20</v>
      </c>
      <c r="C3" s="47">
        <v>0.10370072712506949</v>
      </c>
      <c r="D3" s="48">
        <v>8.1446087441136836E-2</v>
      </c>
      <c r="E3" s="47">
        <v>5.9191447757204155E-2</v>
      </c>
      <c r="F3" s="47">
        <v>3.6936808073271363E-2</v>
      </c>
      <c r="G3" s="47">
        <v>1.4682168389338654E-2</v>
      </c>
      <c r="H3" s="47">
        <v>-7.5724712945940548E-3</v>
      </c>
      <c r="I3" s="47">
        <v>-2.982711097852668E-2</v>
      </c>
      <c r="J3" s="15">
        <v>-5.2081750662459389E-2</v>
      </c>
      <c r="K3" s="15">
        <v>-7.433639034639207E-2</v>
      </c>
      <c r="L3" s="15">
        <v>-9.6591030030324834E-2</v>
      </c>
    </row>
    <row r="4" spans="2:12" x14ac:dyDescent="0.25">
      <c r="B4" s="14">
        <v>19</v>
      </c>
      <c r="C4" s="47">
        <v>0.10182391458448385</v>
      </c>
      <c r="D4" s="47">
        <v>7.9569274900551226E-2</v>
      </c>
      <c r="E4" s="47">
        <v>5.731463521661849E-2</v>
      </c>
      <c r="F4" s="48">
        <v>3.5059995532685642E-2</v>
      </c>
      <c r="G4" s="48">
        <v>1.2805355848752961E-2</v>
      </c>
      <c r="H4" s="47">
        <v>-9.4492838351797476E-3</v>
      </c>
      <c r="I4" s="48">
        <v>-3.1703923519112429E-2</v>
      </c>
      <c r="J4" s="15">
        <v>-5.395856320304511E-2</v>
      </c>
      <c r="K4" s="15">
        <v>-7.6213202886977791E-2</v>
      </c>
      <c r="L4" s="15">
        <v>-9.8467842570910472E-2</v>
      </c>
    </row>
    <row r="5" spans="2:12" x14ac:dyDescent="0.25">
      <c r="B5" s="14">
        <v>18</v>
      </c>
      <c r="C5" s="48">
        <v>9.9947102043898048E-2</v>
      </c>
      <c r="D5" s="48">
        <v>7.7692462359965478E-2</v>
      </c>
      <c r="E5" s="48">
        <v>5.5437822676032741E-2</v>
      </c>
      <c r="F5" s="47">
        <v>3.3183182992099977E-2</v>
      </c>
      <c r="G5" s="47">
        <v>1.0928543308167213E-2</v>
      </c>
      <c r="H5" s="47">
        <v>-1.1326096375765468E-2</v>
      </c>
      <c r="I5" s="48">
        <v>-3.3580736059698121E-2</v>
      </c>
      <c r="J5" s="15">
        <v>-5.583537574363083E-2</v>
      </c>
      <c r="K5" s="15">
        <v>-7.8090015427563539E-2</v>
      </c>
      <c r="L5" s="15">
        <v>-0.10034465511149622</v>
      </c>
    </row>
    <row r="6" spans="2:12" x14ac:dyDescent="0.25">
      <c r="B6" s="14">
        <v>17</v>
      </c>
      <c r="C6" s="47">
        <v>9.8070289503312438E-2</v>
      </c>
      <c r="D6" s="47">
        <v>7.5815649819379757E-2</v>
      </c>
      <c r="E6" s="47">
        <v>5.3561010135446993E-2</v>
      </c>
      <c r="F6" s="47">
        <v>3.1306370451514257E-2</v>
      </c>
      <c r="G6" s="48">
        <v>9.0517307675815756E-3</v>
      </c>
      <c r="H6" s="48">
        <v>-1.3202908916351133E-2</v>
      </c>
      <c r="I6" s="47">
        <v>-3.5457548600283842E-2</v>
      </c>
      <c r="J6" s="15">
        <v>-5.7712188284216551E-2</v>
      </c>
      <c r="K6" s="15">
        <v>-7.9966827968149232E-2</v>
      </c>
      <c r="L6" s="15">
        <v>-0.102221467652082</v>
      </c>
    </row>
    <row r="7" spans="2:12" x14ac:dyDescent="0.25">
      <c r="B7" s="14">
        <v>16</v>
      </c>
      <c r="C7" s="47">
        <v>9.6193476962726523E-2</v>
      </c>
      <c r="D7" s="48">
        <v>7.3938837278793926E-2</v>
      </c>
      <c r="E7" s="48">
        <v>5.1684197594861217E-2</v>
      </c>
      <c r="F7" s="48">
        <v>2.9429557910928425E-2</v>
      </c>
      <c r="G7" s="47">
        <v>7.1749182269957995E-3</v>
      </c>
      <c r="H7" s="47">
        <v>-1.507972145693677E-2</v>
      </c>
      <c r="I7" s="47">
        <v>-3.7334361140869562E-2</v>
      </c>
      <c r="J7" s="15">
        <v>-5.9589000824802243E-2</v>
      </c>
      <c r="K7" s="15">
        <v>-8.1843640508734897E-2</v>
      </c>
      <c r="L7" s="15">
        <v>-0.10409828019266761</v>
      </c>
    </row>
    <row r="8" spans="2:12" x14ac:dyDescent="0.25">
      <c r="B8" s="14">
        <v>15</v>
      </c>
      <c r="C8" s="47">
        <v>9.4316664422140942E-2</v>
      </c>
      <c r="D8" s="48">
        <v>7.2062024738208372E-2</v>
      </c>
      <c r="E8" s="47">
        <v>4.9807385054275607E-2</v>
      </c>
      <c r="F8" s="47">
        <v>2.7552745370342815E-2</v>
      </c>
      <c r="G8" s="47">
        <v>5.2981056864101622E-3</v>
      </c>
      <c r="H8" s="47">
        <v>-1.6956533997522658E-2</v>
      </c>
      <c r="I8" s="47">
        <v>-3.9211173681455255E-2</v>
      </c>
      <c r="J8" s="15">
        <v>-6.146581336538802E-2</v>
      </c>
      <c r="K8" s="15">
        <v>-8.3720453049320701E-2</v>
      </c>
      <c r="L8" s="15">
        <v>-0.10597509273325335</v>
      </c>
    </row>
    <row r="9" spans="2:12" x14ac:dyDescent="0.25">
      <c r="B9" s="14">
        <v>14</v>
      </c>
      <c r="C9" s="47">
        <v>9.2439851881555332E-2</v>
      </c>
      <c r="D9" s="47">
        <v>7.0185212197622651E-2</v>
      </c>
      <c r="E9" s="47">
        <v>4.793057251368997E-2</v>
      </c>
      <c r="F9" s="48">
        <v>2.5675932829757067E-2</v>
      </c>
      <c r="G9" s="47">
        <v>3.4212931458244694E-3</v>
      </c>
      <c r="H9" s="47">
        <v>-1.883334653810835E-2</v>
      </c>
      <c r="I9" s="47">
        <v>-4.1087986222040948E-2</v>
      </c>
      <c r="J9" s="15">
        <v>-6.3342625905973685E-2</v>
      </c>
      <c r="K9" s="15">
        <v>-8.5597265589906393E-2</v>
      </c>
      <c r="L9" s="15">
        <v>-0.10785190527383907</v>
      </c>
    </row>
    <row r="10" spans="2:12" x14ac:dyDescent="0.25">
      <c r="B10" s="14">
        <v>13</v>
      </c>
      <c r="C10" s="15">
        <v>9.0563039340969556E-2</v>
      </c>
      <c r="D10" s="15">
        <v>6.830839965703682E-2</v>
      </c>
      <c r="E10" s="15">
        <v>4.6053759973104139E-2</v>
      </c>
      <c r="F10" s="15">
        <v>2.3799120289171347E-2</v>
      </c>
      <c r="G10" s="15">
        <v>1.5444806052386378E-3</v>
      </c>
      <c r="H10" s="15">
        <v>-2.0710159078693988E-2</v>
      </c>
      <c r="I10" s="15">
        <v>-4.2964798762626641E-2</v>
      </c>
      <c r="J10" s="15">
        <v>-6.5219438446559322E-2</v>
      </c>
      <c r="K10" s="15">
        <v>-8.7474078130492086E-2</v>
      </c>
      <c r="L10" s="15">
        <v>-0.10972871781442477</v>
      </c>
    </row>
    <row r="11" spans="2:12" x14ac:dyDescent="0.25">
      <c r="B11" s="14">
        <v>12</v>
      </c>
      <c r="C11" s="15">
        <v>8.8686226800383863E-2</v>
      </c>
      <c r="D11" s="15">
        <v>6.6431587116451155E-2</v>
      </c>
      <c r="E11" s="15">
        <v>4.4176947432518557E-2</v>
      </c>
      <c r="F11" s="15">
        <v>2.1922307748585793E-2</v>
      </c>
      <c r="G11" s="15">
        <v>-3.3233193534691619E-4</v>
      </c>
      <c r="H11" s="15">
        <v>-2.2586971619279708E-2</v>
      </c>
      <c r="I11" s="15">
        <v>-4.4841611303212417E-2</v>
      </c>
      <c r="J11" s="15">
        <v>-6.7096250987145181E-2</v>
      </c>
      <c r="K11" s="15">
        <v>-8.9350890671077807E-2</v>
      </c>
      <c r="L11" s="15">
        <v>-0.11160553035501046</v>
      </c>
    </row>
    <row r="12" spans="2:12" x14ac:dyDescent="0.25">
      <c r="B12" s="14">
        <v>11</v>
      </c>
      <c r="C12" s="15">
        <v>8.6809414259798032E-2</v>
      </c>
      <c r="D12" s="15">
        <v>6.4554774575865517E-2</v>
      </c>
      <c r="E12" s="15">
        <v>4.2300134891932753E-2</v>
      </c>
      <c r="F12" s="15">
        <v>2.0045495207999961E-2</v>
      </c>
      <c r="G12" s="15">
        <v>-2.20914447593272E-3</v>
      </c>
      <c r="H12" s="15">
        <v>-2.4463784159865457E-2</v>
      </c>
      <c r="I12" s="15">
        <v>-4.671842384379811E-2</v>
      </c>
      <c r="J12" s="15">
        <v>-6.8973063527730819E-2</v>
      </c>
      <c r="K12" s="15">
        <v>-9.1227703211663499E-2</v>
      </c>
      <c r="L12" s="15">
        <v>-0.11348234289559624</v>
      </c>
    </row>
    <row r="13" spans="2:12" x14ac:dyDescent="0.25">
      <c r="B13" s="14">
        <v>10</v>
      </c>
      <c r="C13" s="15">
        <v>8.4932601719212339E-2</v>
      </c>
      <c r="D13" s="15">
        <v>6.267796203527988E-2</v>
      </c>
      <c r="E13" s="15">
        <v>4.0423322351347032E-2</v>
      </c>
      <c r="F13" s="15">
        <v>1.8168682667414157E-2</v>
      </c>
      <c r="G13" s="15">
        <v>-4.0859570165185516E-3</v>
      </c>
      <c r="H13" s="15">
        <v>-2.6340596700451122E-2</v>
      </c>
      <c r="I13" s="15">
        <v>-4.8595236384383858E-2</v>
      </c>
      <c r="J13" s="15">
        <v>-7.0849876068316511E-2</v>
      </c>
      <c r="K13" s="15">
        <v>-9.310451575224922E-2</v>
      </c>
      <c r="L13" s="15">
        <v>-0.11535915543618193</v>
      </c>
    </row>
    <row r="14" spans="2:12" x14ac:dyDescent="0.25">
      <c r="B14" s="14">
        <v>9</v>
      </c>
      <c r="C14" s="15">
        <v>0.12037982000269463</v>
      </c>
      <c r="D14" s="15">
        <v>7.2538747427971853E-2</v>
      </c>
      <c r="E14" s="15">
        <v>3.854650981076134E-2</v>
      </c>
      <c r="F14" s="15">
        <v>1.6291870126828464E-2</v>
      </c>
      <c r="G14" s="15">
        <v>-5.9627695571041334E-3</v>
      </c>
      <c r="H14" s="15">
        <v>-2.8217409241036842E-2</v>
      </c>
      <c r="I14" s="15">
        <v>-5.0472048924969579E-2</v>
      </c>
      <c r="J14" s="15">
        <v>-7.2726688608902232E-2</v>
      </c>
      <c r="K14" s="15">
        <v>-9.4981328292834913E-2</v>
      </c>
      <c r="L14" s="15">
        <v>-0.11723596797676759</v>
      </c>
    </row>
    <row r="15" spans="2:12" x14ac:dyDescent="0.25">
      <c r="B15" s="14">
        <v>8</v>
      </c>
      <c r="C15" s="15">
        <v>0.16234279842234295</v>
      </c>
      <c r="D15" s="15">
        <v>0.11450172584762035</v>
      </c>
      <c r="E15" s="15">
        <v>6.666065327289751E-2</v>
      </c>
      <c r="F15" s="15">
        <v>1.8819580698174368E-2</v>
      </c>
      <c r="G15" s="15">
        <v>-7.8395820976898817E-3</v>
      </c>
      <c r="H15" s="15">
        <v>-3.0094221781622535E-2</v>
      </c>
      <c r="I15" s="15">
        <v>-5.2348861465555244E-2</v>
      </c>
      <c r="J15" s="15">
        <v>-7.4603501149487952E-2</v>
      </c>
      <c r="K15" s="15">
        <v>-9.6858140833420717E-2</v>
      </c>
      <c r="L15" s="15">
        <v>-0.11911278051735345</v>
      </c>
    </row>
    <row r="16" spans="2:12" x14ac:dyDescent="0.25">
      <c r="B16" s="14">
        <v>7</v>
      </c>
      <c r="C16" s="15">
        <v>0.24617573016549676</v>
      </c>
      <c r="D16" s="15">
        <v>0.16272344339783329</v>
      </c>
      <c r="E16" s="15">
        <v>0.10862363169254595</v>
      </c>
      <c r="F16" s="15">
        <v>6.0782559117822973E-2</v>
      </c>
      <c r="G16" s="15">
        <v>1.2941486543100136E-2</v>
      </c>
      <c r="H16" s="15">
        <v>-3.1971034322208283E-2</v>
      </c>
      <c r="I16" s="15">
        <v>-5.4225674006140992E-2</v>
      </c>
      <c r="J16" s="15">
        <v>-7.6480313690073673E-2</v>
      </c>
      <c r="K16" s="15">
        <v>-9.8734953374006298E-2</v>
      </c>
      <c r="L16" s="15">
        <v>-0.12098959305793903</v>
      </c>
    </row>
    <row r="17" spans="2:12" x14ac:dyDescent="0.25">
      <c r="B17" s="14">
        <v>6</v>
      </c>
      <c r="C17" s="15">
        <v>0.38545644903916565</v>
      </c>
      <c r="D17" s="15">
        <v>0.29592550983342925</v>
      </c>
      <c r="E17" s="15">
        <v>0.20639457062769273</v>
      </c>
      <c r="F17" s="15">
        <v>0.11686363142195587</v>
      </c>
      <c r="G17" s="15">
        <v>5.490446496274877E-2</v>
      </c>
      <c r="H17" s="15">
        <v>7.0633923880259047E-3</v>
      </c>
      <c r="I17" s="15">
        <v>-4.0777680186696988E-2</v>
      </c>
      <c r="J17" s="15">
        <v>-7.8357126230659338E-2</v>
      </c>
      <c r="K17" s="15">
        <v>-0.10061176591459205</v>
      </c>
      <c r="L17" s="15">
        <v>-0.12286640559852473</v>
      </c>
    </row>
    <row r="18" spans="2:12" x14ac:dyDescent="0.25">
      <c r="B18" s="14">
        <v>5</v>
      </c>
      <c r="C18" s="15">
        <v>0.52473716791283487</v>
      </c>
      <c r="D18" s="15">
        <v>0.43520622870709824</v>
      </c>
      <c r="E18" s="15">
        <v>0.34567528950136195</v>
      </c>
      <c r="F18" s="15">
        <v>0.25614435029562499</v>
      </c>
      <c r="G18" s="15">
        <v>0.16661341108988864</v>
      </c>
      <c r="H18" s="15">
        <v>7.7082471884152029E-2</v>
      </c>
      <c r="I18" s="15">
        <v>4.4047659476107864E-3</v>
      </c>
      <c r="J18" s="15">
        <v>-4.6655774341771358E-2</v>
      </c>
      <c r="K18" s="15">
        <v>-9.4496846916494223E-2</v>
      </c>
      <c r="L18" s="15">
        <v>-0.12474321813911053</v>
      </c>
    </row>
    <row r="19" spans="2:12" x14ac:dyDescent="0.25">
      <c r="B19" s="14">
        <v>4</v>
      </c>
      <c r="C19" s="15">
        <v>0.66401788678650409</v>
      </c>
      <c r="D19" s="15">
        <v>0.57448694758076768</v>
      </c>
      <c r="E19" s="15">
        <v>0.48495600837503072</v>
      </c>
      <c r="F19" s="15">
        <v>0.39542506916929399</v>
      </c>
      <c r="G19" s="15">
        <v>0.30589412996355769</v>
      </c>
      <c r="H19" s="15">
        <v>0.21636319075782096</v>
      </c>
      <c r="I19" s="15">
        <v>0.12683225155208461</v>
      </c>
      <c r="J19" s="15">
        <v>3.7301312346347884E-2</v>
      </c>
      <c r="K19" s="15">
        <v>-4.1261173576163254E-2</v>
      </c>
      <c r="L19" s="15">
        <v>-9.5910580410200272E-2</v>
      </c>
    </row>
    <row r="20" spans="2:12" x14ac:dyDescent="0.25">
      <c r="B20" s="14">
        <v>3</v>
      </c>
      <c r="C20" s="15">
        <v>0.8032986056601733</v>
      </c>
      <c r="D20" s="15">
        <v>0.71376766645443679</v>
      </c>
      <c r="E20" s="15">
        <v>0.62423672724870005</v>
      </c>
      <c r="F20" s="15">
        <v>0.53470578804296343</v>
      </c>
      <c r="G20" s="15">
        <v>0.44517484883722691</v>
      </c>
      <c r="H20" s="15">
        <v>0.3556439096314904</v>
      </c>
      <c r="I20" s="15">
        <v>0.26611297042575366</v>
      </c>
      <c r="J20" s="15">
        <v>0.17658203122001703</v>
      </c>
      <c r="K20" s="15">
        <v>8.7051092014280476E-2</v>
      </c>
      <c r="L20" s="15">
        <v>-2.4798471914561498E-3</v>
      </c>
    </row>
    <row r="21" spans="2:12" x14ac:dyDescent="0.25">
      <c r="B21" s="14">
        <v>2</v>
      </c>
      <c r="C21" s="15">
        <v>0.94257932453384241</v>
      </c>
      <c r="D21" s="15">
        <v>0.85304838532810601</v>
      </c>
      <c r="E21" s="15">
        <v>0.76351744612236938</v>
      </c>
      <c r="F21" s="15">
        <v>0.67398650691663242</v>
      </c>
      <c r="G21" s="15">
        <v>0.58445556771089613</v>
      </c>
      <c r="H21" s="15">
        <v>0.4949246285051595</v>
      </c>
      <c r="I21" s="15">
        <v>0.40539368929942288</v>
      </c>
      <c r="J21" s="15">
        <v>0.31586275009368625</v>
      </c>
      <c r="K21" s="15">
        <v>0.22633181088794957</v>
      </c>
      <c r="L21" s="15">
        <v>0.13680087168221305</v>
      </c>
    </row>
    <row r="22" spans="2:12" x14ac:dyDescent="0.25">
      <c r="B22" s="14">
        <v>1</v>
      </c>
      <c r="C22" s="15">
        <v>1.0818600434075114</v>
      </c>
      <c r="D22" s="15">
        <v>0.99232910420177511</v>
      </c>
      <c r="E22" s="15">
        <v>0.90279816499603849</v>
      </c>
      <c r="F22" s="15">
        <v>0.81326722579030153</v>
      </c>
      <c r="G22" s="15">
        <v>0.72373628658456535</v>
      </c>
      <c r="H22" s="15">
        <v>0.63420534737882872</v>
      </c>
      <c r="I22" s="15">
        <v>0.54467440817309198</v>
      </c>
      <c r="J22" s="15">
        <v>0.45514346896735536</v>
      </c>
      <c r="K22" s="15">
        <v>0.36561252976161879</v>
      </c>
      <c r="L22" s="15">
        <v>0.27608159055588222</v>
      </c>
    </row>
    <row r="23" spans="2:12" x14ac:dyDescent="0.25">
      <c r="B23" s="14">
        <v>0</v>
      </c>
      <c r="C23" s="15">
        <v>1.2211407622811807</v>
      </c>
      <c r="D23" s="15">
        <v>1.1316098230754443</v>
      </c>
      <c r="E23" s="15">
        <v>1.0420788838697077</v>
      </c>
      <c r="F23" s="15">
        <v>0.95254794466397052</v>
      </c>
      <c r="G23" s="15">
        <v>0.86301700545823445</v>
      </c>
      <c r="H23" s="15">
        <v>0.77348606625249761</v>
      </c>
      <c r="I23" s="15">
        <v>0.68395512704676142</v>
      </c>
      <c r="J23" s="15">
        <v>0.59442418784102458</v>
      </c>
      <c r="K23" s="15">
        <v>0.50489324863528784</v>
      </c>
      <c r="L23" s="15">
        <v>0.41536230942955138</v>
      </c>
    </row>
    <row r="24" spans="2:12" x14ac:dyDescent="0.25">
      <c r="B24" s="14">
        <v>-1</v>
      </c>
      <c r="C24" s="15">
        <v>1.3604214811548501</v>
      </c>
      <c r="D24" s="15">
        <v>1.2708905419491134</v>
      </c>
      <c r="E24" s="15">
        <v>1.1813596027433773</v>
      </c>
      <c r="F24" s="15">
        <v>1.0918286635376402</v>
      </c>
      <c r="G24" s="15">
        <v>1.0022977243319036</v>
      </c>
      <c r="H24" s="15">
        <v>0.91276678512616716</v>
      </c>
      <c r="I24" s="15">
        <v>0.82323584592043031</v>
      </c>
      <c r="J24" s="15">
        <v>0.73370490671469368</v>
      </c>
      <c r="K24" s="15">
        <v>0.64417396750895706</v>
      </c>
      <c r="L24" s="15">
        <v>0.55464302830322054</v>
      </c>
    </row>
    <row r="25" spans="2:12" x14ac:dyDescent="0.25">
      <c r="B25" s="14">
        <v>-2</v>
      </c>
      <c r="C25" s="15">
        <v>1.4997022000285192</v>
      </c>
      <c r="D25" s="15">
        <v>1.4101712608227825</v>
      </c>
      <c r="E25" s="15">
        <v>1.3206403216170461</v>
      </c>
      <c r="F25" s="15">
        <v>1.2311093824113091</v>
      </c>
      <c r="G25" s="15">
        <v>1.1415784432055727</v>
      </c>
      <c r="H25" s="15">
        <v>1.0520475039998363</v>
      </c>
      <c r="I25" s="15">
        <v>0.96251656479409975</v>
      </c>
      <c r="J25" s="15">
        <v>0.87298562558836279</v>
      </c>
      <c r="K25" s="15">
        <v>0.78345468638262616</v>
      </c>
      <c r="L25" s="15">
        <v>0.69392374717688965</v>
      </c>
    </row>
    <row r="26" spans="2:12" x14ac:dyDescent="0.25">
      <c r="B26" s="14">
        <v>-3</v>
      </c>
      <c r="C26" s="15">
        <v>1.6389829189021883</v>
      </c>
      <c r="D26" s="15">
        <v>1.5494519796964517</v>
      </c>
      <c r="E26" s="15">
        <v>1.4599210404907155</v>
      </c>
      <c r="F26" s="15">
        <v>1.3703901012849784</v>
      </c>
      <c r="G26" s="15">
        <v>1.2808591620792418</v>
      </c>
      <c r="H26" s="15">
        <v>1.1913282228735054</v>
      </c>
      <c r="I26" s="15">
        <v>1.1017972836677687</v>
      </c>
      <c r="J26" s="15">
        <v>1.0122663444620321</v>
      </c>
      <c r="K26" s="15">
        <v>0.92273540525629549</v>
      </c>
      <c r="L26" s="15">
        <v>0.83320446605055887</v>
      </c>
    </row>
    <row r="27" spans="2:12" x14ac:dyDescent="0.25">
      <c r="B27" s="14">
        <v>-4</v>
      </c>
      <c r="C27" s="15">
        <v>1.7782636377758574</v>
      </c>
      <c r="D27" s="15">
        <v>1.6887326985701212</v>
      </c>
      <c r="E27" s="15">
        <v>1.5992017593643844</v>
      </c>
      <c r="F27" s="15">
        <v>1.5096708201586475</v>
      </c>
      <c r="G27" s="15">
        <v>1.4201398809529109</v>
      </c>
      <c r="H27" s="15">
        <v>1.3306089417471747</v>
      </c>
      <c r="I27" s="15">
        <v>1.2410780025414381</v>
      </c>
      <c r="J27" s="15">
        <v>1.1515470633357014</v>
      </c>
      <c r="K27" s="15">
        <v>1.062016124129965</v>
      </c>
      <c r="L27" s="15">
        <v>0.97248518492422809</v>
      </c>
    </row>
    <row r="28" spans="2:12" x14ac:dyDescent="0.25">
      <c r="B28" s="14">
        <v>-5</v>
      </c>
      <c r="C28" s="15">
        <v>1.9175443566495269</v>
      </c>
      <c r="D28" s="15">
        <v>1.8280134174437899</v>
      </c>
      <c r="E28" s="15">
        <v>1.7384824782380532</v>
      </c>
      <c r="F28" s="15">
        <v>1.6489515390323164</v>
      </c>
      <c r="G28" s="15">
        <v>1.55942059982658</v>
      </c>
      <c r="H28" s="15">
        <v>1.4698896606208434</v>
      </c>
      <c r="I28" s="15">
        <v>1.380358721415107</v>
      </c>
      <c r="J28" s="15">
        <v>1.2908277822093703</v>
      </c>
      <c r="K28" s="15">
        <v>1.2012968430036337</v>
      </c>
      <c r="L28" s="15">
        <v>1.1117659037978975</v>
      </c>
    </row>
    <row r="29" spans="2:12" x14ac:dyDescent="0.25">
      <c r="B29" s="14">
        <v>-6</v>
      </c>
      <c r="C29" s="15">
        <v>2.0568250755231956</v>
      </c>
      <c r="D29" s="15">
        <v>1.9672941363174594</v>
      </c>
      <c r="E29" s="15">
        <v>1.8777631971117228</v>
      </c>
      <c r="F29" s="15">
        <v>1.7882322579059857</v>
      </c>
      <c r="G29" s="15">
        <v>1.6987013187002495</v>
      </c>
      <c r="H29" s="15">
        <v>1.6091703794945127</v>
      </c>
      <c r="I29" s="15">
        <v>1.5196394402887763</v>
      </c>
      <c r="J29" s="15">
        <v>1.4301085010830397</v>
      </c>
      <c r="K29" s="15">
        <v>1.340577561877303</v>
      </c>
      <c r="L29" s="15">
        <v>1.2510466226715666</v>
      </c>
    </row>
    <row r="30" spans="2:12" x14ac:dyDescent="0.25">
      <c r="B30" s="14">
        <v>-7</v>
      </c>
      <c r="C30" s="15">
        <v>2.1961057943968654</v>
      </c>
      <c r="D30" s="15">
        <v>2.1065748551911283</v>
      </c>
      <c r="E30" s="15">
        <v>2.0170439159853921</v>
      </c>
      <c r="F30" s="15">
        <v>1.9275129767796555</v>
      </c>
      <c r="G30" s="15">
        <v>1.8379820375739186</v>
      </c>
      <c r="H30" s="15">
        <v>1.748451098368182</v>
      </c>
      <c r="I30" s="15">
        <v>1.6589201591624456</v>
      </c>
      <c r="J30" s="15">
        <v>1.569389219956709</v>
      </c>
      <c r="K30" s="15">
        <v>1.4798582807509719</v>
      </c>
      <c r="L30" s="15">
        <v>1.3903273415452357</v>
      </c>
    </row>
    <row r="31" spans="2:12" x14ac:dyDescent="0.25">
      <c r="B31" s="14">
        <v>-8</v>
      </c>
      <c r="C31" s="15">
        <v>2.3353865132705343</v>
      </c>
      <c r="D31" s="15">
        <v>2.2458555740647976</v>
      </c>
      <c r="E31" s="15">
        <v>2.1563246348590615</v>
      </c>
      <c r="F31" s="15">
        <v>2.0667936956533244</v>
      </c>
      <c r="G31" s="15">
        <v>1.9772627564475878</v>
      </c>
      <c r="H31" s="15">
        <v>1.8877318172418511</v>
      </c>
      <c r="I31" s="15">
        <v>1.7982008780361149</v>
      </c>
      <c r="J31" s="15">
        <v>1.7086699388303779</v>
      </c>
      <c r="K31" s="15">
        <v>1.6191389996246413</v>
      </c>
      <c r="L31" s="15">
        <v>1.5296080604189048</v>
      </c>
    </row>
    <row r="32" spans="2:12" x14ac:dyDescent="0.25">
      <c r="B32" s="14">
        <v>-9</v>
      </c>
      <c r="C32" s="15">
        <v>2.474667232144204</v>
      </c>
      <c r="D32" s="15">
        <v>2.385136292938467</v>
      </c>
      <c r="E32" s="15">
        <v>2.2956053537327308</v>
      </c>
      <c r="F32" s="15">
        <v>2.2060744145269942</v>
      </c>
      <c r="G32" s="15">
        <v>2.1165434753212575</v>
      </c>
      <c r="H32" s="15">
        <v>2.0270125361155205</v>
      </c>
      <c r="I32" s="15">
        <v>1.9374815969097843</v>
      </c>
      <c r="J32" s="15">
        <v>1.8479506577040474</v>
      </c>
      <c r="K32" s="15">
        <v>1.7584197184983104</v>
      </c>
      <c r="L32" s="15">
        <v>1.6688887792925744</v>
      </c>
    </row>
  </sheetData>
  <conditionalFormatting sqref="C3:L32">
    <cfRule type="colorScale" priority="1">
      <colorScale>
        <cfvo type="min"/>
        <cfvo type="max"/>
        <color theme="0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0EA45-D8D9-4BDC-A5BF-1B6A7661420A}">
  <sheetPr codeName="Sheet11"/>
  <dimension ref="A1:AU397"/>
  <sheetViews>
    <sheetView workbookViewId="0">
      <pane xSplit="1" ySplit="1" topLeftCell="U2" activePane="bottomRight" state="frozen"/>
      <selection pane="topRight" activeCell="B1" sqref="B1"/>
      <selection pane="bottomLeft" activeCell="A2" sqref="A2"/>
      <selection pane="bottomRight" activeCell="AJ30" sqref="AJ30"/>
    </sheetView>
  </sheetViews>
  <sheetFormatPr defaultRowHeight="15" x14ac:dyDescent="0.25"/>
  <cols>
    <col min="1" max="1" width="13.28515625" bestFit="1" customWidth="1"/>
    <col min="7" max="7" width="14.85546875" customWidth="1"/>
    <col min="8" max="8" width="9" customWidth="1"/>
    <col min="38" max="38" width="12" bestFit="1" customWidth="1"/>
  </cols>
  <sheetData>
    <row r="1" spans="1:47" x14ac:dyDescent="0.25">
      <c r="A1" t="s">
        <v>48</v>
      </c>
      <c r="B1" t="s">
        <v>44</v>
      </c>
      <c r="C1" t="s">
        <v>45</v>
      </c>
      <c r="D1" t="s">
        <v>46</v>
      </c>
      <c r="E1" t="s">
        <v>47</v>
      </c>
      <c r="G1" t="s">
        <v>53</v>
      </c>
      <c r="H1" t="s">
        <v>52</v>
      </c>
      <c r="I1" s="56">
        <f t="array" ref="I1">AVERAGE(IF(G2:G151=A2:A151,1,0))</f>
        <v>0.97333333333333338</v>
      </c>
      <c r="J1" s="56">
        <v>3.4722222222222224E-2</v>
      </c>
      <c r="L1" t="s">
        <v>54</v>
      </c>
      <c r="M1" t="s">
        <v>57</v>
      </c>
      <c r="N1" t="s">
        <v>58</v>
      </c>
      <c r="O1" t="s">
        <v>55</v>
      </c>
      <c r="P1" t="s">
        <v>57</v>
      </c>
      <c r="Q1" t="s">
        <v>58</v>
      </c>
      <c r="R1" t="s">
        <v>56</v>
      </c>
      <c r="S1" t="s">
        <v>57</v>
      </c>
      <c r="T1" t="s">
        <v>58</v>
      </c>
      <c r="AE1" t="s">
        <v>1</v>
      </c>
      <c r="AF1" t="s">
        <v>2</v>
      </c>
      <c r="AG1" t="s">
        <v>60</v>
      </c>
      <c r="AH1">
        <f t="array" ref="AH1">AVERAGE((AF2:AF102-AG2:AG102)^2)/2</f>
        <v>3.3510658857512324E-2</v>
      </c>
    </row>
    <row r="2" spans="1:47" x14ac:dyDescent="0.25">
      <c r="A2" t="s">
        <v>49</v>
      </c>
      <c r="B2">
        <v>4.5999999999999996</v>
      </c>
      <c r="C2">
        <v>3.6</v>
      </c>
      <c r="D2">
        <v>1</v>
      </c>
      <c r="E2">
        <v>0.2</v>
      </c>
      <c r="G2" t="s">
        <v>49</v>
      </c>
      <c r="H2">
        <v>1</v>
      </c>
      <c r="I2">
        <v>0</v>
      </c>
      <c r="J2">
        <v>0</v>
      </c>
      <c r="L2">
        <v>1</v>
      </c>
      <c r="M2">
        <v>4.9837066923936357E-2</v>
      </c>
      <c r="N2">
        <v>1E-3</v>
      </c>
      <c r="O2">
        <v>1</v>
      </c>
      <c r="P2">
        <v>3.8530049601836411E-2</v>
      </c>
      <c r="Q2">
        <v>1E-3</v>
      </c>
      <c r="R2">
        <v>1</v>
      </c>
      <c r="S2">
        <v>3.8505080966215181E-2</v>
      </c>
      <c r="T2">
        <v>1E-3</v>
      </c>
      <c r="AE2">
        <v>0.35000000000000014</v>
      </c>
      <c r="AF2">
        <v>-1.5544548452760956</v>
      </c>
      <c r="AG2">
        <v>-1.4405301666455763</v>
      </c>
      <c r="AI2">
        <v>1</v>
      </c>
      <c r="AJ2">
        <v>0.49785973338975825</v>
      </c>
      <c r="AK2">
        <v>1</v>
      </c>
      <c r="AT2">
        <v>0.35000000000000014</v>
      </c>
      <c r="AU2">
        <v>-1.5544548452760956</v>
      </c>
    </row>
    <row r="3" spans="1:47" x14ac:dyDescent="0.25">
      <c r="A3" t="s">
        <v>49</v>
      </c>
      <c r="B3">
        <v>5.2</v>
      </c>
      <c r="C3">
        <v>4.0999999999999996</v>
      </c>
      <c r="D3">
        <v>1.5</v>
      </c>
      <c r="E3">
        <v>0.1</v>
      </c>
      <c r="G3" t="s">
        <v>49</v>
      </c>
      <c r="H3">
        <v>1</v>
      </c>
      <c r="I3">
        <v>0</v>
      </c>
      <c r="J3">
        <v>0</v>
      </c>
      <c r="L3">
        <v>2</v>
      </c>
      <c r="M3">
        <v>4.2634094331836909E-2</v>
      </c>
      <c r="N3">
        <v>1.0500000000000002E-3</v>
      </c>
      <c r="O3">
        <v>2</v>
      </c>
      <c r="P3">
        <v>3.4909760038506002E-2</v>
      </c>
      <c r="Q3">
        <v>1.0500000000000002E-3</v>
      </c>
      <c r="R3">
        <v>2</v>
      </c>
      <c r="S3">
        <v>3.4904258736218705E-2</v>
      </c>
      <c r="T3">
        <v>1.0500000000000002E-3</v>
      </c>
      <c r="AE3">
        <v>0.3000000000000001</v>
      </c>
      <c r="AF3">
        <v>-0.61591384657191028</v>
      </c>
      <c r="AG3">
        <v>-0.98515458963224134</v>
      </c>
      <c r="AI3">
        <v>2</v>
      </c>
      <c r="AJ3">
        <v>0.49683383680741983</v>
      </c>
      <c r="AK3">
        <v>9.9999914169311523</v>
      </c>
      <c r="AT3">
        <v>0.3000000000000001</v>
      </c>
      <c r="AU3">
        <v>-0.61591384657191028</v>
      </c>
    </row>
    <row r="4" spans="1:47" x14ac:dyDescent="0.25">
      <c r="A4" t="s">
        <v>49</v>
      </c>
      <c r="B4">
        <v>5.5</v>
      </c>
      <c r="C4">
        <v>4.2</v>
      </c>
      <c r="D4">
        <v>1.4</v>
      </c>
      <c r="E4">
        <v>0.2</v>
      </c>
      <c r="G4" t="s">
        <v>49</v>
      </c>
      <c r="H4">
        <v>1</v>
      </c>
      <c r="I4">
        <v>0</v>
      </c>
      <c r="J4">
        <v>0</v>
      </c>
      <c r="L4">
        <v>3</v>
      </c>
      <c r="M4">
        <v>3.8864552331740916E-2</v>
      </c>
      <c r="N4">
        <v>1.1025000000000002E-3</v>
      </c>
      <c r="O4">
        <v>3</v>
      </c>
      <c r="P4">
        <v>3.3769948567509422E-2</v>
      </c>
      <c r="Q4">
        <v>1.1025000000000002E-3</v>
      </c>
      <c r="R4">
        <v>3</v>
      </c>
      <c r="S4">
        <v>3.3691230936197192E-2</v>
      </c>
      <c r="T4">
        <v>1.1025000000000002E-3</v>
      </c>
      <c r="AE4">
        <v>0.34000000000000014</v>
      </c>
      <c r="AF4">
        <v>-1.3950444955108732</v>
      </c>
      <c r="AG4">
        <v>-1.390218036993808</v>
      </c>
      <c r="AI4">
        <v>3</v>
      </c>
      <c r="AJ4">
        <v>0.48766035766498878</v>
      </c>
      <c r="AK4">
        <v>1</v>
      </c>
      <c r="AT4">
        <v>0.34000000000000014</v>
      </c>
      <c r="AU4">
        <v>-1.3950444955108732</v>
      </c>
    </row>
    <row r="5" spans="1:47" x14ac:dyDescent="0.25">
      <c r="A5" t="s">
        <v>49</v>
      </c>
      <c r="B5">
        <v>5.7</v>
      </c>
      <c r="C5">
        <v>4.4000000000000004</v>
      </c>
      <c r="D5">
        <v>1.5</v>
      </c>
      <c r="E5">
        <v>0.4</v>
      </c>
      <c r="G5" t="s">
        <v>49</v>
      </c>
      <c r="H5">
        <v>1</v>
      </c>
      <c r="I5">
        <v>0</v>
      </c>
      <c r="J5">
        <v>0</v>
      </c>
      <c r="L5">
        <v>4</v>
      </c>
      <c r="M5">
        <v>3.687220414935026E-2</v>
      </c>
      <c r="N5">
        <v>1.1576250000000002E-3</v>
      </c>
      <c r="O5">
        <v>4</v>
      </c>
      <c r="P5">
        <v>3.2909955147964097E-2</v>
      </c>
      <c r="Q5">
        <v>1.1576250000000002E-3</v>
      </c>
      <c r="R5">
        <v>4</v>
      </c>
      <c r="S5">
        <v>3.2533126377640234E-2</v>
      </c>
      <c r="T5">
        <v>1.1576250000000002E-3</v>
      </c>
      <c r="AE5">
        <v>0.9200000000000006</v>
      </c>
      <c r="AF5">
        <v>-0.33048813093575308</v>
      </c>
      <c r="AG5">
        <v>-0.21377495712182792</v>
      </c>
      <c r="AI5">
        <v>4</v>
      </c>
      <c r="AJ5">
        <v>0.484065243774566</v>
      </c>
      <c r="AK5">
        <v>1</v>
      </c>
      <c r="AT5">
        <v>0.9200000000000006</v>
      </c>
      <c r="AU5">
        <v>-0.33048813093575308</v>
      </c>
    </row>
    <row r="6" spans="1:47" x14ac:dyDescent="0.25">
      <c r="A6" t="s">
        <v>49</v>
      </c>
      <c r="B6">
        <v>5.0999999999999996</v>
      </c>
      <c r="C6">
        <v>3.8</v>
      </c>
      <c r="D6">
        <v>1.6</v>
      </c>
      <c r="E6">
        <v>0.2</v>
      </c>
      <c r="G6" t="s">
        <v>49</v>
      </c>
      <c r="H6">
        <v>1</v>
      </c>
      <c r="I6">
        <v>0</v>
      </c>
      <c r="J6">
        <v>0</v>
      </c>
      <c r="L6">
        <v>5</v>
      </c>
      <c r="M6">
        <v>3.5764251270643511E-2</v>
      </c>
      <c r="N6">
        <v>1.2155062500000004E-3</v>
      </c>
      <c r="O6">
        <v>5</v>
      </c>
      <c r="P6">
        <v>3.207444640916858E-2</v>
      </c>
      <c r="Q6">
        <v>1.2155062500000004E-3</v>
      </c>
      <c r="R6">
        <v>5</v>
      </c>
      <c r="S6">
        <v>3.1345600043976386E-2</v>
      </c>
      <c r="T6">
        <v>1.2155062500000004E-3</v>
      </c>
      <c r="AE6">
        <v>0.99000000000000066</v>
      </c>
      <c r="AF6">
        <v>1.8300546105888296</v>
      </c>
      <c r="AG6">
        <v>1.4687254527596387</v>
      </c>
      <c r="AI6">
        <v>5</v>
      </c>
      <c r="AJ6">
        <v>0.47991724379313627</v>
      </c>
      <c r="AK6">
        <v>1</v>
      </c>
      <c r="AT6">
        <v>0.99000000000000066</v>
      </c>
      <c r="AU6">
        <v>1.8300546105888296</v>
      </c>
    </row>
    <row r="7" spans="1:47" x14ac:dyDescent="0.25">
      <c r="A7" t="s">
        <v>49</v>
      </c>
      <c r="B7">
        <v>4.4000000000000004</v>
      </c>
      <c r="C7">
        <v>3.2</v>
      </c>
      <c r="D7">
        <v>1.3</v>
      </c>
      <c r="E7">
        <v>0.2</v>
      </c>
      <c r="G7" t="s">
        <v>49</v>
      </c>
      <c r="H7">
        <v>1</v>
      </c>
      <c r="I7">
        <v>0</v>
      </c>
      <c r="J7">
        <v>0</v>
      </c>
      <c r="L7">
        <v>6</v>
      </c>
      <c r="M7">
        <v>3.5086020235014774E-2</v>
      </c>
      <c r="N7">
        <v>1.2762815625000006E-3</v>
      </c>
      <c r="O7">
        <v>6</v>
      </c>
      <c r="P7">
        <v>3.1234602289653142E-2</v>
      </c>
      <c r="Q7">
        <v>1.2762815625000006E-3</v>
      </c>
      <c r="R7">
        <v>6</v>
      </c>
      <c r="S7">
        <v>3.0170737100288395E-2</v>
      </c>
      <c r="T7">
        <v>1.2762815625000006E-3</v>
      </c>
      <c r="AE7">
        <v>0.04</v>
      </c>
      <c r="AF7">
        <v>1.8186485634698273</v>
      </c>
      <c r="AG7">
        <v>1.5882366970983774</v>
      </c>
      <c r="AI7">
        <v>6</v>
      </c>
      <c r="AJ7">
        <v>0.47888595246357185</v>
      </c>
      <c r="AK7">
        <v>1</v>
      </c>
      <c r="AT7">
        <v>0.04</v>
      </c>
      <c r="AU7">
        <v>1.8186485634698273</v>
      </c>
    </row>
    <row r="8" spans="1:47" x14ac:dyDescent="0.25">
      <c r="A8" t="s">
        <v>49</v>
      </c>
      <c r="B8">
        <v>5.0999999999999996</v>
      </c>
      <c r="C8">
        <v>3.8</v>
      </c>
      <c r="D8">
        <v>1.5</v>
      </c>
      <c r="E8">
        <v>0.3</v>
      </c>
      <c r="G8" t="s">
        <v>49</v>
      </c>
      <c r="H8">
        <v>1</v>
      </c>
      <c r="I8">
        <v>0</v>
      </c>
      <c r="J8">
        <v>0</v>
      </c>
      <c r="L8">
        <v>7</v>
      </c>
      <c r="M8">
        <v>3.4628029688854679E-2</v>
      </c>
      <c r="N8">
        <v>1.3400956406250007E-3</v>
      </c>
      <c r="O8">
        <v>7</v>
      </c>
      <c r="P8">
        <v>3.0389395195929626E-2</v>
      </c>
      <c r="Q8">
        <v>1.3400956406250007E-3</v>
      </c>
      <c r="R8">
        <v>7</v>
      </c>
      <c r="S8">
        <v>2.9024063783369029E-2</v>
      </c>
      <c r="T8">
        <v>1.3400956406250007E-3</v>
      </c>
      <c r="AE8">
        <v>0.80000000000000049</v>
      </c>
      <c r="AF8">
        <v>-0.52533593784832744</v>
      </c>
      <c r="AG8">
        <v>-0.58216684543059571</v>
      </c>
      <c r="AI8">
        <v>7</v>
      </c>
      <c r="AJ8">
        <v>0.47787178135421859</v>
      </c>
      <c r="AK8">
        <v>1</v>
      </c>
      <c r="AT8">
        <v>0.80000000000000049</v>
      </c>
      <c r="AU8">
        <v>-0.52533593784832744</v>
      </c>
    </row>
    <row r="9" spans="1:47" x14ac:dyDescent="0.25">
      <c r="A9" t="s">
        <v>49</v>
      </c>
      <c r="B9">
        <v>4.5999999999999996</v>
      </c>
      <c r="C9">
        <v>3.4</v>
      </c>
      <c r="D9">
        <v>1.4</v>
      </c>
      <c r="E9">
        <v>0.3</v>
      </c>
      <c r="G9" t="s">
        <v>49</v>
      </c>
      <c r="H9">
        <v>1</v>
      </c>
      <c r="I9">
        <v>0</v>
      </c>
      <c r="J9">
        <v>0</v>
      </c>
      <c r="L9">
        <v>8</v>
      </c>
      <c r="M9">
        <v>3.429135616468619E-2</v>
      </c>
      <c r="N9">
        <v>1.4071004226562508E-3</v>
      </c>
      <c r="O9">
        <v>8</v>
      </c>
      <c r="P9">
        <v>2.9538406261095607E-2</v>
      </c>
      <c r="Q9">
        <v>1.4071004226562508E-3</v>
      </c>
      <c r="R9">
        <v>8</v>
      </c>
      <c r="S9">
        <v>2.7892521868978958E-2</v>
      </c>
      <c r="T9">
        <v>1.4071004226562508E-3</v>
      </c>
      <c r="AE9">
        <v>0.75000000000000044</v>
      </c>
      <c r="AF9">
        <v>-0.6037830797493724</v>
      </c>
      <c r="AG9">
        <v>-0.42612418626779558</v>
      </c>
      <c r="AI9">
        <v>8</v>
      </c>
      <c r="AJ9">
        <v>0.47556473123893661</v>
      </c>
      <c r="AK9">
        <v>1</v>
      </c>
      <c r="AT9">
        <v>0.75000000000000044</v>
      </c>
      <c r="AU9">
        <v>-0.6037830797493724</v>
      </c>
    </row>
    <row r="10" spans="1:47" x14ac:dyDescent="0.25">
      <c r="A10" t="s">
        <v>49</v>
      </c>
      <c r="B10">
        <v>4.3</v>
      </c>
      <c r="C10">
        <v>3</v>
      </c>
      <c r="D10">
        <v>1.1000000000000001</v>
      </c>
      <c r="E10">
        <v>0.1</v>
      </c>
      <c r="G10" t="s">
        <v>49</v>
      </c>
      <c r="H10">
        <v>1</v>
      </c>
      <c r="I10">
        <v>0</v>
      </c>
      <c r="J10">
        <v>0</v>
      </c>
      <c r="L10">
        <v>9</v>
      </c>
      <c r="M10">
        <v>3.4025022135744216E-2</v>
      </c>
      <c r="N10">
        <v>1.4774554437890634E-3</v>
      </c>
      <c r="O10">
        <v>9</v>
      </c>
      <c r="P10">
        <v>2.8676343457997081E-2</v>
      </c>
      <c r="Q10">
        <v>1.4774554437890634E-3</v>
      </c>
      <c r="R10">
        <v>9</v>
      </c>
      <c r="S10">
        <v>2.6755173270402659E-2</v>
      </c>
      <c r="T10">
        <v>1.4774554437890634E-3</v>
      </c>
      <c r="AE10">
        <v>7.0000000000000007E-2</v>
      </c>
      <c r="AF10">
        <v>1.3769698209020529</v>
      </c>
      <c r="AG10">
        <v>1.4406269290274771</v>
      </c>
      <c r="AI10">
        <v>9</v>
      </c>
      <c r="AJ10">
        <v>0.46742451315634825</v>
      </c>
      <c r="AK10">
        <v>1</v>
      </c>
      <c r="AT10">
        <v>7.0000000000000007E-2</v>
      </c>
      <c r="AU10">
        <v>1.3769698209020529</v>
      </c>
    </row>
    <row r="11" spans="1:47" x14ac:dyDescent="0.25">
      <c r="A11" t="s">
        <v>49</v>
      </c>
      <c r="B11">
        <v>5</v>
      </c>
      <c r="C11">
        <v>3.6</v>
      </c>
      <c r="D11">
        <v>1.4</v>
      </c>
      <c r="E11">
        <v>0.2</v>
      </c>
      <c r="G11" t="s">
        <v>49</v>
      </c>
      <c r="H11">
        <v>1</v>
      </c>
      <c r="I11">
        <v>0</v>
      </c>
      <c r="J11">
        <v>0</v>
      </c>
      <c r="L11">
        <v>10</v>
      </c>
      <c r="M11">
        <v>3.3801040575126513E-2</v>
      </c>
      <c r="N11">
        <v>1.5513282159785166E-3</v>
      </c>
      <c r="O11">
        <v>10</v>
      </c>
      <c r="P11">
        <v>2.779491795628147E-2</v>
      </c>
      <c r="Q11">
        <v>1.5513282159785166E-3</v>
      </c>
      <c r="R11">
        <v>10</v>
      </c>
      <c r="S11">
        <v>2.5595703376406039E-2</v>
      </c>
      <c r="T11">
        <v>1.5513282159785166E-3</v>
      </c>
      <c r="AE11">
        <v>0.73000000000000043</v>
      </c>
      <c r="AF11">
        <v>0.14729107929989191</v>
      </c>
      <c r="AG11">
        <v>-0.2740563262140725</v>
      </c>
      <c r="AI11">
        <v>10</v>
      </c>
      <c r="AJ11">
        <v>0.44285023945325397</v>
      </c>
      <c r="AK11">
        <v>0.5</v>
      </c>
      <c r="AT11">
        <v>0.73000000000000043</v>
      </c>
      <c r="AU11">
        <v>0.14729107929989191</v>
      </c>
    </row>
    <row r="12" spans="1:47" x14ac:dyDescent="0.25">
      <c r="A12" t="s">
        <v>49</v>
      </c>
      <c r="B12">
        <v>5.4</v>
      </c>
      <c r="C12">
        <v>3.9</v>
      </c>
      <c r="D12">
        <v>1.3</v>
      </c>
      <c r="E12">
        <v>0.4</v>
      </c>
      <c r="G12" t="s">
        <v>49</v>
      </c>
      <c r="H12">
        <v>1</v>
      </c>
      <c r="I12">
        <v>0</v>
      </c>
      <c r="J12">
        <v>0</v>
      </c>
      <c r="L12">
        <v>11</v>
      </c>
      <c r="M12">
        <v>3.3603295761203529E-2</v>
      </c>
      <c r="N12">
        <v>1.6288946267774425E-3</v>
      </c>
      <c r="O12">
        <v>11</v>
      </c>
      <c r="P12">
        <v>2.6885895034749297E-2</v>
      </c>
      <c r="Q12">
        <v>1.6288946267774425E-3</v>
      </c>
      <c r="R12">
        <v>11</v>
      </c>
      <c r="S12">
        <v>2.4405909173892949E-2</v>
      </c>
      <c r="T12">
        <v>1.6288946267774425E-3</v>
      </c>
      <c r="AE12">
        <v>0.82000000000000051</v>
      </c>
      <c r="AF12">
        <v>-0.76994757281236981</v>
      </c>
      <c r="AG12">
        <v>-0.71586748779665399</v>
      </c>
      <c r="AI12">
        <v>11</v>
      </c>
      <c r="AJ12">
        <v>0.42198152791746607</v>
      </c>
      <c r="AK12">
        <v>0.5</v>
      </c>
      <c r="AT12">
        <v>0.82000000000000051</v>
      </c>
      <c r="AU12">
        <v>-0.76994757281236981</v>
      </c>
    </row>
    <row r="13" spans="1:47" x14ac:dyDescent="0.25">
      <c r="A13" t="s">
        <v>49</v>
      </c>
      <c r="B13">
        <v>5.0999999999999996</v>
      </c>
      <c r="C13">
        <v>3.8</v>
      </c>
      <c r="D13">
        <v>1.9</v>
      </c>
      <c r="E13">
        <v>0.4</v>
      </c>
      <c r="G13" t="s">
        <v>49</v>
      </c>
      <c r="H13">
        <v>1</v>
      </c>
      <c r="I13">
        <v>0</v>
      </c>
      <c r="J13">
        <v>0</v>
      </c>
      <c r="L13">
        <v>12</v>
      </c>
      <c r="M13">
        <v>3.3422072063768751E-2</v>
      </c>
      <c r="N13">
        <v>1.7103393581163148E-3</v>
      </c>
      <c r="O13">
        <v>12</v>
      </c>
      <c r="P13">
        <v>2.5942520947183436E-2</v>
      </c>
      <c r="Q13">
        <v>1.7103393581163148E-3</v>
      </c>
      <c r="R13">
        <v>12</v>
      </c>
      <c r="S13">
        <v>2.3185721990577883E-2</v>
      </c>
      <c r="T13">
        <v>1.7103393581163148E-3</v>
      </c>
      <c r="AE13">
        <v>0.96000000000000063</v>
      </c>
      <c r="AF13">
        <v>0.72027335086141797</v>
      </c>
      <c r="AG13">
        <v>0.70910111882341198</v>
      </c>
      <c r="AI13">
        <v>12</v>
      </c>
      <c r="AJ13">
        <v>0.2973006353431204</v>
      </c>
      <c r="AK13">
        <v>1</v>
      </c>
      <c r="AT13">
        <v>0.96000000000000063</v>
      </c>
      <c r="AU13">
        <v>0.72027335086141797</v>
      </c>
    </row>
    <row r="14" spans="1:47" x14ac:dyDescent="0.25">
      <c r="A14" t="s">
        <v>49</v>
      </c>
      <c r="B14">
        <v>5.0999999999999996</v>
      </c>
      <c r="C14">
        <v>3.7</v>
      </c>
      <c r="D14">
        <v>1.5</v>
      </c>
      <c r="E14">
        <v>0.4</v>
      </c>
      <c r="G14" t="s">
        <v>49</v>
      </c>
      <c r="H14">
        <v>1</v>
      </c>
      <c r="I14">
        <v>0</v>
      </c>
      <c r="J14">
        <v>0</v>
      </c>
      <c r="L14">
        <v>13</v>
      </c>
      <c r="M14">
        <v>3.3251298719765766E-2</v>
      </c>
      <c r="N14">
        <v>1.7958563260221305E-3</v>
      </c>
      <c r="O14">
        <v>13</v>
      </c>
      <c r="P14">
        <v>2.4960105066862675E-2</v>
      </c>
      <c r="Q14">
        <v>1.7958563260221305E-3</v>
      </c>
      <c r="R14">
        <v>13</v>
      </c>
      <c r="S14">
        <v>2.1951330016332767E-2</v>
      </c>
      <c r="T14">
        <v>1.7958563260221305E-3</v>
      </c>
      <c r="AE14">
        <v>0.19000000000000003</v>
      </c>
      <c r="AF14">
        <v>0.96598388666438073</v>
      </c>
      <c r="AG14">
        <v>0.79423620577016507</v>
      </c>
      <c r="AI14">
        <v>13</v>
      </c>
      <c r="AJ14">
        <v>0.2513190527329493</v>
      </c>
      <c r="AK14">
        <v>0.25</v>
      </c>
      <c r="AT14">
        <v>0.19000000000000003</v>
      </c>
      <c r="AU14">
        <v>0.96598388666438073</v>
      </c>
    </row>
    <row r="15" spans="1:47" x14ac:dyDescent="0.25">
      <c r="A15" t="s">
        <v>49</v>
      </c>
      <c r="B15">
        <v>4.8</v>
      </c>
      <c r="C15">
        <v>3.4</v>
      </c>
      <c r="D15">
        <v>1.6</v>
      </c>
      <c r="E15">
        <v>0.2</v>
      </c>
      <c r="G15" t="s">
        <v>49</v>
      </c>
      <c r="H15">
        <v>1</v>
      </c>
      <c r="I15">
        <v>0</v>
      </c>
      <c r="J15">
        <v>0</v>
      </c>
      <c r="L15">
        <v>14</v>
      </c>
      <c r="M15">
        <v>3.3087095545412955E-2</v>
      </c>
      <c r="N15">
        <v>1.8856491423232371E-3</v>
      </c>
      <c r="O15">
        <v>14</v>
      </c>
      <c r="P15">
        <v>2.3936716618671226E-2</v>
      </c>
      <c r="Q15">
        <v>1.8856491423232371E-3</v>
      </c>
      <c r="R15">
        <v>14</v>
      </c>
      <c r="S15">
        <v>2.0730627025237206E-2</v>
      </c>
      <c r="T15">
        <v>1.8856491423232371E-3</v>
      </c>
      <c r="AE15">
        <v>0.42000000000000021</v>
      </c>
      <c r="AF15">
        <v>-1.7852379687657634</v>
      </c>
      <c r="AG15">
        <v>-1.345248785304701</v>
      </c>
      <c r="AI15">
        <v>14</v>
      </c>
      <c r="AJ15">
        <v>0.23195959093603472</v>
      </c>
      <c r="AK15">
        <v>1</v>
      </c>
      <c r="AT15">
        <v>0.42000000000000021</v>
      </c>
      <c r="AU15">
        <v>-1.7852379687657634</v>
      </c>
    </row>
    <row r="16" spans="1:47" x14ac:dyDescent="0.25">
      <c r="A16" t="s">
        <v>49</v>
      </c>
      <c r="B16">
        <v>4.5999999999999996</v>
      </c>
      <c r="C16">
        <v>3.2</v>
      </c>
      <c r="D16">
        <v>1.4</v>
      </c>
      <c r="E16">
        <v>0.2</v>
      </c>
      <c r="G16" t="s">
        <v>49</v>
      </c>
      <c r="H16">
        <v>1</v>
      </c>
      <c r="I16">
        <v>0</v>
      </c>
      <c r="J16">
        <v>0</v>
      </c>
      <c r="L16">
        <v>15</v>
      </c>
      <c r="M16">
        <v>3.2926944727580121E-2</v>
      </c>
      <c r="N16">
        <v>1.979931599439399E-3</v>
      </c>
      <c r="O16">
        <v>15</v>
      </c>
      <c r="P16">
        <v>2.2873755043819985E-2</v>
      </c>
      <c r="Q16">
        <v>1.979931599439399E-3</v>
      </c>
      <c r="R16">
        <v>15</v>
      </c>
      <c r="S16">
        <v>1.9541429792608103E-2</v>
      </c>
      <c r="T16">
        <v>1.979931599439399E-3</v>
      </c>
      <c r="AE16">
        <v>0.33000000000000013</v>
      </c>
      <c r="AF16">
        <v>-0.93376245019082815</v>
      </c>
      <c r="AG16">
        <v>-1.3199671925887486</v>
      </c>
      <c r="AI16">
        <v>15</v>
      </c>
      <c r="AJ16">
        <v>0.22259976505473414</v>
      </c>
      <c r="AK16">
        <v>1</v>
      </c>
      <c r="AT16">
        <v>0.33000000000000013</v>
      </c>
      <c r="AU16">
        <v>-0.93376245019082815</v>
      </c>
    </row>
    <row r="17" spans="1:47" x14ac:dyDescent="0.25">
      <c r="A17" t="s">
        <v>49</v>
      </c>
      <c r="B17">
        <v>5</v>
      </c>
      <c r="C17">
        <v>3.5</v>
      </c>
      <c r="D17">
        <v>1.3</v>
      </c>
      <c r="E17">
        <v>0.3</v>
      </c>
      <c r="G17" t="s">
        <v>49</v>
      </c>
      <c r="H17">
        <v>1</v>
      </c>
      <c r="I17">
        <v>0</v>
      </c>
      <c r="J17">
        <v>0</v>
      </c>
      <c r="L17">
        <v>16</v>
      </c>
      <c r="M17">
        <v>3.2769191398224963E-2</v>
      </c>
      <c r="N17">
        <v>2.0789281794113693E-3</v>
      </c>
      <c r="O17">
        <v>16</v>
      </c>
      <c r="P17">
        <v>2.1776192086913053E-2</v>
      </c>
      <c r="Q17">
        <v>2.0789281794113693E-3</v>
      </c>
      <c r="R17">
        <v>16</v>
      </c>
      <c r="S17">
        <v>1.8397561486647049E-2</v>
      </c>
      <c r="T17">
        <v>2.0789281794113693E-3</v>
      </c>
      <c r="AE17">
        <v>0.20000000000000004</v>
      </c>
      <c r="AF17">
        <v>8.0485212916618656E-2</v>
      </c>
      <c r="AG17">
        <v>0.67781000562387561</v>
      </c>
      <c r="AI17">
        <v>16</v>
      </c>
      <c r="AJ17">
        <v>0.22071568301814351</v>
      </c>
      <c r="AK17">
        <v>1</v>
      </c>
      <c r="AT17">
        <v>0.20000000000000004</v>
      </c>
      <c r="AU17">
        <v>8.0485212916618656E-2</v>
      </c>
    </row>
    <row r="18" spans="1:47" x14ac:dyDescent="0.25">
      <c r="A18" t="s">
        <v>49</v>
      </c>
      <c r="B18">
        <v>4.4000000000000004</v>
      </c>
      <c r="C18">
        <v>3</v>
      </c>
      <c r="D18">
        <v>1.3</v>
      </c>
      <c r="E18">
        <v>0.2</v>
      </c>
      <c r="G18" t="s">
        <v>49</v>
      </c>
      <c r="H18">
        <v>1</v>
      </c>
      <c r="I18">
        <v>0</v>
      </c>
      <c r="J18">
        <v>0</v>
      </c>
      <c r="L18">
        <v>17</v>
      </c>
      <c r="M18">
        <v>3.2612734604467036E-2</v>
      </c>
      <c r="N18">
        <v>2.1828745883819378E-3</v>
      </c>
      <c r="O18">
        <v>17</v>
      </c>
      <c r="P18">
        <v>2.0652797929229708E-2</v>
      </c>
      <c r="Q18">
        <v>2.1828745883819378E-3</v>
      </c>
      <c r="R18">
        <v>17</v>
      </c>
      <c r="S18">
        <v>1.7321272863614429E-2</v>
      </c>
      <c r="T18">
        <v>2.1828745883819378E-3</v>
      </c>
      <c r="AE18">
        <v>0.89000000000000057</v>
      </c>
      <c r="AF18">
        <v>-0.67682087855348982</v>
      </c>
      <c r="AG18">
        <v>-0.74031521855195592</v>
      </c>
      <c r="AI18">
        <v>17</v>
      </c>
      <c r="AJ18">
        <v>0.21850370804129088</v>
      </c>
      <c r="AK18">
        <v>1</v>
      </c>
      <c r="AT18">
        <v>0.89000000000000057</v>
      </c>
      <c r="AU18">
        <v>-0.67682087855348982</v>
      </c>
    </row>
    <row r="19" spans="1:47" x14ac:dyDescent="0.25">
      <c r="A19" t="s">
        <v>49</v>
      </c>
      <c r="B19">
        <v>5.4</v>
      </c>
      <c r="C19">
        <v>3.9</v>
      </c>
      <c r="D19">
        <v>1.7</v>
      </c>
      <c r="E19">
        <v>0.4</v>
      </c>
      <c r="G19" t="s">
        <v>49</v>
      </c>
      <c r="H19">
        <v>1</v>
      </c>
      <c r="I19">
        <v>0</v>
      </c>
      <c r="J19">
        <v>0</v>
      </c>
      <c r="L19">
        <v>18</v>
      </c>
      <c r="M19">
        <v>3.2456833285884015E-2</v>
      </c>
      <c r="N19">
        <v>2.2920183178010349E-3</v>
      </c>
      <c r="O19">
        <v>18</v>
      </c>
      <c r="P19">
        <v>1.951658754228381E-2</v>
      </c>
      <c r="Q19">
        <v>2.2920183178010349E-3</v>
      </c>
      <c r="R19">
        <v>18</v>
      </c>
      <c r="S19">
        <v>1.6336823457902782E-2</v>
      </c>
      <c r="T19">
        <v>2.2920183178010349E-3</v>
      </c>
      <c r="AE19">
        <v>0.50000000000000022</v>
      </c>
      <c r="AF19">
        <v>-0.39290869424875774</v>
      </c>
      <c r="AG19">
        <v>-0.62020687971021715</v>
      </c>
      <c r="AI19">
        <v>18</v>
      </c>
      <c r="AJ19">
        <v>0.20955469207762228</v>
      </c>
      <c r="AK19">
        <v>1</v>
      </c>
      <c r="AT19">
        <v>0.50000000000000022</v>
      </c>
      <c r="AU19">
        <v>-0.39290869424875774</v>
      </c>
    </row>
    <row r="20" spans="1:47" x14ac:dyDescent="0.25">
      <c r="A20" t="s">
        <v>49</v>
      </c>
      <c r="B20">
        <v>5.8</v>
      </c>
      <c r="C20">
        <v>4</v>
      </c>
      <c r="D20">
        <v>1.2</v>
      </c>
      <c r="E20">
        <v>0.2</v>
      </c>
      <c r="G20" t="s">
        <v>49</v>
      </c>
      <c r="H20">
        <v>1</v>
      </c>
      <c r="I20">
        <v>0</v>
      </c>
      <c r="J20">
        <v>0</v>
      </c>
      <c r="L20">
        <v>19</v>
      </c>
      <c r="M20">
        <v>3.2300981184393764E-2</v>
      </c>
      <c r="N20">
        <v>2.4066192336910869E-3</v>
      </c>
      <c r="O20">
        <v>19</v>
      </c>
      <c r="P20">
        <v>1.8385325936954394E-2</v>
      </c>
      <c r="Q20">
        <v>2.4066192336910869E-3</v>
      </c>
      <c r="R20">
        <v>19</v>
      </c>
      <c r="S20">
        <v>1.5465623003839928E-2</v>
      </c>
      <c r="T20">
        <v>2.4066192336910869E-3</v>
      </c>
      <c r="AE20">
        <v>0.78000000000000047</v>
      </c>
      <c r="AF20">
        <v>-0.98681875190269575</v>
      </c>
      <c r="AG20">
        <v>-0.51848082223164127</v>
      </c>
      <c r="AI20">
        <v>19</v>
      </c>
      <c r="AJ20">
        <v>0.20409511741708738</v>
      </c>
      <c r="AK20">
        <v>1</v>
      </c>
      <c r="AT20">
        <v>0.78000000000000047</v>
      </c>
      <c r="AU20">
        <v>-0.98681875190269575</v>
      </c>
    </row>
    <row r="21" spans="1:47" x14ac:dyDescent="0.25">
      <c r="A21" t="s">
        <v>49</v>
      </c>
      <c r="B21">
        <v>5.3</v>
      </c>
      <c r="C21">
        <v>3.7</v>
      </c>
      <c r="D21">
        <v>1.5</v>
      </c>
      <c r="E21">
        <v>0.2</v>
      </c>
      <c r="G21" t="s">
        <v>49</v>
      </c>
      <c r="H21">
        <v>1</v>
      </c>
      <c r="I21">
        <v>0</v>
      </c>
      <c r="J21">
        <v>0</v>
      </c>
      <c r="L21">
        <v>20</v>
      </c>
      <c r="M21">
        <v>3.2144821851451025E-2</v>
      </c>
      <c r="N21">
        <v>2.5269501953756415E-3</v>
      </c>
      <c r="O21">
        <v>20</v>
      </c>
      <c r="P21">
        <v>1.728215928588497E-2</v>
      </c>
      <c r="Q21">
        <v>2.5269501953756415E-3</v>
      </c>
      <c r="R21">
        <v>20</v>
      </c>
      <c r="S21">
        <v>1.4711618513637665E-2</v>
      </c>
      <c r="T21">
        <v>2.5269501953756415E-3</v>
      </c>
      <c r="AE21">
        <v>0.52000000000000024</v>
      </c>
      <c r="AF21">
        <v>6.4308257905106248E-2</v>
      </c>
      <c r="AG21">
        <v>-0.38152375128773031</v>
      </c>
      <c r="AI21">
        <v>20</v>
      </c>
      <c r="AJ21">
        <v>0.20165674799290775</v>
      </c>
      <c r="AK21">
        <v>1</v>
      </c>
      <c r="AT21">
        <v>0.52000000000000024</v>
      </c>
      <c r="AU21">
        <v>6.4308257905106248E-2</v>
      </c>
    </row>
    <row r="22" spans="1:47" x14ac:dyDescent="0.25">
      <c r="A22" t="s">
        <v>49</v>
      </c>
      <c r="B22">
        <v>4.7</v>
      </c>
      <c r="C22">
        <v>3.2</v>
      </c>
      <c r="D22">
        <v>1.3</v>
      </c>
      <c r="E22">
        <v>0.2</v>
      </c>
      <c r="G22" t="s">
        <v>49</v>
      </c>
      <c r="H22">
        <v>1</v>
      </c>
      <c r="I22">
        <v>0</v>
      </c>
      <c r="J22">
        <v>0</v>
      </c>
      <c r="L22">
        <v>21</v>
      </c>
      <c r="M22">
        <v>3.1988086401838915E-2</v>
      </c>
      <c r="N22">
        <v>2.6532977051444235E-3</v>
      </c>
      <c r="O22">
        <v>21</v>
      </c>
      <c r="P22">
        <v>1.6236493711982821E-2</v>
      </c>
      <c r="Q22">
        <v>2.6532977051444235E-3</v>
      </c>
      <c r="R22">
        <v>21</v>
      </c>
      <c r="S22">
        <v>1.4089143166483674E-2</v>
      </c>
      <c r="T22">
        <v>2.6532977051444235E-3</v>
      </c>
      <c r="AE22">
        <v>0.36000000000000015</v>
      </c>
      <c r="AF22">
        <v>-1.3902450054933866</v>
      </c>
      <c r="AG22">
        <v>-1.4720936533384048</v>
      </c>
      <c r="AI22">
        <v>21</v>
      </c>
      <c r="AJ22">
        <v>0.20103361776023979</v>
      </c>
      <c r="AK22">
        <v>1</v>
      </c>
      <c r="AT22">
        <v>0.36000000000000015</v>
      </c>
      <c r="AU22">
        <v>-1.3902450054933866</v>
      </c>
    </row>
    <row r="23" spans="1:47" x14ac:dyDescent="0.25">
      <c r="A23" t="s">
        <v>49</v>
      </c>
      <c r="B23">
        <v>4.8</v>
      </c>
      <c r="C23">
        <v>3.4</v>
      </c>
      <c r="D23">
        <v>1.9</v>
      </c>
      <c r="E23">
        <v>0.2</v>
      </c>
      <c r="G23" t="s">
        <v>49</v>
      </c>
      <c r="H23">
        <v>1</v>
      </c>
      <c r="I23">
        <v>0</v>
      </c>
      <c r="J23">
        <v>0</v>
      </c>
      <c r="L23">
        <v>22</v>
      </c>
      <c r="M23">
        <v>3.1830544494540397E-2</v>
      </c>
      <c r="N23">
        <v>2.785962590401645E-3</v>
      </c>
      <c r="O23">
        <v>22</v>
      </c>
      <c r="P23">
        <v>1.5281186529853412E-2</v>
      </c>
      <c r="Q23">
        <v>2.785962590401645E-3</v>
      </c>
      <c r="R23">
        <v>22</v>
      </c>
      <c r="S23">
        <v>1.3665492928537361E-2</v>
      </c>
      <c r="T23">
        <v>2.785962590401645E-3</v>
      </c>
      <c r="AE23">
        <v>0.9300000000000006</v>
      </c>
      <c r="AF23">
        <v>-3.0530543833434357E-2</v>
      </c>
      <c r="AG23">
        <v>2.5535439397081916E-3</v>
      </c>
      <c r="AI23">
        <v>22</v>
      </c>
      <c r="AJ23">
        <v>0.20044273236173693</v>
      </c>
      <c r="AK23">
        <v>1</v>
      </c>
      <c r="AT23">
        <v>0.9300000000000006</v>
      </c>
      <c r="AU23">
        <v>-3.0530543833434357E-2</v>
      </c>
    </row>
    <row r="24" spans="1:47" x14ac:dyDescent="0.25">
      <c r="A24" t="s">
        <v>49</v>
      </c>
      <c r="B24">
        <v>5.0999999999999996</v>
      </c>
      <c r="C24">
        <v>3.5</v>
      </c>
      <c r="D24">
        <v>1.4</v>
      </c>
      <c r="E24">
        <v>0.2</v>
      </c>
      <c r="G24" t="s">
        <v>49</v>
      </c>
      <c r="H24">
        <v>1</v>
      </c>
      <c r="I24">
        <v>0</v>
      </c>
      <c r="J24">
        <v>0</v>
      </c>
      <c r="L24">
        <v>23</v>
      </c>
      <c r="M24">
        <v>3.1671964153626851E-2</v>
      </c>
      <c r="N24">
        <v>2.9252607199217275E-3</v>
      </c>
      <c r="O24">
        <v>23</v>
      </c>
      <c r="P24">
        <v>1.4439512273117055E-2</v>
      </c>
      <c r="Q24">
        <v>2.9252607199217275E-3</v>
      </c>
      <c r="R24">
        <v>23</v>
      </c>
      <c r="S24">
        <v>1.3366760423878975E-2</v>
      </c>
      <c r="T24">
        <v>2.9252607199217275E-3</v>
      </c>
      <c r="AE24">
        <v>0.58000000000000029</v>
      </c>
      <c r="AF24">
        <v>-7.1093975163189244E-2</v>
      </c>
      <c r="AG24">
        <v>0.31113382689717639</v>
      </c>
      <c r="AI24">
        <v>23</v>
      </c>
      <c r="AJ24">
        <v>0.19854057058508079</v>
      </c>
      <c r="AK24">
        <v>1</v>
      </c>
      <c r="AT24">
        <v>0.58000000000000029</v>
      </c>
      <c r="AU24">
        <v>-7.1093975163189244E-2</v>
      </c>
    </row>
    <row r="25" spans="1:47" x14ac:dyDescent="0.25">
      <c r="A25" t="s">
        <v>49</v>
      </c>
      <c r="B25">
        <v>5.0999999999999996</v>
      </c>
      <c r="C25">
        <v>3.5</v>
      </c>
      <c r="D25">
        <v>1.4</v>
      </c>
      <c r="E25">
        <v>0.3</v>
      </c>
      <c r="G25" t="s">
        <v>49</v>
      </c>
      <c r="H25">
        <v>1</v>
      </c>
      <c r="I25">
        <v>0</v>
      </c>
      <c r="J25">
        <v>0</v>
      </c>
      <c r="L25">
        <v>24</v>
      </c>
      <c r="M25">
        <v>3.1512078994407118E-2</v>
      </c>
      <c r="N25">
        <v>3.0715237559178141E-3</v>
      </c>
      <c r="O25">
        <v>24</v>
      </c>
      <c r="P25">
        <v>1.3710978900697036E-2</v>
      </c>
      <c r="Q25">
        <v>3.0715237559178141E-3</v>
      </c>
      <c r="R25">
        <v>24</v>
      </c>
      <c r="S25">
        <v>1.3069840356240583E-2</v>
      </c>
      <c r="T25">
        <v>3.0715237559178141E-3</v>
      </c>
      <c r="AE25">
        <v>9.9999999999999992E-2</v>
      </c>
      <c r="AF25">
        <v>1.3791795964365074</v>
      </c>
      <c r="AG25">
        <v>1.3323970635277256</v>
      </c>
      <c r="AI25">
        <v>24</v>
      </c>
      <c r="AJ25">
        <v>0.19630265551628895</v>
      </c>
      <c r="AK25">
        <v>1</v>
      </c>
      <c r="AT25">
        <v>9.9999999999999992E-2</v>
      </c>
      <c r="AU25">
        <v>1.3791795964365074</v>
      </c>
    </row>
    <row r="26" spans="1:47" x14ac:dyDescent="0.25">
      <c r="A26" t="s">
        <v>49</v>
      </c>
      <c r="B26">
        <v>4.7</v>
      </c>
      <c r="C26">
        <v>3.2</v>
      </c>
      <c r="D26">
        <v>1.6</v>
      </c>
      <c r="E26">
        <v>0.2</v>
      </c>
      <c r="G26" t="s">
        <v>49</v>
      </c>
      <c r="H26">
        <v>1</v>
      </c>
      <c r="I26">
        <v>0</v>
      </c>
      <c r="J26">
        <v>0</v>
      </c>
      <c r="L26">
        <v>25</v>
      </c>
      <c r="M26">
        <v>3.1350562596653253E-2</v>
      </c>
      <c r="N26">
        <v>3.2250999437137048E-3</v>
      </c>
      <c r="O26">
        <v>25</v>
      </c>
      <c r="P26">
        <v>1.3075351017213906E-2</v>
      </c>
      <c r="Q26">
        <v>3.2250999437137048E-3</v>
      </c>
      <c r="R26">
        <v>25</v>
      </c>
      <c r="S26">
        <v>1.25864373604438E-2</v>
      </c>
      <c r="T26">
        <v>3.2250999437137048E-3</v>
      </c>
      <c r="AE26">
        <v>0.71000000000000041</v>
      </c>
      <c r="AF26">
        <v>-0.3905952026984042</v>
      </c>
      <c r="AG26">
        <v>-4.9131029455281805E-2</v>
      </c>
      <c r="AI26">
        <v>25</v>
      </c>
      <c r="AJ26">
        <v>0.19398278122527857</v>
      </c>
      <c r="AK26">
        <v>1</v>
      </c>
      <c r="AT26">
        <v>0.71000000000000041</v>
      </c>
      <c r="AU26">
        <v>-0.3905952026984042</v>
      </c>
    </row>
    <row r="27" spans="1:47" x14ac:dyDescent="0.25">
      <c r="A27" t="s">
        <v>49</v>
      </c>
      <c r="B27">
        <v>5.4</v>
      </c>
      <c r="C27">
        <v>3.7</v>
      </c>
      <c r="D27">
        <v>1.5</v>
      </c>
      <c r="E27">
        <v>0.2</v>
      </c>
      <c r="G27" t="s">
        <v>49</v>
      </c>
      <c r="H27">
        <v>1</v>
      </c>
      <c r="I27">
        <v>0</v>
      </c>
      <c r="J27">
        <v>0</v>
      </c>
      <c r="L27">
        <v>26</v>
      </c>
      <c r="M27">
        <v>3.1187009706688501E-2</v>
      </c>
      <c r="N27">
        <v>3.3863549408993904E-3</v>
      </c>
      <c r="O27">
        <v>26</v>
      </c>
      <c r="P27">
        <v>1.2508758126316495E-2</v>
      </c>
      <c r="Q27">
        <v>3.3863549408993904E-3</v>
      </c>
      <c r="R27">
        <v>26</v>
      </c>
      <c r="S27">
        <v>1.1773194355385831E-2</v>
      </c>
      <c r="T27">
        <v>3.3863549408993904E-3</v>
      </c>
      <c r="AE27">
        <v>0.16</v>
      </c>
      <c r="AF27">
        <v>1.3144000807026794</v>
      </c>
      <c r="AG27">
        <v>1.0557123181314267</v>
      </c>
      <c r="AI27">
        <v>26</v>
      </c>
      <c r="AJ27">
        <v>0.18892278845614735</v>
      </c>
      <c r="AK27">
        <v>1</v>
      </c>
      <c r="AT27">
        <v>0.16</v>
      </c>
      <c r="AU27">
        <v>1.3144000807026794</v>
      </c>
    </row>
    <row r="28" spans="1:47" x14ac:dyDescent="0.25">
      <c r="A28" t="s">
        <v>49</v>
      </c>
      <c r="B28">
        <v>5</v>
      </c>
      <c r="C28">
        <v>3.4</v>
      </c>
      <c r="D28">
        <v>1.5</v>
      </c>
      <c r="E28">
        <v>0.2</v>
      </c>
      <c r="G28" t="s">
        <v>49</v>
      </c>
      <c r="H28">
        <v>1</v>
      </c>
      <c r="I28">
        <v>0</v>
      </c>
      <c r="J28">
        <v>0</v>
      </c>
      <c r="L28">
        <v>27</v>
      </c>
      <c r="M28">
        <v>3.1020923373726229E-2</v>
      </c>
      <c r="N28">
        <v>3.5556726879443601E-3</v>
      </c>
      <c r="O28">
        <v>27</v>
      </c>
      <c r="P28">
        <v>1.1987969997054699E-2</v>
      </c>
      <c r="Q28">
        <v>3.5556726879443601E-3</v>
      </c>
      <c r="R28">
        <v>27</v>
      </c>
      <c r="S28">
        <v>1.0676176656964305E-2</v>
      </c>
      <c r="T28">
        <v>3.5556726879443601E-3</v>
      </c>
      <c r="AE28">
        <v>0.40000000000000019</v>
      </c>
      <c r="AF28">
        <v>-1.7027509056411636</v>
      </c>
      <c r="AG28">
        <v>-1.43908678317419</v>
      </c>
      <c r="AI28">
        <v>27</v>
      </c>
      <c r="AJ28">
        <v>0.18671363128390792</v>
      </c>
      <c r="AK28">
        <v>1</v>
      </c>
      <c r="AT28">
        <v>0.40000000000000019</v>
      </c>
      <c r="AU28">
        <v>-1.7027509056411636</v>
      </c>
    </row>
    <row r="29" spans="1:47" x14ac:dyDescent="0.25">
      <c r="A29" t="s">
        <v>49</v>
      </c>
      <c r="B29">
        <v>4.5999999999999996</v>
      </c>
      <c r="C29">
        <v>3.1</v>
      </c>
      <c r="D29">
        <v>1.5</v>
      </c>
      <c r="E29">
        <v>0.2</v>
      </c>
      <c r="G29" t="s">
        <v>49</v>
      </c>
      <c r="H29">
        <v>1</v>
      </c>
      <c r="I29">
        <v>0</v>
      </c>
      <c r="J29">
        <v>0</v>
      </c>
      <c r="L29">
        <v>28</v>
      </c>
      <c r="M29">
        <v>3.0851706711108935E-2</v>
      </c>
      <c r="N29">
        <v>3.7334563223415784E-3</v>
      </c>
      <c r="O29">
        <v>28</v>
      </c>
      <c r="P29">
        <v>1.1488689980318361E-2</v>
      </c>
      <c r="Q29">
        <v>3.7334563223415784E-3</v>
      </c>
      <c r="R29">
        <v>28</v>
      </c>
      <c r="S29">
        <v>9.5183636909254663E-3</v>
      </c>
      <c r="T29">
        <v>3.7334563223415784E-3</v>
      </c>
      <c r="AE29">
        <v>0.44000000000000022</v>
      </c>
      <c r="AF29">
        <v>-1.3668948913591217</v>
      </c>
      <c r="AG29">
        <v>-1.2107141104842327</v>
      </c>
      <c r="AI29">
        <v>28</v>
      </c>
      <c r="AJ29">
        <v>0.18434070633255104</v>
      </c>
      <c r="AK29">
        <v>1</v>
      </c>
      <c r="AT29">
        <v>0.44000000000000022</v>
      </c>
      <c r="AU29">
        <v>-1.3668948913591217</v>
      </c>
    </row>
    <row r="30" spans="1:47" x14ac:dyDescent="0.25">
      <c r="A30" t="s">
        <v>49</v>
      </c>
      <c r="B30">
        <v>4.4000000000000004</v>
      </c>
      <c r="C30">
        <v>2.9</v>
      </c>
      <c r="D30">
        <v>1.4</v>
      </c>
      <c r="E30">
        <v>0.2</v>
      </c>
      <c r="G30" t="s">
        <v>49</v>
      </c>
      <c r="H30">
        <v>1</v>
      </c>
      <c r="I30">
        <v>0</v>
      </c>
      <c r="J30">
        <v>0</v>
      </c>
      <c r="L30">
        <v>29</v>
      </c>
      <c r="M30">
        <v>3.0678658051608573E-2</v>
      </c>
      <c r="N30">
        <v>3.9201291384586574E-3</v>
      </c>
      <c r="O30">
        <v>29</v>
      </c>
      <c r="P30">
        <v>1.0991817832460669E-2</v>
      </c>
      <c r="Q30">
        <v>3.9201291384586574E-3</v>
      </c>
      <c r="R30">
        <v>29</v>
      </c>
      <c r="S30">
        <v>8.5169971540378104E-3</v>
      </c>
      <c r="T30">
        <v>3.9201291384586574E-3</v>
      </c>
      <c r="AE30">
        <v>0.43000000000000022</v>
      </c>
      <c r="AF30">
        <v>-1.2056769958121596</v>
      </c>
      <c r="AG30">
        <v>-1.2826686180648572</v>
      </c>
      <c r="AI30">
        <v>29</v>
      </c>
      <c r="AJ30">
        <v>0.18429285282357113</v>
      </c>
      <c r="AK30">
        <v>0.5</v>
      </c>
      <c r="AT30">
        <v>0.43000000000000022</v>
      </c>
      <c r="AU30">
        <v>-1.2056769958121596</v>
      </c>
    </row>
    <row r="31" spans="1:47" x14ac:dyDescent="0.25">
      <c r="A31" t="s">
        <v>49</v>
      </c>
      <c r="B31">
        <v>5</v>
      </c>
      <c r="C31">
        <v>3.5</v>
      </c>
      <c r="D31">
        <v>1.6</v>
      </c>
      <c r="E31">
        <v>0.6</v>
      </c>
      <c r="G31" t="s">
        <v>49</v>
      </c>
      <c r="H31">
        <v>1</v>
      </c>
      <c r="I31">
        <v>0</v>
      </c>
      <c r="J31">
        <v>0</v>
      </c>
      <c r="L31">
        <v>30</v>
      </c>
      <c r="M31">
        <v>3.0500968737603152E-2</v>
      </c>
      <c r="N31">
        <v>4.1161355953815903E-3</v>
      </c>
      <c r="O31">
        <v>30</v>
      </c>
      <c r="P31">
        <v>1.0485877146929041E-2</v>
      </c>
      <c r="Q31">
        <v>4.1161355953815903E-3</v>
      </c>
      <c r="R31">
        <v>30</v>
      </c>
      <c r="S31">
        <v>7.7428277229261632E-3</v>
      </c>
      <c r="T31">
        <v>4.1161355953815903E-3</v>
      </c>
      <c r="AE31">
        <v>0.49000000000000027</v>
      </c>
      <c r="AF31">
        <v>-1.1538808626920265</v>
      </c>
      <c r="AG31">
        <v>-0.73398207976017105</v>
      </c>
      <c r="AI31">
        <v>30</v>
      </c>
      <c r="AJ31">
        <v>0.18417153840848183</v>
      </c>
      <c r="AK31">
        <v>1</v>
      </c>
      <c r="AT31">
        <v>0.49000000000000027</v>
      </c>
      <c r="AU31">
        <v>-1.1538808626920265</v>
      </c>
    </row>
    <row r="32" spans="1:47" x14ac:dyDescent="0.25">
      <c r="A32" t="s">
        <v>49</v>
      </c>
      <c r="B32">
        <v>5.2</v>
      </c>
      <c r="C32">
        <v>3.5</v>
      </c>
      <c r="D32">
        <v>1.5</v>
      </c>
      <c r="E32">
        <v>0.2</v>
      </c>
      <c r="G32" t="s">
        <v>49</v>
      </c>
      <c r="H32">
        <v>1</v>
      </c>
      <c r="I32">
        <v>0</v>
      </c>
      <c r="J32">
        <v>0</v>
      </c>
      <c r="L32">
        <v>31</v>
      </c>
      <c r="M32">
        <v>3.0317723337294041E-2</v>
      </c>
      <c r="N32">
        <v>4.3219423751506697E-3</v>
      </c>
      <c r="O32">
        <v>31</v>
      </c>
      <c r="P32">
        <v>9.964431763678611E-3</v>
      </c>
      <c r="Q32">
        <v>4.3219423751506697E-3</v>
      </c>
      <c r="R32">
        <v>31</v>
      </c>
      <c r="S32">
        <v>7.1455604902931971E-3</v>
      </c>
      <c r="T32">
        <v>4.3219423751506697E-3</v>
      </c>
      <c r="AE32">
        <v>0.28000000000000008</v>
      </c>
      <c r="AF32">
        <v>-0.66020255830828056</v>
      </c>
      <c r="AG32">
        <v>-0.66890140270493248</v>
      </c>
      <c r="AI32">
        <v>31</v>
      </c>
      <c r="AJ32">
        <v>0.18395771558922475</v>
      </c>
      <c r="AK32">
        <v>1</v>
      </c>
      <c r="AT32">
        <v>0.28000000000000008</v>
      </c>
      <c r="AU32">
        <v>-0.66020255830828056</v>
      </c>
    </row>
    <row r="33" spans="1:47" x14ac:dyDescent="0.25">
      <c r="A33" t="s">
        <v>49</v>
      </c>
      <c r="B33">
        <v>5.0999999999999996</v>
      </c>
      <c r="C33">
        <v>3.4</v>
      </c>
      <c r="D33">
        <v>1.5</v>
      </c>
      <c r="E33">
        <v>0.2</v>
      </c>
      <c r="G33" t="s">
        <v>49</v>
      </c>
      <c r="H33">
        <v>1</v>
      </c>
      <c r="I33">
        <v>0</v>
      </c>
      <c r="J33">
        <v>0</v>
      </c>
      <c r="L33">
        <v>32</v>
      </c>
      <c r="M33">
        <v>3.0127902478164017E-2</v>
      </c>
      <c r="N33">
        <v>4.5380394939082032E-3</v>
      </c>
      <c r="O33">
        <v>32</v>
      </c>
      <c r="P33">
        <v>9.4235032628611284E-3</v>
      </c>
      <c r="Q33">
        <v>4.5380394939082032E-3</v>
      </c>
      <c r="R33">
        <v>32</v>
      </c>
      <c r="S33">
        <v>6.6567417789499218E-3</v>
      </c>
      <c r="T33">
        <v>4.5380394939082032E-3</v>
      </c>
      <c r="AE33">
        <v>0.23000000000000007</v>
      </c>
      <c r="AF33">
        <v>-4.1548989416199569E-2</v>
      </c>
      <c r="AG33">
        <v>0.23486688362963903</v>
      </c>
      <c r="AI33">
        <v>32</v>
      </c>
      <c r="AJ33">
        <v>0.18317313000203664</v>
      </c>
      <c r="AK33">
        <v>1</v>
      </c>
      <c r="AT33">
        <v>0.23000000000000007</v>
      </c>
      <c r="AU33">
        <v>-4.1548989416199569E-2</v>
      </c>
    </row>
    <row r="34" spans="1:47" x14ac:dyDescent="0.25">
      <c r="A34" t="s">
        <v>49</v>
      </c>
      <c r="B34">
        <v>5</v>
      </c>
      <c r="C34">
        <v>3.3</v>
      </c>
      <c r="D34">
        <v>1.4</v>
      </c>
      <c r="E34">
        <v>0.2</v>
      </c>
      <c r="G34" t="s">
        <v>49</v>
      </c>
      <c r="H34">
        <v>1</v>
      </c>
      <c r="I34">
        <v>0</v>
      </c>
      <c r="J34">
        <v>0</v>
      </c>
      <c r="L34">
        <v>33</v>
      </c>
      <c r="M34">
        <v>2.9930388718629856E-2</v>
      </c>
      <c r="N34">
        <v>4.7649414686036133E-3</v>
      </c>
      <c r="O34">
        <v>33</v>
      </c>
      <c r="P34">
        <v>8.8601544267556762E-3</v>
      </c>
      <c r="Q34">
        <v>4.7649414686036133E-3</v>
      </c>
      <c r="R34">
        <v>33</v>
      </c>
      <c r="S34">
        <v>6.241592172384655E-3</v>
      </c>
      <c r="T34">
        <v>4.7649414686036133E-3</v>
      </c>
      <c r="AE34">
        <v>0.18000000000000002</v>
      </c>
      <c r="AF34">
        <v>0.89150683846706236</v>
      </c>
      <c r="AG34">
        <v>0.89518899796977891</v>
      </c>
      <c r="AI34">
        <v>33</v>
      </c>
      <c r="AJ34">
        <v>0.18120737076732263</v>
      </c>
      <c r="AK34">
        <v>1</v>
      </c>
      <c r="AT34">
        <v>0.18000000000000002</v>
      </c>
      <c r="AU34">
        <v>0.89150683846706236</v>
      </c>
    </row>
    <row r="35" spans="1:47" x14ac:dyDescent="0.25">
      <c r="A35" t="s">
        <v>49</v>
      </c>
      <c r="B35">
        <v>5</v>
      </c>
      <c r="C35">
        <v>3.4</v>
      </c>
      <c r="D35">
        <v>1.6</v>
      </c>
      <c r="E35">
        <v>0.4</v>
      </c>
      <c r="G35" t="s">
        <v>49</v>
      </c>
      <c r="H35">
        <v>1</v>
      </c>
      <c r="I35">
        <v>0</v>
      </c>
      <c r="J35">
        <v>0</v>
      </c>
      <c r="L35">
        <v>34</v>
      </c>
      <c r="M35">
        <v>2.9723976038315104E-2</v>
      </c>
      <c r="N35">
        <v>5.0031885420337941E-3</v>
      </c>
      <c r="O35">
        <v>34</v>
      </c>
      <c r="P35">
        <v>8.2717425321923131E-3</v>
      </c>
      <c r="Q35">
        <v>5.0031885420337941E-3</v>
      </c>
      <c r="R35">
        <v>34</v>
      </c>
      <c r="S35">
        <v>5.8863438317816579E-3</v>
      </c>
      <c r="T35">
        <v>5.0031885420337941E-3</v>
      </c>
      <c r="AE35">
        <v>0.76000000000000045</v>
      </c>
      <c r="AF35">
        <v>-0.39809084462793204</v>
      </c>
      <c r="AG35">
        <v>-0.46994690838887365</v>
      </c>
      <c r="AI35">
        <v>34</v>
      </c>
      <c r="AJ35">
        <v>0.17635514013372874</v>
      </c>
      <c r="AK35">
        <v>1</v>
      </c>
      <c r="AT35">
        <v>0.76000000000000045</v>
      </c>
      <c r="AU35">
        <v>-0.39809084462793204</v>
      </c>
    </row>
    <row r="36" spans="1:47" x14ac:dyDescent="0.25">
      <c r="A36" t="s">
        <v>49</v>
      </c>
      <c r="B36">
        <v>5.2</v>
      </c>
      <c r="C36">
        <v>3.4</v>
      </c>
      <c r="D36">
        <v>1.4</v>
      </c>
      <c r="E36">
        <v>0.2</v>
      </c>
      <c r="G36" t="s">
        <v>49</v>
      </c>
      <c r="H36">
        <v>1</v>
      </c>
      <c r="I36">
        <v>0</v>
      </c>
      <c r="J36">
        <v>0</v>
      </c>
      <c r="L36">
        <v>35</v>
      </c>
      <c r="M36">
        <v>2.9507383684151775E-2</v>
      </c>
      <c r="N36">
        <v>5.2533479691354839E-3</v>
      </c>
      <c r="O36">
        <v>35</v>
      </c>
      <c r="P36">
        <v>7.6548788803302969E-3</v>
      </c>
      <c r="Q36">
        <v>5.2533479691354839E-3</v>
      </c>
      <c r="R36">
        <v>35</v>
      </c>
      <c r="S36">
        <v>5.5682259222684417E-3</v>
      </c>
      <c r="T36">
        <v>5.2533479691354839E-3</v>
      </c>
      <c r="AE36">
        <v>0.13999999999999999</v>
      </c>
      <c r="AF36">
        <v>0.89803675613146738</v>
      </c>
      <c r="AG36">
        <v>1.1724269464714894</v>
      </c>
      <c r="AI36">
        <v>35</v>
      </c>
      <c r="AJ36">
        <v>0.173217358683426</v>
      </c>
      <c r="AK36">
        <v>1</v>
      </c>
      <c r="AT36">
        <v>0.13999999999999999</v>
      </c>
      <c r="AU36">
        <v>0.89803675613146738</v>
      </c>
    </row>
    <row r="37" spans="1:47" x14ac:dyDescent="0.25">
      <c r="A37" t="s">
        <v>49</v>
      </c>
      <c r="B37">
        <v>5</v>
      </c>
      <c r="C37">
        <v>3.2</v>
      </c>
      <c r="D37">
        <v>1.2</v>
      </c>
      <c r="E37">
        <v>0.2</v>
      </c>
      <c r="G37" t="s">
        <v>49</v>
      </c>
      <c r="H37">
        <v>1</v>
      </c>
      <c r="I37">
        <v>0</v>
      </c>
      <c r="J37">
        <v>0</v>
      </c>
      <c r="L37">
        <v>36</v>
      </c>
      <c r="M37">
        <v>2.9279275223144809E-2</v>
      </c>
      <c r="N37">
        <v>5.5160153675922587E-3</v>
      </c>
      <c r="O37">
        <v>36</v>
      </c>
      <c r="P37">
        <v>7.0052915073004285E-3</v>
      </c>
      <c r="Q37">
        <v>5.5160153675922587E-3</v>
      </c>
      <c r="R37">
        <v>36</v>
      </c>
      <c r="S37">
        <v>5.2432760549427767E-3</v>
      </c>
      <c r="T37">
        <v>5.5160153675922587E-3</v>
      </c>
      <c r="AE37">
        <v>0.38000000000000017</v>
      </c>
      <c r="AF37">
        <v>-1.7917624268449821</v>
      </c>
      <c r="AG37">
        <v>-1.4846247002140771</v>
      </c>
      <c r="AI37">
        <v>36</v>
      </c>
      <c r="AJ37">
        <v>0.17074414084260045</v>
      </c>
      <c r="AK37">
        <v>1</v>
      </c>
      <c r="AT37">
        <v>0.38000000000000017</v>
      </c>
      <c r="AU37">
        <v>-1.7917624268449821</v>
      </c>
    </row>
    <row r="38" spans="1:47" x14ac:dyDescent="0.25">
      <c r="A38" t="s">
        <v>49</v>
      </c>
      <c r="B38">
        <v>4.8</v>
      </c>
      <c r="C38">
        <v>3.1</v>
      </c>
      <c r="D38">
        <v>1.6</v>
      </c>
      <c r="E38">
        <v>0.2</v>
      </c>
      <c r="G38" t="s">
        <v>49</v>
      </c>
      <c r="H38">
        <v>1</v>
      </c>
      <c r="I38">
        <v>0</v>
      </c>
      <c r="J38">
        <v>0</v>
      </c>
      <c r="L38">
        <v>37</v>
      </c>
      <c r="M38">
        <v>2.9038283604474621E-2</v>
      </c>
      <c r="N38">
        <v>5.7918161359718718E-3</v>
      </c>
      <c r="O38">
        <v>37</v>
      </c>
      <c r="P38">
        <v>6.3350040422180346E-3</v>
      </c>
      <c r="Q38">
        <v>5.7918161359718718E-3</v>
      </c>
      <c r="R38">
        <v>37</v>
      </c>
      <c r="S38">
        <v>4.867685520618472E-3</v>
      </c>
      <c r="T38">
        <v>5.7918161359718718E-3</v>
      </c>
      <c r="AE38">
        <v>0.87000000000000055</v>
      </c>
      <c r="AF38">
        <v>-0.87528665264445038</v>
      </c>
      <c r="AG38">
        <v>-0.92295839094332877</v>
      </c>
      <c r="AI38">
        <v>37</v>
      </c>
      <c r="AJ38">
        <v>0.16494226132087397</v>
      </c>
      <c r="AK38">
        <v>1</v>
      </c>
      <c r="AT38">
        <v>0.87000000000000055</v>
      </c>
      <c r="AU38">
        <v>-0.87528665264445038</v>
      </c>
    </row>
    <row r="39" spans="1:47" x14ac:dyDescent="0.25">
      <c r="A39" t="s">
        <v>49</v>
      </c>
      <c r="B39">
        <v>4.9000000000000004</v>
      </c>
      <c r="C39">
        <v>3.1</v>
      </c>
      <c r="D39">
        <v>1.5</v>
      </c>
      <c r="E39">
        <v>0.1</v>
      </c>
      <c r="G39" t="s">
        <v>49</v>
      </c>
      <c r="H39">
        <v>1</v>
      </c>
      <c r="I39">
        <v>0</v>
      </c>
      <c r="J39">
        <v>0</v>
      </c>
      <c r="L39">
        <v>38</v>
      </c>
      <c r="M39">
        <v>2.8783042718352626E-2</v>
      </c>
      <c r="N39">
        <v>6.081406942770466E-3</v>
      </c>
      <c r="O39">
        <v>38</v>
      </c>
      <c r="P39">
        <v>5.6728805026670225E-3</v>
      </c>
      <c r="Q39">
        <v>6.081406942770466E-3</v>
      </c>
      <c r="R39">
        <v>38</v>
      </c>
      <c r="S39">
        <v>4.453921236065886E-3</v>
      </c>
      <c r="T39">
        <v>6.081406942770466E-3</v>
      </c>
      <c r="AE39">
        <v>0.90000000000000058</v>
      </c>
      <c r="AF39">
        <v>-0.42527060030863312</v>
      </c>
      <c r="AG39">
        <v>-0.59165964953154315</v>
      </c>
      <c r="AI39">
        <v>38</v>
      </c>
      <c r="AJ39">
        <v>0.16347894128722965</v>
      </c>
      <c r="AK39">
        <v>0.5</v>
      </c>
      <c r="AT39">
        <v>0.90000000000000058</v>
      </c>
      <c r="AU39">
        <v>-0.42527060030863312</v>
      </c>
    </row>
    <row r="40" spans="1:47" x14ac:dyDescent="0.25">
      <c r="A40" t="s">
        <v>49</v>
      </c>
      <c r="B40">
        <v>4.9000000000000004</v>
      </c>
      <c r="C40">
        <v>3.1</v>
      </c>
      <c r="D40">
        <v>1.5</v>
      </c>
      <c r="E40">
        <v>0.1</v>
      </c>
      <c r="G40" t="s">
        <v>49</v>
      </c>
      <c r="H40">
        <v>1</v>
      </c>
      <c r="I40">
        <v>0</v>
      </c>
      <c r="J40">
        <v>0</v>
      </c>
      <c r="L40">
        <v>39</v>
      </c>
      <c r="M40">
        <v>2.8512225365032617E-2</v>
      </c>
      <c r="N40">
        <v>6.3854772899089897E-3</v>
      </c>
      <c r="O40">
        <v>39</v>
      </c>
      <c r="P40">
        <v>5.0478679624120452E-3</v>
      </c>
      <c r="Q40">
        <v>6.3854772899089897E-3</v>
      </c>
      <c r="R40">
        <v>39</v>
      </c>
      <c r="S40">
        <v>4.0680282109633887E-3</v>
      </c>
      <c r="T40">
        <v>6.3854772899089897E-3</v>
      </c>
      <c r="AE40">
        <v>0.86000000000000054</v>
      </c>
      <c r="AF40">
        <v>-0.85076431090730442</v>
      </c>
      <c r="AG40">
        <v>-0.94806326596321</v>
      </c>
      <c r="AI40">
        <v>39</v>
      </c>
      <c r="AJ40">
        <v>0.1608518723338121</v>
      </c>
      <c r="AK40">
        <v>1</v>
      </c>
      <c r="AT40">
        <v>0.86000000000000054</v>
      </c>
      <c r="AU40">
        <v>-0.85076431090730442</v>
      </c>
    </row>
    <row r="41" spans="1:47" x14ac:dyDescent="0.25">
      <c r="A41" t="s">
        <v>49</v>
      </c>
      <c r="B41">
        <v>4.9000000000000004</v>
      </c>
      <c r="C41">
        <v>3.1</v>
      </c>
      <c r="D41">
        <v>1.5</v>
      </c>
      <c r="E41">
        <v>0.1</v>
      </c>
      <c r="G41" t="s">
        <v>49</v>
      </c>
      <c r="H41">
        <v>1</v>
      </c>
      <c r="I41">
        <v>0</v>
      </c>
      <c r="J41">
        <v>0</v>
      </c>
      <c r="L41">
        <v>40</v>
      </c>
      <c r="M41">
        <v>2.8224586902340126E-2</v>
      </c>
      <c r="N41">
        <v>6.7047511544044399E-3</v>
      </c>
      <c r="O41">
        <v>40</v>
      </c>
      <c r="P41">
        <v>4.4796621688987046E-3</v>
      </c>
      <c r="Q41">
        <v>6.7047511544044399E-3</v>
      </c>
      <c r="R41">
        <v>40</v>
      </c>
      <c r="S41">
        <v>3.7193977644486504E-3</v>
      </c>
      <c r="T41">
        <v>6.7047511544044399E-3</v>
      </c>
      <c r="AE41">
        <v>0.46000000000000024</v>
      </c>
      <c r="AF41">
        <v>-0.9709511362109251</v>
      </c>
      <c r="AG41">
        <v>-1.0414247535939118</v>
      </c>
      <c r="AI41">
        <v>40</v>
      </c>
      <c r="AJ41">
        <v>0.15874178677202613</v>
      </c>
      <c r="AK41">
        <v>0.5</v>
      </c>
      <c r="AT41">
        <v>0.46000000000000024</v>
      </c>
      <c r="AU41">
        <v>-0.9709511362109251</v>
      </c>
    </row>
    <row r="42" spans="1:47" x14ac:dyDescent="0.25">
      <c r="A42" t="s">
        <v>49</v>
      </c>
      <c r="B42">
        <v>4.8</v>
      </c>
      <c r="C42">
        <v>3</v>
      </c>
      <c r="D42">
        <v>1.4</v>
      </c>
      <c r="E42">
        <v>0.1</v>
      </c>
      <c r="G42" t="s">
        <v>49</v>
      </c>
      <c r="H42">
        <v>1</v>
      </c>
      <c r="I42">
        <v>0</v>
      </c>
      <c r="J42">
        <v>0</v>
      </c>
      <c r="L42">
        <v>41</v>
      </c>
      <c r="M42">
        <v>2.7919013472306384E-2</v>
      </c>
      <c r="N42">
        <v>7.0399887121246618E-3</v>
      </c>
      <c r="O42">
        <v>41</v>
      </c>
      <c r="P42">
        <v>3.9799555844178859E-3</v>
      </c>
      <c r="Q42">
        <v>7.0399887121246618E-3</v>
      </c>
      <c r="R42">
        <v>41</v>
      </c>
      <c r="S42">
        <v>3.3687937544013059E-3</v>
      </c>
      <c r="T42">
        <v>7.0399887121246618E-3</v>
      </c>
      <c r="AE42">
        <v>0.62000000000000033</v>
      </c>
      <c r="AF42">
        <v>0.26751905927586772</v>
      </c>
      <c r="AG42">
        <v>0.57128098558172269</v>
      </c>
      <c r="AI42">
        <v>41</v>
      </c>
      <c r="AJ42">
        <v>0.15699510518894577</v>
      </c>
      <c r="AK42">
        <v>1</v>
      </c>
      <c r="AT42">
        <v>0.62000000000000033</v>
      </c>
      <c r="AU42">
        <v>0.26751905927586772</v>
      </c>
    </row>
    <row r="43" spans="1:47" x14ac:dyDescent="0.25">
      <c r="A43" t="s">
        <v>49</v>
      </c>
      <c r="B43">
        <v>5.7</v>
      </c>
      <c r="C43">
        <v>3.8</v>
      </c>
      <c r="D43">
        <v>1.7</v>
      </c>
      <c r="E43">
        <v>0.3</v>
      </c>
      <c r="G43" t="s">
        <v>49</v>
      </c>
      <c r="H43">
        <v>1</v>
      </c>
      <c r="I43">
        <v>0</v>
      </c>
      <c r="J43">
        <v>0</v>
      </c>
      <c r="L43">
        <v>42</v>
      </c>
      <c r="M43">
        <v>2.7594573982027023E-2</v>
      </c>
      <c r="N43">
        <v>7.3919881477308956E-3</v>
      </c>
      <c r="O43">
        <v>42</v>
      </c>
      <c r="P43">
        <v>3.5561873441086909E-3</v>
      </c>
      <c r="Q43">
        <v>7.3919881477308956E-3</v>
      </c>
      <c r="R43">
        <v>42</v>
      </c>
      <c r="S43">
        <v>3.0238892447186096E-3</v>
      </c>
      <c r="T43">
        <v>7.3919881477308956E-3</v>
      </c>
      <c r="AE43">
        <v>0.27000000000000007</v>
      </c>
      <c r="AF43">
        <v>-0.96662666902966632</v>
      </c>
      <c r="AG43">
        <v>-0.49149336298475177</v>
      </c>
      <c r="AI43">
        <v>42</v>
      </c>
      <c r="AJ43">
        <v>0.15642380709909745</v>
      </c>
      <c r="AK43">
        <v>0.5</v>
      </c>
      <c r="AT43">
        <v>0.27000000000000007</v>
      </c>
      <c r="AU43">
        <v>-0.96662666902966632</v>
      </c>
    </row>
    <row r="44" spans="1:47" x14ac:dyDescent="0.25">
      <c r="A44" t="s">
        <v>49</v>
      </c>
      <c r="B44">
        <v>5.5</v>
      </c>
      <c r="C44">
        <v>3.5</v>
      </c>
      <c r="D44">
        <v>1.3</v>
      </c>
      <c r="E44">
        <v>0.2</v>
      </c>
      <c r="G44" t="s">
        <v>49</v>
      </c>
      <c r="H44">
        <v>1</v>
      </c>
      <c r="I44">
        <v>0</v>
      </c>
      <c r="J44">
        <v>0</v>
      </c>
      <c r="L44">
        <v>43</v>
      </c>
      <c r="M44">
        <v>2.7250576084595066E-2</v>
      </c>
      <c r="N44">
        <v>7.7615875551174411E-3</v>
      </c>
      <c r="O44">
        <v>43</v>
      </c>
      <c r="P44">
        <v>3.2129317825175877E-3</v>
      </c>
      <c r="Q44">
        <v>7.7615875551174411E-3</v>
      </c>
      <c r="R44">
        <v>43</v>
      </c>
      <c r="S44">
        <v>2.6935733782571403E-3</v>
      </c>
      <c r="T44">
        <v>7.7615875551174411E-3</v>
      </c>
      <c r="AE44">
        <v>0.31000000000000011</v>
      </c>
      <c r="AF44">
        <v>-1.5462311780104703</v>
      </c>
      <c r="AG44">
        <v>-1.1171505031981077</v>
      </c>
      <c r="AI44">
        <v>43</v>
      </c>
      <c r="AJ44">
        <v>0.15581633998521327</v>
      </c>
      <c r="AK44">
        <v>1</v>
      </c>
      <c r="AT44">
        <v>0.31000000000000011</v>
      </c>
      <c r="AU44">
        <v>-1.5462311780104703</v>
      </c>
    </row>
    <row r="45" spans="1:47" x14ac:dyDescent="0.25">
      <c r="A45" t="s">
        <v>49</v>
      </c>
      <c r="B45">
        <v>4.8</v>
      </c>
      <c r="C45">
        <v>3</v>
      </c>
      <c r="D45">
        <v>1.4</v>
      </c>
      <c r="E45">
        <v>0.3</v>
      </c>
      <c r="G45" t="s">
        <v>49</v>
      </c>
      <c r="H45">
        <v>1</v>
      </c>
      <c r="I45">
        <v>0</v>
      </c>
      <c r="J45">
        <v>0</v>
      </c>
      <c r="L45">
        <v>44</v>
      </c>
      <c r="M45">
        <v>2.688662807928735E-2</v>
      </c>
      <c r="N45">
        <v>8.1496669328733132E-3</v>
      </c>
      <c r="O45">
        <v>44</v>
      </c>
      <c r="P45">
        <v>2.9503774452218526E-3</v>
      </c>
      <c r="Q45">
        <v>8.1496669328733132E-3</v>
      </c>
      <c r="R45">
        <v>44</v>
      </c>
      <c r="S45">
        <v>2.3789113808972834E-3</v>
      </c>
      <c r="T45">
        <v>8.1496669328733132E-3</v>
      </c>
      <c r="AE45">
        <v>0.32000000000000012</v>
      </c>
      <c r="AF45">
        <v>-1.329852558034371</v>
      </c>
      <c r="AG45">
        <v>-1.2289939731987829</v>
      </c>
      <c r="AI45">
        <v>44</v>
      </c>
      <c r="AJ45">
        <v>0.15518551231999461</v>
      </c>
      <c r="AK45">
        <v>1</v>
      </c>
      <c r="AT45">
        <v>0.32000000000000012</v>
      </c>
      <c r="AU45">
        <v>-1.329852558034371</v>
      </c>
    </row>
    <row r="46" spans="1:47" x14ac:dyDescent="0.25">
      <c r="A46" t="s">
        <v>49</v>
      </c>
      <c r="B46">
        <v>4.9000000000000004</v>
      </c>
      <c r="C46">
        <v>3</v>
      </c>
      <c r="D46">
        <v>1.4</v>
      </c>
      <c r="E46">
        <v>0.2</v>
      </c>
      <c r="G46" t="s">
        <v>49</v>
      </c>
      <c r="H46">
        <v>1</v>
      </c>
      <c r="I46">
        <v>0</v>
      </c>
      <c r="J46">
        <v>0</v>
      </c>
      <c r="L46">
        <v>45</v>
      </c>
      <c r="M46">
        <v>2.6502710530708927E-2</v>
      </c>
      <c r="N46">
        <v>8.5571502795169785E-3</v>
      </c>
      <c r="O46">
        <v>45</v>
      </c>
      <c r="P46">
        <v>2.7627442977921179E-3</v>
      </c>
      <c r="Q46">
        <v>8.5571502795169785E-3</v>
      </c>
      <c r="R46">
        <v>45</v>
      </c>
      <c r="S46">
        <v>2.1220712648578706E-3</v>
      </c>
      <c r="T46">
        <v>8.5571502795169785E-3</v>
      </c>
      <c r="AE46">
        <v>0.21000000000000005</v>
      </c>
      <c r="AF46">
        <v>0.48957904940925523</v>
      </c>
      <c r="AG46">
        <v>0.54537912342365047</v>
      </c>
      <c r="AI46">
        <v>45</v>
      </c>
      <c r="AJ46">
        <v>0.15470074657995841</v>
      </c>
      <c r="AK46">
        <v>1</v>
      </c>
      <c r="AT46">
        <v>0.21000000000000005</v>
      </c>
      <c r="AU46">
        <v>0.48957904940925523</v>
      </c>
    </row>
    <row r="47" spans="1:47" x14ac:dyDescent="0.25">
      <c r="A47" t="s">
        <v>49</v>
      </c>
      <c r="B47">
        <v>5.0999999999999996</v>
      </c>
      <c r="C47">
        <v>3.3</v>
      </c>
      <c r="D47">
        <v>1.7</v>
      </c>
      <c r="E47">
        <v>0.5</v>
      </c>
      <c r="G47" t="s">
        <v>49</v>
      </c>
      <c r="H47">
        <v>1</v>
      </c>
      <c r="I47">
        <v>0</v>
      </c>
      <c r="J47">
        <v>0</v>
      </c>
      <c r="L47">
        <v>46</v>
      </c>
      <c r="M47">
        <v>2.6099263255679857E-2</v>
      </c>
      <c r="N47">
        <v>8.9850077934928285E-3</v>
      </c>
      <c r="O47">
        <v>46</v>
      </c>
      <c r="P47">
        <v>2.6403337314986086E-3</v>
      </c>
      <c r="Q47">
        <v>8.9850077934928285E-3</v>
      </c>
      <c r="R47">
        <v>46</v>
      </c>
      <c r="S47">
        <v>1.9445632955689025E-3</v>
      </c>
      <c r="T47">
        <v>8.9850077934928285E-3</v>
      </c>
      <c r="AE47">
        <v>0.10999999999999999</v>
      </c>
      <c r="AF47">
        <v>0.98760010564206324</v>
      </c>
      <c r="AG47">
        <v>1.2972799252990939</v>
      </c>
      <c r="AI47">
        <v>46</v>
      </c>
      <c r="AJ47">
        <v>0.15444882597689896</v>
      </c>
      <c r="AK47">
        <v>1</v>
      </c>
      <c r="AT47">
        <v>0.10999999999999999</v>
      </c>
      <c r="AU47">
        <v>0.98760010564206324</v>
      </c>
    </row>
    <row r="48" spans="1:47" x14ac:dyDescent="0.25">
      <c r="A48" t="s">
        <v>49</v>
      </c>
      <c r="B48">
        <v>5.4</v>
      </c>
      <c r="C48">
        <v>3.4</v>
      </c>
      <c r="D48">
        <v>1.7</v>
      </c>
      <c r="E48">
        <v>0.2</v>
      </c>
      <c r="G48" t="s">
        <v>49</v>
      </c>
      <c r="H48">
        <v>1</v>
      </c>
      <c r="I48">
        <v>0</v>
      </c>
      <c r="J48">
        <v>0</v>
      </c>
      <c r="L48">
        <v>47</v>
      </c>
      <c r="M48">
        <v>2.5677295249029376E-2</v>
      </c>
      <c r="N48">
        <v>9.43425818316747E-3</v>
      </c>
      <c r="O48">
        <v>47</v>
      </c>
      <c r="P48">
        <v>2.5730924022490209E-3</v>
      </c>
      <c r="Q48">
        <v>9.43425818316747E-3</v>
      </c>
      <c r="R48">
        <v>47</v>
      </c>
      <c r="S48">
        <v>2.0383372293588304E-3</v>
      </c>
      <c r="T48">
        <v>9.43425818316747E-3</v>
      </c>
      <c r="AE48">
        <v>0.55000000000000027</v>
      </c>
      <c r="AF48">
        <v>-0.43597909668473295</v>
      </c>
      <c r="AG48">
        <v>-1.643658600156428E-2</v>
      </c>
      <c r="AI48">
        <v>47</v>
      </c>
      <c r="AJ48">
        <v>0.15435437787630718</v>
      </c>
      <c r="AK48">
        <v>1</v>
      </c>
      <c r="AT48">
        <v>0.55000000000000027</v>
      </c>
      <c r="AU48">
        <v>-0.43597909668473295</v>
      </c>
    </row>
    <row r="49" spans="1:47" x14ac:dyDescent="0.25">
      <c r="A49" t="s">
        <v>49</v>
      </c>
      <c r="B49">
        <v>5.4</v>
      </c>
      <c r="C49">
        <v>3.4</v>
      </c>
      <c r="D49">
        <v>1.5</v>
      </c>
      <c r="E49">
        <v>0.4</v>
      </c>
      <c r="G49" t="s">
        <v>49</v>
      </c>
      <c r="H49">
        <v>1</v>
      </c>
      <c r="I49">
        <v>0</v>
      </c>
      <c r="J49">
        <v>0</v>
      </c>
      <c r="L49">
        <v>48</v>
      </c>
      <c r="M49">
        <v>2.5238527290204375E-2</v>
      </c>
      <c r="N49">
        <v>9.9059710923258444E-3</v>
      </c>
      <c r="O49">
        <v>48</v>
      </c>
      <c r="P49">
        <v>2.5466107068986806E-3</v>
      </c>
      <c r="Q49">
        <v>9.9059710923258444E-3</v>
      </c>
      <c r="R49">
        <v>48</v>
      </c>
      <c r="S49">
        <v>2.0206797963282386E-3</v>
      </c>
      <c r="T49">
        <v>9.4342581831674706E-4</v>
      </c>
      <c r="AE49">
        <v>0.47000000000000025</v>
      </c>
      <c r="AF49">
        <v>-0.5545597777602792</v>
      </c>
      <c r="AG49">
        <v>-0.94539169043006765</v>
      </c>
      <c r="AI49">
        <v>48</v>
      </c>
      <c r="AJ49">
        <v>0.1542180420861482</v>
      </c>
      <c r="AK49">
        <v>1</v>
      </c>
      <c r="AT49">
        <v>0.47000000000000025</v>
      </c>
      <c r="AU49">
        <v>-0.5545597777602792</v>
      </c>
    </row>
    <row r="50" spans="1:47" x14ac:dyDescent="0.25">
      <c r="A50" t="s">
        <v>49</v>
      </c>
      <c r="B50">
        <v>5</v>
      </c>
      <c r="C50">
        <v>3</v>
      </c>
      <c r="D50">
        <v>1.6</v>
      </c>
      <c r="E50">
        <v>0.2</v>
      </c>
      <c r="G50" t="s">
        <v>49</v>
      </c>
      <c r="H50">
        <v>1</v>
      </c>
      <c r="I50">
        <v>0</v>
      </c>
      <c r="J50">
        <v>0</v>
      </c>
      <c r="L50">
        <v>49</v>
      </c>
      <c r="M50">
        <v>2.478557907236029E-2</v>
      </c>
      <c r="N50">
        <v>1.0401269646942136E-2</v>
      </c>
      <c r="O50">
        <v>49</v>
      </c>
      <c r="P50">
        <v>2.5397045143915019E-3</v>
      </c>
      <c r="Q50">
        <v>1.0401269646942136E-2</v>
      </c>
      <c r="R50">
        <v>49</v>
      </c>
      <c r="S50">
        <v>1.8940574921899188E-3</v>
      </c>
      <c r="T50">
        <v>9.4342581831674717E-5</v>
      </c>
      <c r="AE50">
        <v>0.39000000000000018</v>
      </c>
      <c r="AF50">
        <v>-1.3188145780024696</v>
      </c>
      <c r="AG50">
        <v>-1.4684529282460019</v>
      </c>
      <c r="AI50">
        <v>49</v>
      </c>
      <c r="AJ50">
        <v>0.15407447555606082</v>
      </c>
      <c r="AK50">
        <v>1</v>
      </c>
      <c r="AT50">
        <v>0.39000000000000018</v>
      </c>
      <c r="AU50">
        <v>-1.3188145780024696</v>
      </c>
    </row>
    <row r="51" spans="1:47" x14ac:dyDescent="0.25">
      <c r="A51" t="s">
        <v>49</v>
      </c>
      <c r="B51">
        <v>4.5</v>
      </c>
      <c r="C51">
        <v>2.2999999999999998</v>
      </c>
      <c r="D51">
        <v>1.3</v>
      </c>
      <c r="E51">
        <v>0.3</v>
      </c>
      <c r="G51" t="s">
        <v>49</v>
      </c>
      <c r="H51">
        <v>1</v>
      </c>
      <c r="I51">
        <v>0</v>
      </c>
      <c r="J51">
        <v>0</v>
      </c>
      <c r="L51">
        <v>50</v>
      </c>
      <c r="M51">
        <v>2.4322213341887462E-2</v>
      </c>
      <c r="N51">
        <v>1.0921333129289244E-2</v>
      </c>
      <c r="O51">
        <v>50</v>
      </c>
      <c r="P51">
        <v>2.537050283950897E-3</v>
      </c>
      <c r="Q51">
        <v>1.0921333129289244E-2</v>
      </c>
      <c r="R51">
        <v>50</v>
      </c>
      <c r="S51">
        <v>1.8826627567307061E-3</v>
      </c>
      <c r="T51">
        <v>9.9059710923258456E-5</v>
      </c>
      <c r="AE51">
        <v>0.26000000000000006</v>
      </c>
      <c r="AF51">
        <v>-1.0060189757556215E-2</v>
      </c>
      <c r="AG51">
        <v>-0.30731395619110558</v>
      </c>
      <c r="AI51">
        <v>50</v>
      </c>
      <c r="AJ51">
        <v>0.15304087455525783</v>
      </c>
      <c r="AK51">
        <v>1</v>
      </c>
      <c r="AT51">
        <v>0.26000000000000006</v>
      </c>
      <c r="AU51">
        <v>-1.0060189757556215E-2</v>
      </c>
    </row>
    <row r="52" spans="1:47" x14ac:dyDescent="0.25">
      <c r="A52" t="s">
        <v>50</v>
      </c>
      <c r="B52">
        <v>5.0999999999999996</v>
      </c>
      <c r="C52">
        <v>2.5</v>
      </c>
      <c r="D52">
        <v>3</v>
      </c>
      <c r="E52">
        <v>1.1000000000000001</v>
      </c>
      <c r="G52" t="s">
        <v>50</v>
      </c>
      <c r="H52">
        <v>0</v>
      </c>
      <c r="I52">
        <v>1</v>
      </c>
      <c r="J52">
        <v>0</v>
      </c>
      <c r="L52">
        <v>51</v>
      </c>
      <c r="M52">
        <v>2.3853645703176485E-2</v>
      </c>
      <c r="N52">
        <v>1.1467399785753707E-2</v>
      </c>
      <c r="O52">
        <v>51</v>
      </c>
      <c r="P52">
        <v>2.5414870172035188E-3</v>
      </c>
      <c r="Q52">
        <v>1.1467399785753707E-2</v>
      </c>
      <c r="R52">
        <v>51</v>
      </c>
      <c r="S52">
        <v>1.8748284344374611E-3</v>
      </c>
      <c r="T52">
        <v>1.0401269646942138E-4</v>
      </c>
      <c r="AE52">
        <v>0.51000000000000023</v>
      </c>
      <c r="AF52">
        <v>-0.91869269247967678</v>
      </c>
      <c r="AG52">
        <v>-0.5023307916673474</v>
      </c>
      <c r="AI52">
        <v>51</v>
      </c>
      <c r="AJ52">
        <v>0.14857855333880476</v>
      </c>
      <c r="AK52">
        <v>5.5</v>
      </c>
      <c r="AT52">
        <v>0.51000000000000023</v>
      </c>
      <c r="AU52">
        <v>-0.91869269247967678</v>
      </c>
    </row>
    <row r="53" spans="1:47" x14ac:dyDescent="0.25">
      <c r="A53" t="s">
        <v>50</v>
      </c>
      <c r="B53">
        <v>4.9000000000000004</v>
      </c>
      <c r="C53">
        <v>2.4</v>
      </c>
      <c r="D53">
        <v>3.3</v>
      </c>
      <c r="E53">
        <v>1</v>
      </c>
      <c r="G53" t="s">
        <v>50</v>
      </c>
      <c r="H53">
        <v>0</v>
      </c>
      <c r="I53">
        <v>1</v>
      </c>
      <c r="J53">
        <v>0</v>
      </c>
      <c r="L53">
        <v>52</v>
      </c>
      <c r="M53">
        <v>2.3386915537464151E-2</v>
      </c>
      <c r="N53">
        <v>1.2040769775041392E-2</v>
      </c>
      <c r="O53">
        <v>52</v>
      </c>
      <c r="P53">
        <v>1.6377350836874131E-3</v>
      </c>
      <c r="Q53">
        <v>1.1467399785753706E-3</v>
      </c>
      <c r="R53">
        <v>52</v>
      </c>
      <c r="S53">
        <v>1.8685193478047597E-3</v>
      </c>
      <c r="T53">
        <v>1.0921333129289245E-4</v>
      </c>
      <c r="AE53">
        <v>0.11999999999999998</v>
      </c>
      <c r="AF53">
        <v>1.1976128997196374</v>
      </c>
      <c r="AG53">
        <v>1.2600110568691285</v>
      </c>
      <c r="AI53">
        <v>52</v>
      </c>
      <c r="AJ53">
        <v>0.14592698214345787</v>
      </c>
      <c r="AK53">
        <v>0.5</v>
      </c>
      <c r="AT53">
        <v>0.11999999999999998</v>
      </c>
      <c r="AU53">
        <v>1.1976128997196374</v>
      </c>
    </row>
    <row r="54" spans="1:47" x14ac:dyDescent="0.25">
      <c r="A54" t="s">
        <v>50</v>
      </c>
      <c r="B54">
        <v>6</v>
      </c>
      <c r="C54">
        <v>3.4</v>
      </c>
      <c r="D54">
        <v>4.5</v>
      </c>
      <c r="E54">
        <v>1.6</v>
      </c>
      <c r="G54" t="s">
        <v>50</v>
      </c>
      <c r="H54">
        <v>0</v>
      </c>
      <c r="I54">
        <v>1</v>
      </c>
      <c r="J54">
        <v>0</v>
      </c>
      <c r="L54">
        <v>53</v>
      </c>
      <c r="M54">
        <v>2.2931285996307942E-2</v>
      </c>
      <c r="N54">
        <v>1.2642808263793463E-2</v>
      </c>
      <c r="O54">
        <v>53</v>
      </c>
      <c r="P54">
        <v>1.6047962773400851E-3</v>
      </c>
      <c r="Q54">
        <v>1.2040769775041392E-3</v>
      </c>
      <c r="R54">
        <v>53</v>
      </c>
      <c r="S54">
        <v>1.8628103047177711E-3</v>
      </c>
      <c r="T54">
        <v>1.1467399785753708E-4</v>
      </c>
      <c r="AE54">
        <v>0.53000000000000025</v>
      </c>
      <c r="AF54">
        <v>-3.0053910885582177E-2</v>
      </c>
      <c r="AG54">
        <v>-0.25916095414709517</v>
      </c>
      <c r="AI54">
        <v>53</v>
      </c>
      <c r="AJ54">
        <v>0.14234001511270694</v>
      </c>
      <c r="AK54">
        <v>1</v>
      </c>
      <c r="AT54">
        <v>0.53000000000000025</v>
      </c>
      <c r="AU54">
        <v>-3.0053910885582177E-2</v>
      </c>
    </row>
    <row r="55" spans="1:47" x14ac:dyDescent="0.25">
      <c r="A55" t="s">
        <v>50</v>
      </c>
      <c r="B55">
        <v>5.4</v>
      </c>
      <c r="C55">
        <v>3</v>
      </c>
      <c r="D55">
        <v>4.5</v>
      </c>
      <c r="E55">
        <v>1.5</v>
      </c>
      <c r="G55" t="s">
        <v>50</v>
      </c>
      <c r="H55">
        <v>0</v>
      </c>
      <c r="I55">
        <v>1</v>
      </c>
      <c r="J55">
        <v>0</v>
      </c>
      <c r="L55">
        <v>54</v>
      </c>
      <c r="M55">
        <v>2.2498599582132794E-2</v>
      </c>
      <c r="N55">
        <v>1.3274948676983136E-2</v>
      </c>
      <c r="O55">
        <v>54</v>
      </c>
      <c r="P55">
        <v>1.5734297640533183E-3</v>
      </c>
      <c r="Q55">
        <v>1.2642808263793463E-3</v>
      </c>
      <c r="R55">
        <v>54</v>
      </c>
      <c r="S55">
        <v>1.8572914719156104E-3</v>
      </c>
      <c r="T55">
        <v>1.2040769775041394E-4</v>
      </c>
      <c r="AE55">
        <v>0.83000000000000052</v>
      </c>
      <c r="AF55">
        <v>-0.84917424085816084</v>
      </c>
      <c r="AG55">
        <v>-0.7992879595868736</v>
      </c>
      <c r="AI55">
        <v>54</v>
      </c>
      <c r="AJ55">
        <v>0.14026435825025821</v>
      </c>
      <c r="AK55">
        <v>1</v>
      </c>
      <c r="AT55">
        <v>0.83000000000000052</v>
      </c>
      <c r="AU55">
        <v>-0.84917424085816084</v>
      </c>
    </row>
    <row r="56" spans="1:47" x14ac:dyDescent="0.25">
      <c r="A56" t="s">
        <v>50</v>
      </c>
      <c r="B56">
        <v>5.9</v>
      </c>
      <c r="C56">
        <v>3.2</v>
      </c>
      <c r="D56">
        <v>4.8</v>
      </c>
      <c r="E56">
        <v>1.8</v>
      </c>
      <c r="G56" t="s">
        <v>51</v>
      </c>
      <c r="H56">
        <v>0</v>
      </c>
      <c r="I56">
        <v>1</v>
      </c>
      <c r="J56">
        <v>0</v>
      </c>
      <c r="L56">
        <v>55</v>
      </c>
      <c r="M56">
        <v>2.2103470233739375E-2</v>
      </c>
      <c r="N56">
        <v>1.3938696110832293E-2</v>
      </c>
      <c r="O56">
        <v>55</v>
      </c>
      <c r="P56">
        <v>1.5419103222815639E-3</v>
      </c>
      <c r="Q56">
        <v>1.3274948676983136E-3</v>
      </c>
      <c r="R56">
        <v>55</v>
      </c>
      <c r="S56">
        <v>1.8517819678804471E-3</v>
      </c>
      <c r="T56">
        <v>1.2642808263793465E-4</v>
      </c>
      <c r="AE56">
        <v>0.7000000000000004</v>
      </c>
      <c r="AF56">
        <v>-0.2156831358240911</v>
      </c>
      <c r="AG56">
        <v>7.5630250873420124E-2</v>
      </c>
      <c r="AI56">
        <v>55</v>
      </c>
      <c r="AJ56">
        <v>0.13993772764944021</v>
      </c>
      <c r="AK56">
        <v>1</v>
      </c>
      <c r="AT56">
        <v>0.7000000000000004</v>
      </c>
      <c r="AU56">
        <v>-0.2156831358240911</v>
      </c>
    </row>
    <row r="57" spans="1:47" x14ac:dyDescent="0.25">
      <c r="A57" t="s">
        <v>50</v>
      </c>
      <c r="B57">
        <v>5.6</v>
      </c>
      <c r="C57">
        <v>2.9</v>
      </c>
      <c r="D57">
        <v>3.6</v>
      </c>
      <c r="E57">
        <v>1.3</v>
      </c>
      <c r="G57" t="s">
        <v>50</v>
      </c>
      <c r="H57">
        <v>0</v>
      </c>
      <c r="I57">
        <v>1</v>
      </c>
      <c r="J57">
        <v>0</v>
      </c>
      <c r="L57">
        <v>56</v>
      </c>
      <c r="M57">
        <v>2.1763154541201521E-2</v>
      </c>
      <c r="N57">
        <v>1.4635630916373909E-2</v>
      </c>
      <c r="O57">
        <v>56</v>
      </c>
      <c r="P57">
        <v>1.5101104557488964E-3</v>
      </c>
      <c r="Q57">
        <v>1.3938696110832294E-3</v>
      </c>
      <c r="R57">
        <v>56</v>
      </c>
      <c r="S57">
        <v>1.8461959431957126E-3</v>
      </c>
      <c r="T57">
        <v>1.3274948676983138E-4</v>
      </c>
      <c r="AE57">
        <v>0.56000000000000028</v>
      </c>
      <c r="AF57">
        <v>0.41370488461690746</v>
      </c>
      <c r="AG57">
        <v>9.9966765959738524E-2</v>
      </c>
      <c r="AI57">
        <v>56</v>
      </c>
      <c r="AJ57">
        <v>0.13962794284951902</v>
      </c>
      <c r="AK57">
        <v>1</v>
      </c>
      <c r="AT57">
        <v>0.56000000000000028</v>
      </c>
      <c r="AU57">
        <v>0.41370488461690746</v>
      </c>
    </row>
    <row r="58" spans="1:47" x14ac:dyDescent="0.25">
      <c r="A58" t="s">
        <v>50</v>
      </c>
      <c r="B58">
        <v>5.6</v>
      </c>
      <c r="C58">
        <v>3</v>
      </c>
      <c r="D58">
        <v>4.5</v>
      </c>
      <c r="E58">
        <v>1.5</v>
      </c>
      <c r="G58" t="s">
        <v>50</v>
      </c>
      <c r="H58">
        <v>0</v>
      </c>
      <c r="I58">
        <v>1</v>
      </c>
      <c r="J58">
        <v>0</v>
      </c>
      <c r="L58">
        <v>57</v>
      </c>
      <c r="M58">
        <v>2.1496902697654852E-2</v>
      </c>
      <c r="N58">
        <v>1.5367412462192606E-2</v>
      </c>
      <c r="O58">
        <v>57</v>
      </c>
      <c r="P58">
        <v>1.4780302189118957E-3</v>
      </c>
      <c r="Q58">
        <v>1.463563091637391E-3</v>
      </c>
      <c r="R58">
        <v>57</v>
      </c>
      <c r="S58">
        <v>1.8404864629174168E-3</v>
      </c>
      <c r="T58">
        <v>1.3938696110832294E-4</v>
      </c>
      <c r="AE58">
        <v>0.69000000000000039</v>
      </c>
      <c r="AF58">
        <v>0.42984606124468022</v>
      </c>
      <c r="AG58">
        <v>0.19849764356445476</v>
      </c>
      <c r="AI58">
        <v>57</v>
      </c>
      <c r="AJ58">
        <v>0.13959314651112284</v>
      </c>
      <c r="AK58">
        <v>1</v>
      </c>
      <c r="AT58">
        <v>0.69000000000000039</v>
      </c>
      <c r="AU58">
        <v>0.42984606124468022</v>
      </c>
    </row>
    <row r="59" spans="1:47" x14ac:dyDescent="0.25">
      <c r="A59" t="s">
        <v>50</v>
      </c>
      <c r="B59">
        <v>5.6</v>
      </c>
      <c r="C59">
        <v>3</v>
      </c>
      <c r="D59">
        <v>4.0999999999999996</v>
      </c>
      <c r="E59">
        <v>1.3</v>
      </c>
      <c r="G59" t="s">
        <v>50</v>
      </c>
      <c r="H59">
        <v>0</v>
      </c>
      <c r="I59">
        <v>1</v>
      </c>
      <c r="J59">
        <v>0</v>
      </c>
      <c r="L59">
        <v>58</v>
      </c>
      <c r="M59">
        <v>2.1324488571344554E-2</v>
      </c>
      <c r="N59">
        <v>1.6135783085302238E-2</v>
      </c>
      <c r="O59">
        <v>58</v>
      </c>
      <c r="P59">
        <v>1.4457072537956404E-3</v>
      </c>
      <c r="Q59">
        <v>1.5367412462192606E-3</v>
      </c>
      <c r="R59">
        <v>58</v>
      </c>
      <c r="S59">
        <v>1.8346235356717817E-3</v>
      </c>
      <c r="T59">
        <v>1.4635630916373909E-4</v>
      </c>
      <c r="AE59">
        <v>0.91000000000000059</v>
      </c>
      <c r="AF59">
        <v>-0.44143875995841897</v>
      </c>
      <c r="AG59">
        <v>-0.41383757508481978</v>
      </c>
      <c r="AI59">
        <v>58</v>
      </c>
      <c r="AJ59">
        <v>0.13956521143036474</v>
      </c>
      <c r="AK59">
        <v>1</v>
      </c>
      <c r="AT59">
        <v>0.91000000000000059</v>
      </c>
      <c r="AU59">
        <v>-0.44143875995841897</v>
      </c>
    </row>
    <row r="60" spans="1:47" x14ac:dyDescent="0.25">
      <c r="A60" t="s">
        <v>50</v>
      </c>
      <c r="B60">
        <v>6.3</v>
      </c>
      <c r="C60">
        <v>3.3</v>
      </c>
      <c r="D60">
        <v>4.7</v>
      </c>
      <c r="E60">
        <v>1.6</v>
      </c>
      <c r="G60" t="s">
        <v>50</v>
      </c>
      <c r="H60">
        <v>0</v>
      </c>
      <c r="I60">
        <v>1</v>
      </c>
      <c r="J60">
        <v>0</v>
      </c>
      <c r="L60">
        <v>59</v>
      </c>
      <c r="M60">
        <v>2.1263353626455837E-2</v>
      </c>
      <c r="N60">
        <v>1.6942572239567352E-2</v>
      </c>
      <c r="O60">
        <v>59</v>
      </c>
      <c r="P60">
        <v>1.4132157659217021E-3</v>
      </c>
      <c r="Q60">
        <v>1.6135783085302238E-3</v>
      </c>
      <c r="R60">
        <v>59</v>
      </c>
      <c r="S60">
        <v>1.8285855049253504E-3</v>
      </c>
      <c r="T60">
        <v>1.5367412462192605E-4</v>
      </c>
      <c r="AE60">
        <v>0.17</v>
      </c>
      <c r="AF60">
        <v>1.2355467670262945</v>
      </c>
      <c r="AG60">
        <v>0.98182677809729313</v>
      </c>
      <c r="AI60">
        <v>59</v>
      </c>
      <c r="AJ60">
        <v>0.1395498949149635</v>
      </c>
      <c r="AK60">
        <v>1</v>
      </c>
      <c r="AT60">
        <v>0.17</v>
      </c>
      <c r="AU60">
        <v>1.2355467670262945</v>
      </c>
    </row>
    <row r="61" spans="1:47" x14ac:dyDescent="0.25">
      <c r="A61" t="s">
        <v>50</v>
      </c>
      <c r="B61">
        <v>5.2</v>
      </c>
      <c r="C61">
        <v>2.7</v>
      </c>
      <c r="D61">
        <v>3.9</v>
      </c>
      <c r="E61">
        <v>1.4</v>
      </c>
      <c r="G61" t="s">
        <v>50</v>
      </c>
      <c r="H61">
        <v>0</v>
      </c>
      <c r="I61">
        <v>1</v>
      </c>
      <c r="J61">
        <v>0</v>
      </c>
      <c r="L61">
        <v>60</v>
      </c>
      <c r="M61">
        <v>2.1323139312282642E-2</v>
      </c>
      <c r="N61">
        <v>1.7789700851545721E-2</v>
      </c>
      <c r="O61">
        <v>60</v>
      </c>
      <c r="P61">
        <v>1.3806784764443809E-3</v>
      </c>
      <c r="Q61">
        <v>1.6942572239567351E-3</v>
      </c>
      <c r="R61">
        <v>60</v>
      </c>
      <c r="S61">
        <v>1.8223551109075194E-3</v>
      </c>
      <c r="T61">
        <v>1.6135783085302236E-4</v>
      </c>
      <c r="AE61">
        <v>0.12999999999999998</v>
      </c>
      <c r="AF61">
        <v>1.5375939510159269</v>
      </c>
      <c r="AG61">
        <v>1.2189609604590785</v>
      </c>
      <c r="AI61">
        <v>60</v>
      </c>
      <c r="AJ61">
        <v>0.13950470991601441</v>
      </c>
      <c r="AK61">
        <v>1</v>
      </c>
      <c r="AT61">
        <v>0.12999999999999998</v>
      </c>
      <c r="AU61">
        <v>1.5375939510159269</v>
      </c>
    </row>
    <row r="62" spans="1:47" x14ac:dyDescent="0.25">
      <c r="A62" t="s">
        <v>50</v>
      </c>
      <c r="B62">
        <v>5.7</v>
      </c>
      <c r="C62">
        <v>3</v>
      </c>
      <c r="D62">
        <v>4.2</v>
      </c>
      <c r="E62">
        <v>1.2</v>
      </c>
      <c r="G62" t="s">
        <v>50</v>
      </c>
      <c r="H62">
        <v>0</v>
      </c>
      <c r="I62">
        <v>1</v>
      </c>
      <c r="J62">
        <v>0</v>
      </c>
      <c r="L62">
        <v>61</v>
      </c>
      <c r="M62">
        <v>1.9858398988849908E-2</v>
      </c>
      <c r="N62">
        <v>1.7789700851545721E-3</v>
      </c>
      <c r="O62">
        <v>61</v>
      </c>
      <c r="P62">
        <v>1.3482826500179584E-3</v>
      </c>
      <c r="Q62">
        <v>1.7789700851545719E-3</v>
      </c>
      <c r="R62">
        <v>61</v>
      </c>
      <c r="S62">
        <v>1.8159169461161937E-3</v>
      </c>
      <c r="T62">
        <v>1.6942572239567348E-4</v>
      </c>
      <c r="AE62">
        <v>0.72000000000000042</v>
      </c>
      <c r="AF62">
        <v>0.12162433168497017</v>
      </c>
      <c r="AG62">
        <v>-0.16812983985808927</v>
      </c>
      <c r="AI62">
        <v>61</v>
      </c>
      <c r="AJ62">
        <v>0.13943607693880078</v>
      </c>
      <c r="AK62">
        <v>1</v>
      </c>
      <c r="AT62">
        <v>0.72000000000000042</v>
      </c>
      <c r="AU62">
        <v>0.12162433168497017</v>
      </c>
    </row>
    <row r="63" spans="1:47" x14ac:dyDescent="0.25">
      <c r="A63" t="s">
        <v>50</v>
      </c>
      <c r="B63">
        <v>5</v>
      </c>
      <c r="C63">
        <v>2.2999999999999998</v>
      </c>
      <c r="D63">
        <v>3.3</v>
      </c>
      <c r="E63">
        <v>1</v>
      </c>
      <c r="G63" t="s">
        <v>50</v>
      </c>
      <c r="H63">
        <v>0</v>
      </c>
      <c r="I63">
        <v>1</v>
      </c>
      <c r="J63">
        <v>0</v>
      </c>
      <c r="L63">
        <v>62</v>
      </c>
      <c r="M63">
        <v>1.979688457594761E-2</v>
      </c>
      <c r="N63">
        <v>1.8679185894123007E-3</v>
      </c>
      <c r="O63">
        <v>62</v>
      </c>
      <c r="P63">
        <v>1.3162971965440735E-3</v>
      </c>
      <c r="Q63">
        <v>1.8679185894123005E-3</v>
      </c>
      <c r="R63">
        <v>62</v>
      </c>
      <c r="S63">
        <v>1.8092552101291119E-3</v>
      </c>
      <c r="T63">
        <v>1.7789700851545716E-4</v>
      </c>
      <c r="AE63">
        <v>0.08</v>
      </c>
      <c r="AF63">
        <v>1.157200219025156</v>
      </c>
      <c r="AG63">
        <v>1.402486234332958</v>
      </c>
      <c r="AI63">
        <v>62</v>
      </c>
      <c r="AJ63">
        <v>0.13929045953119257</v>
      </c>
      <c r="AK63">
        <v>1</v>
      </c>
      <c r="AT63">
        <v>0.08</v>
      </c>
      <c r="AU63">
        <v>1.157200219025156</v>
      </c>
    </row>
    <row r="64" spans="1:47" x14ac:dyDescent="0.25">
      <c r="A64" t="s">
        <v>50</v>
      </c>
      <c r="B64">
        <v>5.9</v>
      </c>
      <c r="C64">
        <v>3</v>
      </c>
      <c r="D64">
        <v>4.2</v>
      </c>
      <c r="E64">
        <v>1.5</v>
      </c>
      <c r="G64" t="s">
        <v>50</v>
      </c>
      <c r="H64">
        <v>0</v>
      </c>
      <c r="I64">
        <v>1</v>
      </c>
      <c r="J64">
        <v>0</v>
      </c>
      <c r="L64">
        <v>63</v>
      </c>
      <c r="M64">
        <v>1.9739317090950653E-2</v>
      </c>
      <c r="N64">
        <v>1.9613145188829158E-3</v>
      </c>
      <c r="O64">
        <v>63</v>
      </c>
      <c r="P64">
        <v>1.2850876587052243E-3</v>
      </c>
      <c r="Q64">
        <v>1.9613145188829158E-3</v>
      </c>
      <c r="R64">
        <v>63</v>
      </c>
      <c r="S64">
        <v>1.8023514925977245E-3</v>
      </c>
      <c r="T64">
        <v>1.8679185894123003E-4</v>
      </c>
      <c r="AE64">
        <v>0.74000000000000044</v>
      </c>
      <c r="AF64">
        <v>-0.57596623077615894</v>
      </c>
      <c r="AG64">
        <v>-0.36108295013623604</v>
      </c>
      <c r="AI64">
        <v>63</v>
      </c>
      <c r="AJ64">
        <v>0.13900521685490316</v>
      </c>
      <c r="AK64">
        <v>1</v>
      </c>
      <c r="AT64">
        <v>0.74000000000000044</v>
      </c>
      <c r="AU64">
        <v>-0.57596623077615894</v>
      </c>
    </row>
    <row r="65" spans="1:47" x14ac:dyDescent="0.25">
      <c r="A65" t="s">
        <v>50</v>
      </c>
      <c r="B65">
        <v>5.7</v>
      </c>
      <c r="C65">
        <v>2.9</v>
      </c>
      <c r="D65">
        <v>4.2</v>
      </c>
      <c r="E65">
        <v>1.3</v>
      </c>
      <c r="G65" t="s">
        <v>50</v>
      </c>
      <c r="H65">
        <v>0</v>
      </c>
      <c r="I65">
        <v>1</v>
      </c>
      <c r="J65">
        <v>0</v>
      </c>
      <c r="L65">
        <v>64</v>
      </c>
      <c r="M65">
        <v>1.9682470667340229E-2</v>
      </c>
      <c r="N65">
        <v>2.0593802448270618E-3</v>
      </c>
      <c r="O65">
        <v>64</v>
      </c>
      <c r="P65">
        <v>1.2551252350223902E-3</v>
      </c>
      <c r="Q65">
        <v>2.0593802448270618E-3</v>
      </c>
      <c r="R65">
        <v>64</v>
      </c>
      <c r="S65">
        <v>1.795182635769621E-3</v>
      </c>
      <c r="T65">
        <v>1.9613145188829154E-4</v>
      </c>
      <c r="AE65">
        <v>0.98000000000000065</v>
      </c>
      <c r="AF65">
        <v>1.1377651354458445</v>
      </c>
      <c r="AG65">
        <v>1.2097524831236264</v>
      </c>
      <c r="AI65">
        <v>64</v>
      </c>
      <c r="AJ65">
        <v>0.13827341708980367</v>
      </c>
      <c r="AK65">
        <v>1</v>
      </c>
      <c r="AT65">
        <v>0.98000000000000065</v>
      </c>
      <c r="AU65">
        <v>1.1377651354458445</v>
      </c>
    </row>
    <row r="66" spans="1:47" x14ac:dyDescent="0.25">
      <c r="A66" t="s">
        <v>50</v>
      </c>
      <c r="B66">
        <v>6.4</v>
      </c>
      <c r="C66">
        <v>3.2</v>
      </c>
      <c r="D66">
        <v>4.5</v>
      </c>
      <c r="E66">
        <v>1.5</v>
      </c>
      <c r="G66" t="s">
        <v>50</v>
      </c>
      <c r="H66">
        <v>0</v>
      </c>
      <c r="I66">
        <v>1</v>
      </c>
      <c r="J66">
        <v>0</v>
      </c>
      <c r="L66">
        <v>65</v>
      </c>
      <c r="M66">
        <v>1.9624957853895564E-2</v>
      </c>
      <c r="N66">
        <v>2.1623492570684152E-3</v>
      </c>
      <c r="O66">
        <v>65</v>
      </c>
      <c r="P66">
        <v>1.2269863097082502E-3</v>
      </c>
      <c r="Q66">
        <v>2.1623492570684152E-3</v>
      </c>
      <c r="R66">
        <v>65</v>
      </c>
      <c r="S66">
        <v>1.787718901313158E-3</v>
      </c>
      <c r="T66">
        <v>2.0593802448270614E-4</v>
      </c>
      <c r="AE66">
        <v>0.03</v>
      </c>
      <c r="AF66">
        <v>2.1165246071389476</v>
      </c>
      <c r="AG66">
        <v>1.6553189770992027</v>
      </c>
      <c r="AI66">
        <v>65</v>
      </c>
      <c r="AJ66">
        <v>0.13749238487568588</v>
      </c>
      <c r="AK66">
        <v>0.5</v>
      </c>
      <c r="AT66">
        <v>0.03</v>
      </c>
      <c r="AU66">
        <v>2.1165246071389476</v>
      </c>
    </row>
    <row r="67" spans="1:47" x14ac:dyDescent="0.25">
      <c r="A67" t="s">
        <v>50</v>
      </c>
      <c r="B67">
        <v>6</v>
      </c>
      <c r="C67">
        <v>2.9</v>
      </c>
      <c r="D67">
        <v>4.5</v>
      </c>
      <c r="E67">
        <v>1.5</v>
      </c>
      <c r="G67" t="s">
        <v>50</v>
      </c>
      <c r="H67">
        <v>0</v>
      </c>
      <c r="I67">
        <v>1</v>
      </c>
      <c r="J67">
        <v>0</v>
      </c>
      <c r="L67">
        <v>66</v>
      </c>
      <c r="M67">
        <v>1.9565819854882406E-2</v>
      </c>
      <c r="N67">
        <v>2.2704667199218362E-3</v>
      </c>
      <c r="O67">
        <v>66</v>
      </c>
      <c r="P67">
        <v>1.2013408612232379E-3</v>
      </c>
      <c r="Q67">
        <v>2.2704667199218362E-3</v>
      </c>
      <c r="R67">
        <v>66</v>
      </c>
      <c r="S67">
        <v>1.779922809940458E-3</v>
      </c>
      <c r="T67">
        <v>2.1623492570684147E-4</v>
      </c>
      <c r="AE67">
        <v>0.5900000000000003</v>
      </c>
      <c r="AF67">
        <v>0.59559107452490845</v>
      </c>
      <c r="AG67">
        <v>0.40060167231712995</v>
      </c>
      <c r="AI67">
        <v>66</v>
      </c>
      <c r="AJ67">
        <v>0.13700869353744657</v>
      </c>
      <c r="AK67">
        <v>1</v>
      </c>
      <c r="AT67">
        <v>0.5900000000000003</v>
      </c>
      <c r="AU67">
        <v>0.59559107452490845</v>
      </c>
    </row>
    <row r="68" spans="1:47" x14ac:dyDescent="0.25">
      <c r="A68" t="s">
        <v>50</v>
      </c>
      <c r="B68">
        <v>6.1</v>
      </c>
      <c r="C68">
        <v>3</v>
      </c>
      <c r="D68">
        <v>4.5999999999999996</v>
      </c>
      <c r="E68">
        <v>1.4</v>
      </c>
      <c r="G68" t="s">
        <v>50</v>
      </c>
      <c r="H68">
        <v>0</v>
      </c>
      <c r="I68">
        <v>1</v>
      </c>
      <c r="J68">
        <v>0</v>
      </c>
      <c r="L68">
        <v>67</v>
      </c>
      <c r="M68">
        <v>1.9504360261707897E-2</v>
      </c>
      <c r="N68">
        <v>2.3839900559179282E-3</v>
      </c>
      <c r="O68">
        <v>67</v>
      </c>
      <c r="P68">
        <v>1.1789313627920527E-3</v>
      </c>
      <c r="Q68">
        <v>2.3839900559179282E-3</v>
      </c>
      <c r="R68">
        <v>67</v>
      </c>
      <c r="S68">
        <v>1.7717491421359057E-3</v>
      </c>
      <c r="T68">
        <v>2.2704667199218356E-4</v>
      </c>
      <c r="AE68">
        <v>0.45000000000000023</v>
      </c>
      <c r="AF68">
        <v>-0.78690256730685904</v>
      </c>
      <c r="AG68">
        <v>-1.1300815261328623</v>
      </c>
      <c r="AI68">
        <v>67</v>
      </c>
      <c r="AJ68">
        <v>0.13604851576635191</v>
      </c>
      <c r="AK68">
        <v>1</v>
      </c>
      <c r="AT68">
        <v>0.45000000000000023</v>
      </c>
      <c r="AU68">
        <v>-0.78690256730685904</v>
      </c>
    </row>
    <row r="69" spans="1:47" x14ac:dyDescent="0.25">
      <c r="A69" t="s">
        <v>50</v>
      </c>
      <c r="B69">
        <v>5.7</v>
      </c>
      <c r="C69">
        <v>2.8</v>
      </c>
      <c r="D69">
        <v>4.5</v>
      </c>
      <c r="E69">
        <v>1.3</v>
      </c>
      <c r="G69" t="s">
        <v>50</v>
      </c>
      <c r="H69">
        <v>0</v>
      </c>
      <c r="I69">
        <v>1</v>
      </c>
      <c r="J69">
        <v>0</v>
      </c>
      <c r="L69">
        <v>68</v>
      </c>
      <c r="M69">
        <v>1.9440060310329452E-2</v>
      </c>
      <c r="N69">
        <v>2.5031895587138246E-3</v>
      </c>
      <c r="O69">
        <v>68</v>
      </c>
      <c r="P69">
        <v>1.1605468195379238E-3</v>
      </c>
      <c r="Q69">
        <v>2.5031895587138246E-3</v>
      </c>
      <c r="R69">
        <v>68</v>
      </c>
      <c r="S69">
        <v>1.7631466240986525E-3</v>
      </c>
      <c r="T69">
        <v>2.3839900559179274E-4</v>
      </c>
      <c r="AE69">
        <v>0.48000000000000026</v>
      </c>
      <c r="AF69">
        <v>-0.66792027056516245</v>
      </c>
      <c r="AG69">
        <v>-0.84266151179748405</v>
      </c>
      <c r="AI69">
        <v>68</v>
      </c>
      <c r="AJ69">
        <v>0.13471427213896614</v>
      </c>
      <c r="AK69">
        <v>0.5</v>
      </c>
      <c r="AT69">
        <v>0.48000000000000026</v>
      </c>
      <c r="AU69">
        <v>-0.66792027056516245</v>
      </c>
    </row>
    <row r="70" spans="1:47" x14ac:dyDescent="0.25">
      <c r="A70" t="s">
        <v>50</v>
      </c>
      <c r="B70">
        <v>5.7</v>
      </c>
      <c r="C70">
        <v>2.8</v>
      </c>
      <c r="D70">
        <v>4.0999999999999996</v>
      </c>
      <c r="E70">
        <v>1.3</v>
      </c>
      <c r="G70" t="s">
        <v>50</v>
      </c>
      <c r="H70">
        <v>0</v>
      </c>
      <c r="I70">
        <v>1</v>
      </c>
      <c r="J70">
        <v>0</v>
      </c>
      <c r="L70">
        <v>69</v>
      </c>
      <c r="M70">
        <v>1.9372509925010023E-2</v>
      </c>
      <c r="N70">
        <v>2.6283490366495158E-3</v>
      </c>
      <c r="O70">
        <v>69</v>
      </c>
      <c r="P70">
        <v>1.1469973313946544E-3</v>
      </c>
      <c r="Q70">
        <v>2.6283490366495158E-3</v>
      </c>
      <c r="R70">
        <v>69</v>
      </c>
      <c r="S70">
        <v>1.7540616833686858E-3</v>
      </c>
      <c r="T70">
        <v>2.503189558713824E-4</v>
      </c>
      <c r="AE70">
        <v>0.67000000000000037</v>
      </c>
      <c r="AF70">
        <v>0.3376514676773516</v>
      </c>
      <c r="AG70">
        <v>0.41116683678725963</v>
      </c>
      <c r="AI70">
        <v>69</v>
      </c>
      <c r="AJ70">
        <v>0.13367674519959338</v>
      </c>
      <c r="AK70">
        <v>0.5</v>
      </c>
      <c r="AT70">
        <v>0.67000000000000037</v>
      </c>
      <c r="AU70">
        <v>0.3376514676773516</v>
      </c>
    </row>
    <row r="71" spans="1:47" x14ac:dyDescent="0.25">
      <c r="A71" t="s">
        <v>50</v>
      </c>
      <c r="B71">
        <v>5.6</v>
      </c>
      <c r="C71">
        <v>2.7</v>
      </c>
      <c r="D71">
        <v>4.2</v>
      </c>
      <c r="E71">
        <v>1.3</v>
      </c>
      <c r="G71" t="s">
        <v>50</v>
      </c>
      <c r="H71">
        <v>0</v>
      </c>
      <c r="I71">
        <v>1</v>
      </c>
      <c r="J71">
        <v>0</v>
      </c>
      <c r="L71">
        <v>70</v>
      </c>
      <c r="M71">
        <v>1.9301359030777294E-2</v>
      </c>
      <c r="N71">
        <v>2.7597664884819917E-3</v>
      </c>
      <c r="O71">
        <v>70</v>
      </c>
      <c r="P71">
        <v>1.1390937115050583E-3</v>
      </c>
      <c r="Q71">
        <v>2.7597664884819917E-3</v>
      </c>
      <c r="R71">
        <v>70</v>
      </c>
      <c r="S71">
        <v>1.7444442711646894E-3</v>
      </c>
      <c r="T71">
        <v>2.6283490366495155E-4</v>
      </c>
      <c r="AE71">
        <v>0.94000000000000061</v>
      </c>
      <c r="AF71">
        <v>-0.17463688069501462</v>
      </c>
      <c r="AG71">
        <v>0.2304747229269104</v>
      </c>
      <c r="AI71">
        <v>70</v>
      </c>
      <c r="AJ71">
        <v>0.13251269983371208</v>
      </c>
      <c r="AK71">
        <v>1</v>
      </c>
      <c r="AT71">
        <v>0.94000000000000061</v>
      </c>
      <c r="AU71">
        <v>-0.17463688069501462</v>
      </c>
    </row>
    <row r="72" spans="1:47" x14ac:dyDescent="0.25">
      <c r="A72" t="s">
        <v>50</v>
      </c>
      <c r="B72">
        <v>6.1</v>
      </c>
      <c r="C72">
        <v>2.9</v>
      </c>
      <c r="D72">
        <v>4.7</v>
      </c>
      <c r="E72">
        <v>1.4</v>
      </c>
      <c r="G72" t="s">
        <v>50</v>
      </c>
      <c r="H72">
        <v>0</v>
      </c>
      <c r="I72">
        <v>1</v>
      </c>
      <c r="J72">
        <v>0</v>
      </c>
      <c r="L72">
        <v>71</v>
      </c>
      <c r="M72">
        <v>1.9226288384801893E-2</v>
      </c>
      <c r="N72">
        <v>2.8977548129060916E-3</v>
      </c>
      <c r="O72">
        <v>71</v>
      </c>
      <c r="P72">
        <v>1.1376407538788416E-3</v>
      </c>
      <c r="Q72">
        <v>2.8977548129060916E-3</v>
      </c>
      <c r="R72">
        <v>71</v>
      </c>
      <c r="S72">
        <v>1.7342551259957794E-3</v>
      </c>
      <c r="T72">
        <v>2.7597664884819917E-4</v>
      </c>
      <c r="AE72">
        <v>0.02</v>
      </c>
      <c r="AF72">
        <v>1.3158098266487348</v>
      </c>
      <c r="AG72">
        <v>1.7354521512729093</v>
      </c>
      <c r="AI72">
        <v>71</v>
      </c>
      <c r="AJ72">
        <v>0.13112540878192885</v>
      </c>
      <c r="AK72">
        <v>0.5</v>
      </c>
      <c r="AT72">
        <v>0.02</v>
      </c>
      <c r="AU72">
        <v>1.3158098266487348</v>
      </c>
    </row>
    <row r="73" spans="1:47" x14ac:dyDescent="0.25">
      <c r="A73" t="s">
        <v>50</v>
      </c>
      <c r="B73">
        <v>5.5</v>
      </c>
      <c r="C73">
        <v>2.6</v>
      </c>
      <c r="D73">
        <v>4.4000000000000004</v>
      </c>
      <c r="E73">
        <v>1.2</v>
      </c>
      <c r="G73" t="s">
        <v>50</v>
      </c>
      <c r="H73">
        <v>0</v>
      </c>
      <c r="I73">
        <v>1</v>
      </c>
      <c r="J73">
        <v>0</v>
      </c>
      <c r="L73">
        <v>72</v>
      </c>
      <c r="M73">
        <v>1.9146995035628708E-2</v>
      </c>
      <c r="N73">
        <v>3.0426425535513965E-3</v>
      </c>
      <c r="O73">
        <v>72</v>
      </c>
      <c r="P73">
        <v>1.1434690757685119E-3</v>
      </c>
      <c r="Q73">
        <v>3.0426425535513965E-3</v>
      </c>
      <c r="R73">
        <v>72</v>
      </c>
      <c r="S73">
        <v>1.7234731490505795E-3</v>
      </c>
      <c r="T73">
        <v>2.8977548129060913E-4</v>
      </c>
      <c r="AE73">
        <v>6.0000000000000005E-2</v>
      </c>
      <c r="AF73">
        <v>1.1995894221033272</v>
      </c>
      <c r="AG73">
        <v>1.4830492929186789</v>
      </c>
      <c r="AI73">
        <v>72</v>
      </c>
      <c r="AJ73">
        <v>0.13033896747578719</v>
      </c>
      <c r="AK73">
        <v>0.5</v>
      </c>
      <c r="AT73">
        <v>6.0000000000000005E-2</v>
      </c>
      <c r="AU73">
        <v>1.1995894221033272</v>
      </c>
    </row>
    <row r="74" spans="1:47" x14ac:dyDescent="0.25">
      <c r="A74" t="s">
        <v>50</v>
      </c>
      <c r="B74">
        <v>5.7</v>
      </c>
      <c r="C74">
        <v>2.6</v>
      </c>
      <c r="D74">
        <v>3.5</v>
      </c>
      <c r="E74">
        <v>1</v>
      </c>
      <c r="G74" t="s">
        <v>50</v>
      </c>
      <c r="H74">
        <v>0</v>
      </c>
      <c r="I74">
        <v>1</v>
      </c>
      <c r="J74">
        <v>0</v>
      </c>
      <c r="L74">
        <v>73</v>
      </c>
      <c r="M74">
        <v>1.9063187265818432E-2</v>
      </c>
      <c r="N74">
        <v>3.1947746812289665E-3</v>
      </c>
      <c r="O74">
        <v>73</v>
      </c>
      <c r="P74">
        <v>1.0568985500444166E-3</v>
      </c>
      <c r="Q74">
        <v>3.0426425535513965E-4</v>
      </c>
      <c r="R74">
        <v>73</v>
      </c>
      <c r="S74">
        <v>1.7121010742050789E-3</v>
      </c>
      <c r="T74">
        <v>3.0426425535513959E-4</v>
      </c>
      <c r="AE74">
        <v>0.57000000000000028</v>
      </c>
      <c r="AF74">
        <v>-0.13060897886401746</v>
      </c>
      <c r="AG74">
        <v>0.2100122809646443</v>
      </c>
      <c r="AI74">
        <v>73</v>
      </c>
      <c r="AJ74">
        <v>0.12972690431812442</v>
      </c>
      <c r="AK74">
        <v>1</v>
      </c>
      <c r="AT74">
        <v>0.57000000000000028</v>
      </c>
      <c r="AU74">
        <v>-0.13060897886401746</v>
      </c>
    </row>
    <row r="75" spans="1:47" x14ac:dyDescent="0.25">
      <c r="A75" t="s">
        <v>50</v>
      </c>
      <c r="B75">
        <v>6.7</v>
      </c>
      <c r="C75">
        <v>3.1</v>
      </c>
      <c r="D75">
        <v>4.7</v>
      </c>
      <c r="E75">
        <v>1.5</v>
      </c>
      <c r="G75" t="s">
        <v>50</v>
      </c>
      <c r="H75">
        <v>0</v>
      </c>
      <c r="I75">
        <v>1</v>
      </c>
      <c r="J75">
        <v>0</v>
      </c>
      <c r="L75">
        <v>74</v>
      </c>
      <c r="M75">
        <v>1.8974585115849117E-2</v>
      </c>
      <c r="N75">
        <v>3.3545134152904148E-3</v>
      </c>
      <c r="O75">
        <v>74</v>
      </c>
      <c r="P75">
        <v>1.0522351248206695E-3</v>
      </c>
      <c r="Q75">
        <v>3.1947746812289665E-4</v>
      </c>
      <c r="R75">
        <v>74</v>
      </c>
      <c r="S75">
        <v>1.7001677011694264E-3</v>
      </c>
      <c r="T75">
        <v>3.194774681228966E-4</v>
      </c>
      <c r="AE75">
        <v>0.63000000000000034</v>
      </c>
      <c r="AF75">
        <v>0.80788342254245038</v>
      </c>
      <c r="AG75">
        <v>0.58713642097551144</v>
      </c>
      <c r="AI75">
        <v>74</v>
      </c>
      <c r="AJ75">
        <v>0.12860827663476934</v>
      </c>
      <c r="AK75">
        <v>1</v>
      </c>
      <c r="AT75">
        <v>0.63000000000000034</v>
      </c>
      <c r="AU75">
        <v>0.80788342254245038</v>
      </c>
    </row>
    <row r="76" spans="1:47" x14ac:dyDescent="0.25">
      <c r="A76" t="s">
        <v>50</v>
      </c>
      <c r="B76">
        <v>5.8</v>
      </c>
      <c r="C76">
        <v>2.7</v>
      </c>
      <c r="D76">
        <v>3.9</v>
      </c>
      <c r="E76">
        <v>1.2</v>
      </c>
      <c r="G76" t="s">
        <v>50</v>
      </c>
      <c r="H76">
        <v>0</v>
      </c>
      <c r="I76">
        <v>1</v>
      </c>
      <c r="J76">
        <v>0</v>
      </c>
      <c r="L76">
        <v>75</v>
      </c>
      <c r="M76">
        <v>1.8880923974200211E-2</v>
      </c>
      <c r="N76">
        <v>3.5222390860549357E-3</v>
      </c>
      <c r="O76">
        <v>75</v>
      </c>
      <c r="P76">
        <v>1.0482372472519509E-3</v>
      </c>
      <c r="Q76">
        <v>3.354513415290415E-4</v>
      </c>
      <c r="R76">
        <v>75</v>
      </c>
      <c r="S76">
        <v>1.6877258482407658E-3</v>
      </c>
      <c r="T76">
        <v>3.3545134152904144E-4</v>
      </c>
      <c r="AE76">
        <v>0.61000000000000032</v>
      </c>
      <c r="AF76">
        <v>0.75806957588300194</v>
      </c>
      <c r="AG76">
        <v>0.53336217367985128</v>
      </c>
      <c r="AI76">
        <v>75</v>
      </c>
      <c r="AJ76">
        <v>0.12777722647910569</v>
      </c>
      <c r="AK76">
        <v>1</v>
      </c>
      <c r="AT76">
        <v>0.61000000000000032</v>
      </c>
      <c r="AU76">
        <v>0.75806957588300194</v>
      </c>
    </row>
    <row r="77" spans="1:47" x14ac:dyDescent="0.25">
      <c r="A77" t="s">
        <v>50</v>
      </c>
      <c r="B77">
        <v>6.7</v>
      </c>
      <c r="C77">
        <v>3</v>
      </c>
      <c r="D77">
        <v>5</v>
      </c>
      <c r="E77">
        <v>1.7</v>
      </c>
      <c r="G77" t="s">
        <v>51</v>
      </c>
      <c r="H77">
        <v>0</v>
      </c>
      <c r="I77">
        <v>1</v>
      </c>
      <c r="J77">
        <v>0</v>
      </c>
      <c r="L77">
        <v>76</v>
      </c>
      <c r="M77">
        <v>1.8781959779270222E-2</v>
      </c>
      <c r="N77">
        <v>3.6983510403576828E-3</v>
      </c>
      <c r="O77">
        <v>76</v>
      </c>
      <c r="P77">
        <v>1.0442622127834198E-3</v>
      </c>
      <c r="Q77">
        <v>3.5222390860549361E-4</v>
      </c>
      <c r="R77">
        <v>76</v>
      </c>
      <c r="S77">
        <v>1.6748467342388379E-3</v>
      </c>
      <c r="T77">
        <v>3.522239086054935E-4</v>
      </c>
      <c r="AE77">
        <v>0</v>
      </c>
      <c r="AF77">
        <v>2.0639404483020409</v>
      </c>
      <c r="AG77">
        <v>1.9474934879998713</v>
      </c>
      <c r="AI77">
        <v>76</v>
      </c>
      <c r="AJ77">
        <v>0.12728497377584133</v>
      </c>
      <c r="AK77">
        <v>0.5</v>
      </c>
      <c r="AT77">
        <v>0</v>
      </c>
      <c r="AU77">
        <v>2.0639404483020409</v>
      </c>
    </row>
    <row r="78" spans="1:47" x14ac:dyDescent="0.25">
      <c r="A78" t="s">
        <v>50</v>
      </c>
      <c r="B78">
        <v>6.2</v>
      </c>
      <c r="C78">
        <v>2.9</v>
      </c>
      <c r="D78">
        <v>4.3</v>
      </c>
      <c r="E78">
        <v>1.3</v>
      </c>
      <c r="G78" t="s">
        <v>50</v>
      </c>
      <c r="H78">
        <v>0</v>
      </c>
      <c r="I78">
        <v>1</v>
      </c>
      <c r="J78">
        <v>0</v>
      </c>
      <c r="L78">
        <v>77</v>
      </c>
      <c r="M78">
        <v>1.8677475049495688E-2</v>
      </c>
      <c r="N78">
        <v>3.8832685923755671E-3</v>
      </c>
      <c r="O78">
        <v>77</v>
      </c>
      <c r="P78">
        <v>1.0401771485799253E-3</v>
      </c>
      <c r="Q78">
        <v>3.6983510403576828E-4</v>
      </c>
      <c r="R78">
        <v>77</v>
      </c>
      <c r="S78">
        <v>1.6616130802709899E-3</v>
      </c>
      <c r="T78">
        <v>3.6983510403576817E-4</v>
      </c>
      <c r="AE78">
        <v>0.15</v>
      </c>
      <c r="AF78">
        <v>1.2542920509944651</v>
      </c>
      <c r="AG78">
        <v>1.1186260580245708</v>
      </c>
      <c r="AI78">
        <v>77</v>
      </c>
      <c r="AJ78">
        <v>0.12639985312354571</v>
      </c>
      <c r="AK78">
        <v>1</v>
      </c>
      <c r="AT78">
        <v>0.15</v>
      </c>
      <c r="AU78">
        <v>1.2542920509944651</v>
      </c>
    </row>
    <row r="79" spans="1:47" x14ac:dyDescent="0.25">
      <c r="A79" t="s">
        <v>50</v>
      </c>
      <c r="B79">
        <v>5.5</v>
      </c>
      <c r="C79">
        <v>2.5</v>
      </c>
      <c r="D79">
        <v>4</v>
      </c>
      <c r="E79">
        <v>1.3</v>
      </c>
      <c r="G79" t="s">
        <v>50</v>
      </c>
      <c r="H79">
        <v>0</v>
      </c>
      <c r="I79">
        <v>1</v>
      </c>
      <c r="J79">
        <v>0</v>
      </c>
      <c r="L79">
        <v>78</v>
      </c>
      <c r="M79">
        <v>1.8567285313850532E-2</v>
      </c>
      <c r="N79">
        <v>4.0774320219943453E-3</v>
      </c>
      <c r="O79">
        <v>78</v>
      </c>
      <c r="P79">
        <v>1.0359427744713126E-3</v>
      </c>
      <c r="Q79">
        <v>3.8832685923755674E-4</v>
      </c>
      <c r="R79">
        <v>78</v>
      </c>
      <c r="S79">
        <v>1.6481138924576166E-3</v>
      </c>
      <c r="T79">
        <v>3.8832685923755658E-4</v>
      </c>
      <c r="AE79">
        <v>1.0000000000000007</v>
      </c>
      <c r="AF79">
        <v>1.4584598186017315</v>
      </c>
      <c r="AG79">
        <v>1.7351600266929594</v>
      </c>
      <c r="AI79">
        <v>78</v>
      </c>
      <c r="AJ79">
        <v>0.12622953702293377</v>
      </c>
      <c r="AK79">
        <v>0.5</v>
      </c>
      <c r="AT79">
        <v>1.0000000000000007</v>
      </c>
      <c r="AU79">
        <v>1.4584598186017315</v>
      </c>
    </row>
    <row r="80" spans="1:47" x14ac:dyDescent="0.25">
      <c r="A80" t="s">
        <v>50</v>
      </c>
      <c r="B80">
        <v>6.9</v>
      </c>
      <c r="C80">
        <v>3.1</v>
      </c>
      <c r="D80">
        <v>4.9000000000000004</v>
      </c>
      <c r="E80">
        <v>1.5</v>
      </c>
      <c r="G80" t="s">
        <v>50</v>
      </c>
      <c r="H80">
        <v>0</v>
      </c>
      <c r="I80">
        <v>1</v>
      </c>
      <c r="J80">
        <v>0</v>
      </c>
      <c r="L80">
        <v>79</v>
      </c>
      <c r="M80">
        <v>1.8451245653133167E-2</v>
      </c>
      <c r="N80">
        <v>4.2813036230940626E-3</v>
      </c>
      <c r="O80">
        <v>79</v>
      </c>
      <c r="P80">
        <v>1.0315436908022251E-3</v>
      </c>
      <c r="Q80">
        <v>4.0774320219943457E-4</v>
      </c>
      <c r="R80">
        <v>79</v>
      </c>
      <c r="S80">
        <v>1.634443025547816E-3</v>
      </c>
      <c r="T80">
        <v>4.077432021994344E-4</v>
      </c>
      <c r="AE80">
        <v>0.37000000000000016</v>
      </c>
      <c r="AF80">
        <v>-1.5553137207229291</v>
      </c>
      <c r="AG80">
        <v>-1.4863069682519949</v>
      </c>
      <c r="AI80">
        <v>79</v>
      </c>
      <c r="AJ80">
        <v>0.12600394689584771</v>
      </c>
      <c r="AK80">
        <v>1</v>
      </c>
      <c r="AT80">
        <v>0.37000000000000016</v>
      </c>
      <c r="AU80">
        <v>-1.5553137207229291</v>
      </c>
    </row>
    <row r="81" spans="1:47" x14ac:dyDescent="0.25">
      <c r="A81" t="s">
        <v>50</v>
      </c>
      <c r="B81">
        <v>5.8</v>
      </c>
      <c r="C81">
        <v>2.7</v>
      </c>
      <c r="D81">
        <v>4.0999999999999996</v>
      </c>
      <c r="E81">
        <v>1</v>
      </c>
      <c r="G81" t="s">
        <v>50</v>
      </c>
      <c r="H81">
        <v>0</v>
      </c>
      <c r="I81">
        <v>1</v>
      </c>
      <c r="J81">
        <v>0</v>
      </c>
      <c r="L81">
        <v>80</v>
      </c>
      <c r="M81">
        <v>1.8329257064350155E-2</v>
      </c>
      <c r="N81">
        <v>4.4953688042487661E-3</v>
      </c>
      <c r="O81">
        <v>80</v>
      </c>
      <c r="P81">
        <v>1.0269719234396958E-3</v>
      </c>
      <c r="Q81">
        <v>4.2813036230940631E-4</v>
      </c>
      <c r="R81">
        <v>80</v>
      </c>
      <c r="S81">
        <v>1.6207016089421964E-3</v>
      </c>
      <c r="T81">
        <v>4.2813036230940615E-4</v>
      </c>
      <c r="AE81">
        <v>0.4100000000000002</v>
      </c>
      <c r="AF81">
        <v>-1.212424388548184</v>
      </c>
      <c r="AG81">
        <v>-1.3976816032988957</v>
      </c>
      <c r="AI81">
        <v>80</v>
      </c>
      <c r="AJ81">
        <v>0.12572310175555221</v>
      </c>
      <c r="AK81">
        <v>1</v>
      </c>
      <c r="AT81">
        <v>0.4100000000000002</v>
      </c>
      <c r="AU81">
        <v>-1.212424388548184</v>
      </c>
    </row>
    <row r="82" spans="1:47" x14ac:dyDescent="0.25">
      <c r="A82" t="s">
        <v>50</v>
      </c>
      <c r="B82">
        <v>6.1</v>
      </c>
      <c r="C82">
        <v>2.8</v>
      </c>
      <c r="D82">
        <v>4</v>
      </c>
      <c r="E82">
        <v>1.3</v>
      </c>
      <c r="G82" t="s">
        <v>50</v>
      </c>
      <c r="H82">
        <v>0</v>
      </c>
      <c r="I82">
        <v>1</v>
      </c>
      <c r="J82">
        <v>0</v>
      </c>
      <c r="L82">
        <v>81</v>
      </c>
      <c r="M82">
        <v>1.8201272286506715E-2</v>
      </c>
      <c r="N82">
        <v>4.7201372444612049E-3</v>
      </c>
      <c r="O82">
        <v>81</v>
      </c>
      <c r="P82">
        <v>1.0222220570283648E-3</v>
      </c>
      <c r="Q82">
        <v>4.4953688042487667E-4</v>
      </c>
      <c r="R82">
        <v>81</v>
      </c>
      <c r="S82">
        <v>1.6070025980412796E-3</v>
      </c>
      <c r="T82">
        <v>4.4953688042487645E-4</v>
      </c>
      <c r="AE82">
        <v>0.22000000000000006</v>
      </c>
      <c r="AF82">
        <v>0.56207505153349846</v>
      </c>
      <c r="AG82">
        <v>0.39727084168389126</v>
      </c>
      <c r="AI82">
        <v>81</v>
      </c>
      <c r="AJ82">
        <v>0.12545589237298241</v>
      </c>
      <c r="AK82">
        <v>1</v>
      </c>
      <c r="AT82">
        <v>0.22000000000000006</v>
      </c>
      <c r="AU82">
        <v>0.56207505153349846</v>
      </c>
    </row>
    <row r="83" spans="1:47" x14ac:dyDescent="0.25">
      <c r="A83" t="s">
        <v>50</v>
      </c>
      <c r="B83">
        <v>6.7</v>
      </c>
      <c r="C83">
        <v>3.1</v>
      </c>
      <c r="D83">
        <v>4.4000000000000004</v>
      </c>
      <c r="E83">
        <v>1.4</v>
      </c>
      <c r="G83" t="s">
        <v>50</v>
      </c>
      <c r="H83">
        <v>0</v>
      </c>
      <c r="I83">
        <v>1</v>
      </c>
      <c r="J83">
        <v>0</v>
      </c>
      <c r="L83">
        <v>82</v>
      </c>
      <c r="M83">
        <v>1.80673006227135E-2</v>
      </c>
      <c r="N83">
        <v>4.9561441066842656E-3</v>
      </c>
      <c r="O83">
        <v>82</v>
      </c>
      <c r="P83">
        <v>1.017289652762731E-3</v>
      </c>
      <c r="Q83">
        <v>4.7201372444612052E-4</v>
      </c>
      <c r="R83">
        <v>82</v>
      </c>
      <c r="S83">
        <v>1.5934753450252406E-3</v>
      </c>
      <c r="T83">
        <v>4.720137244461203E-4</v>
      </c>
      <c r="AE83">
        <v>0.84000000000000052</v>
      </c>
      <c r="AF83">
        <v>-1.2042841006390772</v>
      </c>
      <c r="AG83">
        <v>-0.87589664432540459</v>
      </c>
      <c r="AI83">
        <v>82</v>
      </c>
      <c r="AJ83">
        <v>0.12421819187289516</v>
      </c>
      <c r="AK83">
        <v>1</v>
      </c>
      <c r="AT83">
        <v>0.84000000000000052</v>
      </c>
      <c r="AU83">
        <v>-1.2042841006390772</v>
      </c>
    </row>
    <row r="84" spans="1:47" x14ac:dyDescent="0.25">
      <c r="A84" t="s">
        <v>50</v>
      </c>
      <c r="B84">
        <v>6.1</v>
      </c>
      <c r="C84">
        <v>2.8</v>
      </c>
      <c r="D84">
        <v>4.7</v>
      </c>
      <c r="E84">
        <v>1.2</v>
      </c>
      <c r="G84" t="s">
        <v>50</v>
      </c>
      <c r="H84">
        <v>0</v>
      </c>
      <c r="I84">
        <v>1</v>
      </c>
      <c r="J84">
        <v>0</v>
      </c>
      <c r="L84">
        <v>83</v>
      </c>
      <c r="M84">
        <v>1.7927411202478979E-2</v>
      </c>
      <c r="N84">
        <v>5.2039513120184788E-3</v>
      </c>
      <c r="O84">
        <v>83</v>
      </c>
      <c r="P84">
        <v>1.0121706642817953E-3</v>
      </c>
      <c r="Q84">
        <v>4.9561441066842658E-4</v>
      </c>
      <c r="R84">
        <v>83</v>
      </c>
      <c r="S84">
        <v>1.5802689334286795E-3</v>
      </c>
      <c r="T84">
        <v>4.9561441066842636E-4</v>
      </c>
      <c r="AE84">
        <v>0.66000000000000036</v>
      </c>
      <c r="AF84">
        <v>0.51571860204728837</v>
      </c>
      <c r="AG84">
        <v>0.49038396195235734</v>
      </c>
      <c r="AI84">
        <v>83</v>
      </c>
      <c r="AJ84">
        <v>0.12267386069080911</v>
      </c>
      <c r="AK84">
        <v>1</v>
      </c>
      <c r="AT84">
        <v>0.66000000000000036</v>
      </c>
      <c r="AU84">
        <v>0.51571860204728837</v>
      </c>
    </row>
    <row r="85" spans="1:47" x14ac:dyDescent="0.25">
      <c r="A85" t="s">
        <v>50</v>
      </c>
      <c r="B85">
        <v>7</v>
      </c>
      <c r="C85">
        <v>3.2</v>
      </c>
      <c r="D85">
        <v>4.7</v>
      </c>
      <c r="E85">
        <v>1.4</v>
      </c>
      <c r="G85" t="s">
        <v>50</v>
      </c>
      <c r="H85">
        <v>0</v>
      </c>
      <c r="I85">
        <v>1</v>
      </c>
      <c r="J85">
        <v>0</v>
      </c>
      <c r="L85">
        <v>84</v>
      </c>
      <c r="M85">
        <v>1.7781734094849653E-2</v>
      </c>
      <c r="N85">
        <v>5.4641488776194028E-3</v>
      </c>
      <c r="O85">
        <v>84</v>
      </c>
      <c r="P85">
        <v>1.0068611177041248E-3</v>
      </c>
      <c r="Q85">
        <v>5.2039513120184788E-4</v>
      </c>
      <c r="R85">
        <v>84</v>
      </c>
      <c r="S85">
        <v>1.567553284586269E-3</v>
      </c>
      <c r="T85">
        <v>5.2039513120184767E-4</v>
      </c>
      <c r="AE85">
        <v>0.29000000000000009</v>
      </c>
      <c r="AF85">
        <v>-0.46602817895844928</v>
      </c>
      <c r="AG85">
        <v>-0.83477292232161915</v>
      </c>
      <c r="AI85">
        <v>84</v>
      </c>
      <c r="AJ85">
        <v>0.12178235498702042</v>
      </c>
      <c r="AK85">
        <v>1</v>
      </c>
      <c r="AT85">
        <v>0.29000000000000009</v>
      </c>
      <c r="AU85">
        <v>-0.46602817895844928</v>
      </c>
    </row>
    <row r="86" spans="1:47" x14ac:dyDescent="0.25">
      <c r="A86" t="s">
        <v>50</v>
      </c>
      <c r="B86">
        <v>6.6</v>
      </c>
      <c r="C86">
        <v>3</v>
      </c>
      <c r="D86">
        <v>4.4000000000000004</v>
      </c>
      <c r="E86">
        <v>1.4</v>
      </c>
      <c r="G86" t="s">
        <v>50</v>
      </c>
      <c r="H86">
        <v>0</v>
      </c>
      <c r="I86">
        <v>1</v>
      </c>
      <c r="J86">
        <v>0</v>
      </c>
      <c r="L86">
        <v>85</v>
      </c>
      <c r="M86">
        <v>1.7630458763072211E-2</v>
      </c>
      <c r="N86">
        <v>5.7373563215003731E-3</v>
      </c>
      <c r="O86">
        <v>85</v>
      </c>
      <c r="P86">
        <v>1.001356819698663E-3</v>
      </c>
      <c r="Q86">
        <v>5.464148877619403E-4</v>
      </c>
      <c r="R86">
        <v>85</v>
      </c>
      <c r="S86">
        <v>1.5555151552273862E-3</v>
      </c>
      <c r="T86">
        <v>5.4641488776194008E-4</v>
      </c>
      <c r="AE86">
        <v>0.77000000000000046</v>
      </c>
      <c r="AF86">
        <v>-0.52895814143836328</v>
      </c>
      <c r="AG86">
        <v>-0.49771399514860448</v>
      </c>
      <c r="AI86">
        <v>85</v>
      </c>
      <c r="AJ86">
        <v>0.12158661316804167</v>
      </c>
      <c r="AK86">
        <v>1</v>
      </c>
      <c r="AT86">
        <v>0.77000000000000046</v>
      </c>
      <c r="AU86">
        <v>-0.52895814143836328</v>
      </c>
    </row>
    <row r="87" spans="1:47" x14ac:dyDescent="0.25">
      <c r="A87" t="s">
        <v>50</v>
      </c>
      <c r="B87">
        <v>5.8</v>
      </c>
      <c r="C87">
        <v>2.6</v>
      </c>
      <c r="D87">
        <v>4</v>
      </c>
      <c r="E87">
        <v>1.2</v>
      </c>
      <c r="G87" t="s">
        <v>50</v>
      </c>
      <c r="H87">
        <v>0</v>
      </c>
      <c r="I87">
        <v>1</v>
      </c>
      <c r="J87">
        <v>0</v>
      </c>
      <c r="L87">
        <v>86</v>
      </c>
      <c r="M87">
        <v>1.7473829612847134E-2</v>
      </c>
      <c r="N87">
        <v>6.0242241375753919E-3</v>
      </c>
      <c r="O87">
        <v>86</v>
      </c>
      <c r="P87">
        <v>9.9565302410071273E-4</v>
      </c>
      <c r="Q87">
        <v>5.7373563215003731E-4</v>
      </c>
      <c r="R87">
        <v>86</v>
      </c>
      <c r="S87">
        <v>1.5443430311639936E-3</v>
      </c>
      <c r="T87">
        <v>5.7373563215003709E-4</v>
      </c>
      <c r="AE87">
        <v>0.54000000000000026</v>
      </c>
      <c r="AF87">
        <v>-0.26263623426867927</v>
      </c>
      <c r="AG87">
        <v>-0.13684772985337901</v>
      </c>
      <c r="AI87">
        <v>86</v>
      </c>
      <c r="AJ87">
        <v>0.12109205447802841</v>
      </c>
      <c r="AK87">
        <v>0.5</v>
      </c>
      <c r="AT87">
        <v>0.54000000000000026</v>
      </c>
      <c r="AU87">
        <v>-0.26263623426867927</v>
      </c>
    </row>
    <row r="88" spans="1:47" x14ac:dyDescent="0.25">
      <c r="A88" t="s">
        <v>50</v>
      </c>
      <c r="B88">
        <v>5.6</v>
      </c>
      <c r="C88">
        <v>2.5</v>
      </c>
      <c r="D88">
        <v>3.9</v>
      </c>
      <c r="E88">
        <v>1.1000000000000001</v>
      </c>
      <c r="G88" t="s">
        <v>50</v>
      </c>
      <c r="H88">
        <v>0</v>
      </c>
      <c r="I88">
        <v>1</v>
      </c>
      <c r="J88">
        <v>0</v>
      </c>
      <c r="L88">
        <v>87</v>
      </c>
      <c r="M88">
        <v>1.7312138907006537E-2</v>
      </c>
      <c r="N88">
        <v>6.3254353444541622E-3</v>
      </c>
      <c r="O88">
        <v>87</v>
      </c>
      <c r="P88">
        <v>9.8974404358495973E-4</v>
      </c>
      <c r="Q88">
        <v>6.0242241375753922E-4</v>
      </c>
      <c r="R88">
        <v>87</v>
      </c>
      <c r="S88">
        <v>1.5341941682226726E-3</v>
      </c>
      <c r="T88">
        <v>6.02422413757539E-4</v>
      </c>
      <c r="AE88">
        <v>0.95000000000000062</v>
      </c>
      <c r="AF88">
        <v>0.57703042287198059</v>
      </c>
      <c r="AG88">
        <v>0.46667490842684245</v>
      </c>
      <c r="AI88">
        <v>87</v>
      </c>
      <c r="AJ88">
        <v>0.12090601098967646</v>
      </c>
      <c r="AK88">
        <v>1</v>
      </c>
      <c r="AT88">
        <v>0.95000000000000062</v>
      </c>
      <c r="AU88">
        <v>0.57703042287198059</v>
      </c>
    </row>
    <row r="89" spans="1:47" x14ac:dyDescent="0.25">
      <c r="A89" t="s">
        <v>50</v>
      </c>
      <c r="B89">
        <v>6.4</v>
      </c>
      <c r="C89">
        <v>2.9</v>
      </c>
      <c r="D89">
        <v>4.3</v>
      </c>
      <c r="E89">
        <v>1.3</v>
      </c>
      <c r="G89" t="s">
        <v>50</v>
      </c>
      <c r="H89">
        <v>0</v>
      </c>
      <c r="I89">
        <v>1</v>
      </c>
      <c r="J89">
        <v>0</v>
      </c>
      <c r="L89">
        <v>88</v>
      </c>
      <c r="M89">
        <v>1.7145718176058887E-2</v>
      </c>
      <c r="N89">
        <v>6.6417071116768702E-3</v>
      </c>
      <c r="O89">
        <v>88</v>
      </c>
      <c r="P89">
        <v>9.8362281344953795E-4</v>
      </c>
      <c r="Q89">
        <v>6.3254353444541615E-4</v>
      </c>
      <c r="R89">
        <v>88</v>
      </c>
      <c r="S89">
        <v>1.5251418680592654E-3</v>
      </c>
      <c r="T89">
        <v>6.3254353444541593E-4</v>
      </c>
      <c r="AE89">
        <v>0.68000000000000038</v>
      </c>
      <c r="AF89">
        <v>0.495428709292761</v>
      </c>
      <c r="AG89">
        <v>0.31234605735100374</v>
      </c>
      <c r="AI89">
        <v>88</v>
      </c>
      <c r="AJ89">
        <v>0.12078860161092524</v>
      </c>
      <c r="AK89">
        <v>1</v>
      </c>
      <c r="AT89">
        <v>0.68000000000000038</v>
      </c>
      <c r="AU89">
        <v>0.495428709292761</v>
      </c>
    </row>
    <row r="90" spans="1:47" x14ac:dyDescent="0.25">
      <c r="A90" t="s">
        <v>50</v>
      </c>
      <c r="B90">
        <v>6.5</v>
      </c>
      <c r="C90">
        <v>2.8</v>
      </c>
      <c r="D90">
        <v>4.5999999999999996</v>
      </c>
      <c r="E90">
        <v>1.5</v>
      </c>
      <c r="G90" t="s">
        <v>50</v>
      </c>
      <c r="H90">
        <v>0</v>
      </c>
      <c r="I90">
        <v>1</v>
      </c>
      <c r="J90">
        <v>0</v>
      </c>
      <c r="L90">
        <v>89</v>
      </c>
      <c r="M90">
        <v>1.6974930499324609E-2</v>
      </c>
      <c r="N90">
        <v>6.973792467260714E-3</v>
      </c>
      <c r="O90">
        <v>89</v>
      </c>
      <c r="P90">
        <v>9.7728042449123195E-4</v>
      </c>
      <c r="Q90">
        <v>6.6417071116768697E-4</v>
      </c>
      <c r="R90">
        <v>89</v>
      </c>
      <c r="S90">
        <v>1.5171100074721109E-3</v>
      </c>
      <c r="T90">
        <v>6.6417071116768676E-4</v>
      </c>
      <c r="AE90">
        <v>0.79000000000000048</v>
      </c>
      <c r="AF90">
        <v>-0.12711987240511324</v>
      </c>
      <c r="AG90">
        <v>-0.54331431320164469</v>
      </c>
      <c r="AI90">
        <v>89</v>
      </c>
      <c r="AJ90">
        <v>0.12037909169897178</v>
      </c>
      <c r="AK90">
        <v>1</v>
      </c>
      <c r="AT90">
        <v>0.79000000000000048</v>
      </c>
      <c r="AU90">
        <v>-0.12711987240511324</v>
      </c>
    </row>
    <row r="91" spans="1:47" x14ac:dyDescent="0.25">
      <c r="A91" t="s">
        <v>50</v>
      </c>
      <c r="B91">
        <v>5.5</v>
      </c>
      <c r="C91">
        <v>2.4</v>
      </c>
      <c r="D91">
        <v>3.7</v>
      </c>
      <c r="E91">
        <v>1</v>
      </c>
      <c r="G91" t="s">
        <v>50</v>
      </c>
      <c r="H91">
        <v>0</v>
      </c>
      <c r="I91">
        <v>1</v>
      </c>
      <c r="J91">
        <v>0</v>
      </c>
      <c r="L91">
        <v>90</v>
      </c>
      <c r="M91">
        <v>1.6800167661220007E-2</v>
      </c>
      <c r="N91">
        <v>7.3224820906237498E-3</v>
      </c>
      <c r="O91">
        <v>90</v>
      </c>
      <c r="P91">
        <v>9.7070564994958795E-4</v>
      </c>
      <c r="Q91">
        <v>6.9737924672607136E-4</v>
      </c>
      <c r="R91">
        <v>90</v>
      </c>
      <c r="S91">
        <v>1.5098072269347357E-3</v>
      </c>
      <c r="T91">
        <v>6.9737924672607114E-4</v>
      </c>
      <c r="AE91">
        <v>0.65000000000000036</v>
      </c>
      <c r="AF91">
        <v>0.51834428671943988</v>
      </c>
      <c r="AG91">
        <v>0.54695203355250399</v>
      </c>
      <c r="AI91">
        <v>90</v>
      </c>
      <c r="AJ91">
        <v>0.12014455747118588</v>
      </c>
      <c r="AK91">
        <v>1</v>
      </c>
      <c r="AT91">
        <v>0.65000000000000036</v>
      </c>
      <c r="AU91">
        <v>0.51834428671943988</v>
      </c>
    </row>
    <row r="92" spans="1:47" x14ac:dyDescent="0.25">
      <c r="A92" t="s">
        <v>50</v>
      </c>
      <c r="B92">
        <v>5.5</v>
      </c>
      <c r="C92">
        <v>2.4</v>
      </c>
      <c r="D92">
        <v>3.8</v>
      </c>
      <c r="E92">
        <v>1.1000000000000001</v>
      </c>
      <c r="G92" t="s">
        <v>50</v>
      </c>
      <c r="H92">
        <v>0</v>
      </c>
      <c r="I92">
        <v>1</v>
      </c>
      <c r="J92">
        <v>0</v>
      </c>
      <c r="L92">
        <v>91</v>
      </c>
      <c r="M92">
        <v>1.6621858099712693E-2</v>
      </c>
      <c r="N92">
        <v>7.688606195154938E-3</v>
      </c>
      <c r="O92">
        <v>91</v>
      </c>
      <c r="P92">
        <v>9.6388450264658161E-4</v>
      </c>
      <c r="Q92">
        <v>7.3224820906237496E-4</v>
      </c>
      <c r="R92">
        <v>91</v>
      </c>
      <c r="S92">
        <v>1.5026675422117998E-3</v>
      </c>
      <c r="T92">
        <v>7.3224820906237474E-4</v>
      </c>
      <c r="AE92">
        <v>0.09</v>
      </c>
      <c r="AF92">
        <v>1.8008686691338132</v>
      </c>
      <c r="AG92">
        <v>1.3669431163100469</v>
      </c>
      <c r="AI92">
        <v>91</v>
      </c>
      <c r="AJ92">
        <v>0.11901242105253995</v>
      </c>
      <c r="AK92">
        <v>1</v>
      </c>
      <c r="AT92">
        <v>0.09</v>
      </c>
      <c r="AU92">
        <v>1.8008686691338132</v>
      </c>
    </row>
    <row r="93" spans="1:47" x14ac:dyDescent="0.25">
      <c r="A93" t="s">
        <v>50</v>
      </c>
      <c r="B93">
        <v>5.5</v>
      </c>
      <c r="C93">
        <v>2.2999999999999998</v>
      </c>
      <c r="D93">
        <v>4</v>
      </c>
      <c r="E93">
        <v>1.3</v>
      </c>
      <c r="G93" t="s">
        <v>50</v>
      </c>
      <c r="H93">
        <v>0</v>
      </c>
      <c r="I93">
        <v>1</v>
      </c>
      <c r="J93">
        <v>0</v>
      </c>
      <c r="L93">
        <v>92</v>
      </c>
      <c r="M93">
        <v>1.6440493522999599E-2</v>
      </c>
      <c r="N93">
        <v>8.073036504912685E-3</v>
      </c>
      <c r="O93">
        <v>92</v>
      </c>
      <c r="P93">
        <v>9.5679987775927188E-4</v>
      </c>
      <c r="Q93">
        <v>7.6886061951549371E-4</v>
      </c>
      <c r="R93">
        <v>92</v>
      </c>
      <c r="S93">
        <v>1.4947931614472823E-3</v>
      </c>
      <c r="T93">
        <v>7.6886061951549349E-4</v>
      </c>
      <c r="AE93">
        <v>0.24000000000000007</v>
      </c>
      <c r="AF93">
        <v>-3.0333782777252235E-2</v>
      </c>
      <c r="AG93">
        <v>6.0708332535000409E-2</v>
      </c>
      <c r="AI93">
        <v>92</v>
      </c>
      <c r="AJ93">
        <v>0.11695507369103655</v>
      </c>
      <c r="AK93">
        <v>0.5</v>
      </c>
      <c r="AT93">
        <v>0.24000000000000007</v>
      </c>
      <c r="AU93">
        <v>-3.0333782777252235E-2</v>
      </c>
    </row>
    <row r="94" spans="1:47" x14ac:dyDescent="0.25">
      <c r="A94" t="s">
        <v>50</v>
      </c>
      <c r="B94">
        <v>6.6</v>
      </c>
      <c r="C94">
        <v>2.9</v>
      </c>
      <c r="D94">
        <v>4.5999999999999996</v>
      </c>
      <c r="E94">
        <v>1.3</v>
      </c>
      <c r="G94" t="s">
        <v>50</v>
      </c>
      <c r="H94">
        <v>0</v>
      </c>
      <c r="I94">
        <v>1</v>
      </c>
      <c r="J94">
        <v>0</v>
      </c>
      <c r="L94">
        <v>93</v>
      </c>
      <c r="M94">
        <v>1.6256683699664504E-2</v>
      </c>
      <c r="N94">
        <v>8.4766883301583204E-3</v>
      </c>
      <c r="O94">
        <v>93</v>
      </c>
      <c r="P94">
        <v>9.4943136770668719E-4</v>
      </c>
      <c r="Q94">
        <v>8.0730365049126848E-4</v>
      </c>
      <c r="R94">
        <v>93</v>
      </c>
      <c r="S94">
        <v>1.4849027587602722E-3</v>
      </c>
      <c r="T94">
        <v>8.0730365049126816E-4</v>
      </c>
      <c r="AE94">
        <v>0.64000000000000035</v>
      </c>
      <c r="AF94">
        <v>0.37766253965129049</v>
      </c>
      <c r="AG94">
        <v>0.57929438184815041</v>
      </c>
      <c r="AI94">
        <v>93</v>
      </c>
      <c r="AJ94">
        <v>0.1163392227126179</v>
      </c>
      <c r="AK94">
        <v>7.8125E-3</v>
      </c>
      <c r="AT94">
        <v>0.64000000000000035</v>
      </c>
      <c r="AU94">
        <v>0.37766253965129049</v>
      </c>
    </row>
    <row r="95" spans="1:47" x14ac:dyDescent="0.25">
      <c r="A95" t="s">
        <v>50</v>
      </c>
      <c r="B95">
        <v>5</v>
      </c>
      <c r="C95">
        <v>2</v>
      </c>
      <c r="D95">
        <v>3.5</v>
      </c>
      <c r="E95">
        <v>1</v>
      </c>
      <c r="G95" t="s">
        <v>50</v>
      </c>
      <c r="H95">
        <v>0</v>
      </c>
      <c r="I95">
        <v>1</v>
      </c>
      <c r="J95">
        <v>0</v>
      </c>
      <c r="L95">
        <v>94</v>
      </c>
      <c r="M95">
        <v>1.6071249773456069E-2</v>
      </c>
      <c r="N95">
        <v>8.9005227466662368E-3</v>
      </c>
      <c r="O95">
        <v>94</v>
      </c>
      <c r="P95">
        <v>9.417553759473689E-4</v>
      </c>
      <c r="Q95">
        <v>8.4766883301583198E-4</v>
      </c>
      <c r="R95">
        <v>94</v>
      </c>
      <c r="S95">
        <v>1.4713340305236096E-3</v>
      </c>
      <c r="T95">
        <v>8.4766883301583165E-4</v>
      </c>
      <c r="AE95">
        <v>0.97000000000000064</v>
      </c>
      <c r="AF95">
        <v>1.1610505397741118</v>
      </c>
      <c r="AG95">
        <v>0.9568002864984102</v>
      </c>
      <c r="AI95">
        <v>94</v>
      </c>
      <c r="AJ95">
        <v>0.11454539584752266</v>
      </c>
      <c r="AK95">
        <v>1</v>
      </c>
      <c r="AT95">
        <v>0.97000000000000064</v>
      </c>
      <c r="AU95">
        <v>1.1610505397741118</v>
      </c>
    </row>
    <row r="96" spans="1:47" x14ac:dyDescent="0.25">
      <c r="A96" t="s">
        <v>50</v>
      </c>
      <c r="B96">
        <v>6.8</v>
      </c>
      <c r="C96">
        <v>2.8</v>
      </c>
      <c r="D96">
        <v>4.8</v>
      </c>
      <c r="E96">
        <v>1.4</v>
      </c>
      <c r="G96" t="s">
        <v>50</v>
      </c>
      <c r="H96">
        <v>0</v>
      </c>
      <c r="I96">
        <v>1</v>
      </c>
      <c r="J96">
        <v>0</v>
      </c>
      <c r="L96">
        <v>95</v>
      </c>
      <c r="M96">
        <v>1.5885366140330391E-2</v>
      </c>
      <c r="N96">
        <v>9.3455488839995493E-3</v>
      </c>
      <c r="O96">
        <v>95</v>
      </c>
      <c r="P96">
        <v>9.3374569339466421E-4</v>
      </c>
      <c r="Q96">
        <v>8.9005227466662366E-4</v>
      </c>
      <c r="R96">
        <v>95</v>
      </c>
      <c r="S96">
        <v>1.4522086304201776E-3</v>
      </c>
      <c r="T96">
        <v>8.9005227466662322E-4</v>
      </c>
      <c r="AE96">
        <v>0.8100000000000005</v>
      </c>
      <c r="AF96">
        <v>-0.38025752111090411</v>
      </c>
      <c r="AG96">
        <v>-0.64033191984075799</v>
      </c>
      <c r="AI96">
        <v>95</v>
      </c>
      <c r="AJ96">
        <v>0.10739642812007076</v>
      </c>
      <c r="AK96">
        <v>1</v>
      </c>
      <c r="AT96">
        <v>0.8100000000000005</v>
      </c>
      <c r="AU96">
        <v>-0.38025752111090411</v>
      </c>
    </row>
    <row r="97" spans="1:47" x14ac:dyDescent="0.25">
      <c r="A97" t="s">
        <v>50</v>
      </c>
      <c r="B97">
        <v>6.3</v>
      </c>
      <c r="C97">
        <v>2.5</v>
      </c>
      <c r="D97">
        <v>4.9000000000000004</v>
      </c>
      <c r="E97">
        <v>1.5</v>
      </c>
      <c r="G97" t="s">
        <v>50</v>
      </c>
      <c r="H97">
        <v>0</v>
      </c>
      <c r="I97">
        <v>1</v>
      </c>
      <c r="J97">
        <v>0</v>
      </c>
      <c r="L97">
        <v>96</v>
      </c>
      <c r="M97">
        <v>1.5700759308887511E-2</v>
      </c>
      <c r="N97">
        <v>9.8128263281995268E-3</v>
      </c>
      <c r="O97">
        <v>96</v>
      </c>
      <c r="P97">
        <v>9.2537471479098743E-4</v>
      </c>
      <c r="Q97">
        <v>9.3455488839995493E-4</v>
      </c>
      <c r="R97">
        <v>96</v>
      </c>
      <c r="S97">
        <v>1.4258636213750444E-3</v>
      </c>
      <c r="T97">
        <v>9.3455488839995439E-4</v>
      </c>
      <c r="AE97">
        <v>0.60000000000000031</v>
      </c>
      <c r="AF97">
        <v>0.77187959722011201</v>
      </c>
      <c r="AG97">
        <v>0.47560407113750358</v>
      </c>
      <c r="AI97">
        <v>96</v>
      </c>
      <c r="AJ97">
        <v>0.1013832084493187</v>
      </c>
      <c r="AK97">
        <v>1</v>
      </c>
      <c r="AT97">
        <v>0.60000000000000031</v>
      </c>
      <c r="AU97">
        <v>0.77187959722011201</v>
      </c>
    </row>
    <row r="98" spans="1:47" x14ac:dyDescent="0.25">
      <c r="A98" t="s">
        <v>50</v>
      </c>
      <c r="B98">
        <v>6.2</v>
      </c>
      <c r="C98">
        <v>2.2000000000000002</v>
      </c>
      <c r="D98">
        <v>4.5</v>
      </c>
      <c r="E98">
        <v>1.5</v>
      </c>
      <c r="G98" t="s">
        <v>50</v>
      </c>
      <c r="H98">
        <v>0</v>
      </c>
      <c r="I98">
        <v>1</v>
      </c>
      <c r="J98">
        <v>0</v>
      </c>
      <c r="L98">
        <v>97</v>
      </c>
      <c r="M98">
        <v>1.551996910926157E-2</v>
      </c>
      <c r="N98">
        <v>1.0303467644609503E-2</v>
      </c>
      <c r="O98">
        <v>97</v>
      </c>
      <c r="P98">
        <v>9.1661544928324414E-4</v>
      </c>
      <c r="Q98">
        <v>9.8128263281995268E-4</v>
      </c>
      <c r="R98">
        <v>97</v>
      </c>
      <c r="S98">
        <v>1.3915219319195855E-3</v>
      </c>
      <c r="T98">
        <v>9.8128263281995224E-4</v>
      </c>
      <c r="AE98">
        <v>0.88000000000000056</v>
      </c>
      <c r="AF98">
        <v>-0.72111719830586707</v>
      </c>
      <c r="AG98">
        <v>-0.85271963527325312</v>
      </c>
      <c r="AI98">
        <v>97</v>
      </c>
      <c r="AJ98">
        <v>9.9832558692489373E-2</v>
      </c>
      <c r="AK98">
        <v>0.25</v>
      </c>
      <c r="AT98">
        <v>0.88000000000000056</v>
      </c>
      <c r="AU98">
        <v>-0.72111719830586707</v>
      </c>
    </row>
    <row r="99" spans="1:47" x14ac:dyDescent="0.25">
      <c r="A99" t="s">
        <v>50</v>
      </c>
      <c r="B99">
        <v>6.3</v>
      </c>
      <c r="C99">
        <v>2.2999999999999998</v>
      </c>
      <c r="D99">
        <v>4.4000000000000004</v>
      </c>
      <c r="E99">
        <v>1.3</v>
      </c>
      <c r="G99" t="s">
        <v>50</v>
      </c>
      <c r="H99">
        <v>0</v>
      </c>
      <c r="I99">
        <v>1</v>
      </c>
      <c r="J99">
        <v>0</v>
      </c>
      <c r="L99">
        <v>98</v>
      </c>
      <c r="M99">
        <v>1.5346671550561302E-2</v>
      </c>
      <c r="N99">
        <v>1.0818641026839979E-2</v>
      </c>
      <c r="O99">
        <v>98</v>
      </c>
      <c r="P99">
        <v>9.0744442565767944E-4</v>
      </c>
      <c r="Q99">
        <v>1.0303467644609504E-3</v>
      </c>
      <c r="R99">
        <v>98</v>
      </c>
      <c r="S99">
        <v>1.3499607881889905E-3</v>
      </c>
      <c r="T99">
        <v>1.03034676446095E-3</v>
      </c>
      <c r="AE99">
        <v>0.01</v>
      </c>
      <c r="AF99">
        <v>1.7813480288249628</v>
      </c>
      <c r="AG99">
        <v>1.8316718436620256</v>
      </c>
      <c r="AI99">
        <v>98</v>
      </c>
      <c r="AJ99">
        <v>9.486891102220997E-2</v>
      </c>
      <c r="AK99">
        <v>1</v>
      </c>
      <c r="AT99">
        <v>0.01</v>
      </c>
      <c r="AU99">
        <v>1.7813480288249628</v>
      </c>
    </row>
    <row r="100" spans="1:47" x14ac:dyDescent="0.25">
      <c r="A100" t="s">
        <v>50</v>
      </c>
      <c r="B100">
        <v>6</v>
      </c>
      <c r="C100">
        <v>2.2000000000000002</v>
      </c>
      <c r="D100">
        <v>4</v>
      </c>
      <c r="E100">
        <v>1</v>
      </c>
      <c r="G100" t="s">
        <v>50</v>
      </c>
      <c r="H100">
        <v>0</v>
      </c>
      <c r="I100">
        <v>1</v>
      </c>
      <c r="J100">
        <v>0</v>
      </c>
      <c r="L100">
        <v>99</v>
      </c>
      <c r="M100">
        <v>1.5186046765779863E-2</v>
      </c>
      <c r="N100">
        <v>1.1359573078181978E-2</v>
      </c>
      <c r="O100">
        <v>99</v>
      </c>
      <c r="P100">
        <v>8.9784552549236672E-4</v>
      </c>
      <c r="Q100">
        <v>1.0818641026839979E-3</v>
      </c>
      <c r="R100">
        <v>99</v>
      </c>
      <c r="S100">
        <v>1.3037978766724766E-3</v>
      </c>
      <c r="T100">
        <v>1.0818641026839975E-3</v>
      </c>
      <c r="AE100">
        <v>0.05</v>
      </c>
      <c r="AF100">
        <v>1.3759563371840533</v>
      </c>
      <c r="AG100">
        <v>1.5315774505983093</v>
      </c>
      <c r="AI100">
        <v>99</v>
      </c>
      <c r="AJ100">
        <v>8.8198672858231048E-2</v>
      </c>
      <c r="AK100">
        <v>0.5</v>
      </c>
      <c r="AT100">
        <v>0.05</v>
      </c>
      <c r="AU100">
        <v>1.3759563371840533</v>
      </c>
    </row>
    <row r="101" spans="1:47" x14ac:dyDescent="0.25">
      <c r="A101" t="s">
        <v>50</v>
      </c>
      <c r="B101">
        <v>6</v>
      </c>
      <c r="C101">
        <v>2.7</v>
      </c>
      <c r="D101">
        <v>5.0999999999999996</v>
      </c>
      <c r="E101">
        <v>1.6</v>
      </c>
      <c r="G101" t="s">
        <v>51</v>
      </c>
      <c r="H101">
        <v>0</v>
      </c>
      <c r="I101">
        <v>1</v>
      </c>
      <c r="J101">
        <v>0</v>
      </c>
      <c r="L101">
        <v>100</v>
      </c>
      <c r="M101">
        <v>1.5045131421369009E-2</v>
      </c>
      <c r="N101">
        <v>1.1927551732091077E-2</v>
      </c>
      <c r="O101">
        <v>100</v>
      </c>
      <c r="P101">
        <v>8.8781469621010108E-4</v>
      </c>
      <c r="Q101">
        <v>1.1359573078181977E-3</v>
      </c>
      <c r="R101">
        <v>100</v>
      </c>
      <c r="S101">
        <v>1.2570839602951257E-3</v>
      </c>
      <c r="T101">
        <v>1.1359573078181973E-3</v>
      </c>
      <c r="AE101">
        <v>0.25000000000000006</v>
      </c>
      <c r="AF101">
        <v>3.9628386015104572E-2</v>
      </c>
      <c r="AG101">
        <v>-0.12154273875840715</v>
      </c>
      <c r="AI101">
        <v>100</v>
      </c>
      <c r="AJ101">
        <v>8.5172693074064484E-2</v>
      </c>
      <c r="AK101">
        <v>0.5</v>
      </c>
      <c r="AT101">
        <v>0.25000000000000006</v>
      </c>
      <c r="AU101">
        <v>3.9628386015104572E-2</v>
      </c>
    </row>
    <row r="102" spans="1:47" x14ac:dyDescent="0.25">
      <c r="A102" t="s">
        <v>51</v>
      </c>
      <c r="B102">
        <v>6.3</v>
      </c>
      <c r="C102">
        <v>2.8</v>
      </c>
      <c r="D102">
        <v>5.0999999999999996</v>
      </c>
      <c r="E102">
        <v>1.5</v>
      </c>
      <c r="G102" t="s">
        <v>50</v>
      </c>
      <c r="H102">
        <v>0</v>
      </c>
      <c r="I102">
        <v>0</v>
      </c>
      <c r="J102">
        <v>1</v>
      </c>
      <c r="L102">
        <v>101</v>
      </c>
      <c r="M102">
        <v>1.4932988083704458E-2</v>
      </c>
      <c r="N102">
        <v>1.2523929318695632E-2</v>
      </c>
      <c r="O102">
        <v>101</v>
      </c>
      <c r="P102">
        <v>8.7736537013407916E-4</v>
      </c>
      <c r="Q102">
        <v>1.1927551732091076E-3</v>
      </c>
      <c r="R102">
        <v>101</v>
      </c>
      <c r="S102">
        <v>1.2141917086499622E-3</v>
      </c>
      <c r="T102">
        <v>1.1927551732091072E-3</v>
      </c>
      <c r="AE102">
        <v>0.85000000000000053</v>
      </c>
      <c r="AF102">
        <v>-1.0097959941424843</v>
      </c>
      <c r="AG102">
        <v>-0.92982663138518618</v>
      </c>
      <c r="AI102">
        <v>101</v>
      </c>
      <c r="AJ102">
        <v>8.1687727047863923E-2</v>
      </c>
      <c r="AK102">
        <v>1</v>
      </c>
      <c r="AT102">
        <v>0.85000000000000053</v>
      </c>
      <c r="AU102">
        <v>-1.0097959941424843</v>
      </c>
    </row>
    <row r="103" spans="1:47" x14ac:dyDescent="0.25">
      <c r="A103" t="s">
        <v>51</v>
      </c>
      <c r="B103">
        <v>6</v>
      </c>
      <c r="C103">
        <v>3</v>
      </c>
      <c r="D103">
        <v>4.8</v>
      </c>
      <c r="E103">
        <v>1.8</v>
      </c>
      <c r="G103" t="s">
        <v>51</v>
      </c>
      <c r="H103">
        <v>0</v>
      </c>
      <c r="I103">
        <v>0</v>
      </c>
      <c r="J103">
        <v>1</v>
      </c>
      <c r="L103">
        <v>102</v>
      </c>
      <c r="M103">
        <v>1.4860320429325342E-2</v>
      </c>
      <c r="N103">
        <v>1.3150125784630415E-2</v>
      </c>
      <c r="O103">
        <v>102</v>
      </c>
      <c r="P103">
        <v>8.6653422178140506E-4</v>
      </c>
      <c r="Q103">
        <v>1.252392931869563E-3</v>
      </c>
      <c r="R103">
        <v>102</v>
      </c>
      <c r="S103">
        <v>1.1784075168054802E-3</v>
      </c>
      <c r="T103">
        <v>1.2523929318695626E-3</v>
      </c>
      <c r="AI103">
        <v>102</v>
      </c>
      <c r="AJ103">
        <v>8.0551201295313707E-2</v>
      </c>
      <c r="AK103">
        <v>1</v>
      </c>
    </row>
    <row r="104" spans="1:47" x14ac:dyDescent="0.25">
      <c r="A104" t="s">
        <v>51</v>
      </c>
      <c r="B104">
        <v>4.9000000000000004</v>
      </c>
      <c r="C104">
        <v>2.5</v>
      </c>
      <c r="D104">
        <v>4.5</v>
      </c>
      <c r="E104">
        <v>1.7</v>
      </c>
      <c r="G104" t="s">
        <v>51</v>
      </c>
      <c r="H104">
        <v>0</v>
      </c>
      <c r="I104">
        <v>0</v>
      </c>
      <c r="J104">
        <v>1</v>
      </c>
      <c r="L104">
        <v>103</v>
      </c>
      <c r="M104">
        <v>1.4837921840328323E-2</v>
      </c>
      <c r="N104">
        <v>1.3807632073861936E-2</v>
      </c>
      <c r="O104">
        <v>103</v>
      </c>
      <c r="P104">
        <v>8.5538667545905357E-4</v>
      </c>
      <c r="Q104">
        <v>1.3150125784630413E-3</v>
      </c>
      <c r="R104">
        <v>103</v>
      </c>
      <c r="S104">
        <v>1.1508331704220024E-3</v>
      </c>
      <c r="T104">
        <v>1.3150125784630409E-3</v>
      </c>
      <c r="AI104">
        <v>103</v>
      </c>
      <c r="AJ104">
        <v>7.9771993927028537E-2</v>
      </c>
      <c r="AK104">
        <v>0.5</v>
      </c>
    </row>
    <row r="105" spans="1:47" x14ac:dyDescent="0.25">
      <c r="A105" t="s">
        <v>51</v>
      </c>
      <c r="B105">
        <v>6.1</v>
      </c>
      <c r="C105">
        <v>3</v>
      </c>
      <c r="D105">
        <v>4.9000000000000004</v>
      </c>
      <c r="E105">
        <v>1.8</v>
      </c>
      <c r="G105" t="s">
        <v>51</v>
      </c>
      <c r="H105">
        <v>0</v>
      </c>
      <c r="I105">
        <v>0</v>
      </c>
      <c r="J105">
        <v>1</v>
      </c>
      <c r="L105">
        <v>104</v>
      </c>
      <c r="M105">
        <v>1.4873454473128697E-2</v>
      </c>
      <c r="N105">
        <v>1.4498013677555033E-2</v>
      </c>
      <c r="O105">
        <v>104</v>
      </c>
      <c r="P105">
        <v>8.4402144945910028E-4</v>
      </c>
      <c r="Q105">
        <v>1.3807632073861934E-3</v>
      </c>
      <c r="R105">
        <v>104</v>
      </c>
      <c r="S105">
        <v>1.1299590902907153E-3</v>
      </c>
      <c r="T105">
        <v>1.380763207386193E-3</v>
      </c>
      <c r="AI105">
        <v>104</v>
      </c>
      <c r="AJ105">
        <v>7.8675947370836177E-2</v>
      </c>
      <c r="AK105">
        <v>1</v>
      </c>
    </row>
    <row r="106" spans="1:47" x14ac:dyDescent="0.25">
      <c r="A106" t="s">
        <v>51</v>
      </c>
      <c r="B106">
        <v>5.9</v>
      </c>
      <c r="C106">
        <v>3</v>
      </c>
      <c r="D106">
        <v>5.0999999999999996</v>
      </c>
      <c r="E106">
        <v>1.8</v>
      </c>
      <c r="G106" t="s">
        <v>51</v>
      </c>
      <c r="H106">
        <v>0</v>
      </c>
      <c r="I106">
        <v>0</v>
      </c>
      <c r="J106">
        <v>1</v>
      </c>
      <c r="L106">
        <v>105</v>
      </c>
      <c r="M106">
        <v>1.3488746555371524E-2</v>
      </c>
      <c r="N106">
        <v>1.4498013677555035E-3</v>
      </c>
      <c r="O106">
        <v>105</v>
      </c>
      <c r="P106">
        <v>8.3257352912799432E-4</v>
      </c>
      <c r="Q106">
        <v>1.449801367755503E-3</v>
      </c>
      <c r="R106">
        <v>105</v>
      </c>
      <c r="S106">
        <v>1.112034360352798E-3</v>
      </c>
      <c r="T106">
        <v>1.4498013677555026E-3</v>
      </c>
      <c r="AI106">
        <v>105</v>
      </c>
      <c r="AJ106">
        <v>7.763126593403101E-2</v>
      </c>
      <c r="AK106">
        <v>1</v>
      </c>
    </row>
    <row r="107" spans="1:47" x14ac:dyDescent="0.25">
      <c r="A107" t="s">
        <v>51</v>
      </c>
      <c r="B107">
        <v>6.5</v>
      </c>
      <c r="C107">
        <v>3.2</v>
      </c>
      <c r="D107">
        <v>5.0999999999999996</v>
      </c>
      <c r="E107">
        <v>2</v>
      </c>
      <c r="G107" t="s">
        <v>51</v>
      </c>
      <c r="H107">
        <v>0</v>
      </c>
      <c r="I107">
        <v>0</v>
      </c>
      <c r="J107">
        <v>1</v>
      </c>
      <c r="L107">
        <v>106</v>
      </c>
      <c r="M107">
        <v>1.3460379330592E-2</v>
      </c>
      <c r="N107">
        <v>1.5222914361432787E-3</v>
      </c>
      <c r="O107">
        <v>106</v>
      </c>
      <c r="P107">
        <v>8.2121533876796E-4</v>
      </c>
      <c r="Q107">
        <v>1.5222914361432782E-3</v>
      </c>
      <c r="R107">
        <v>106</v>
      </c>
      <c r="S107">
        <v>1.0925148411535359E-3</v>
      </c>
      <c r="T107">
        <v>1.5222914361432778E-3</v>
      </c>
      <c r="AI107">
        <v>106</v>
      </c>
      <c r="AJ107">
        <v>7.0708588006518622E-2</v>
      </c>
      <c r="AK107">
        <v>1</v>
      </c>
    </row>
    <row r="108" spans="1:47" x14ac:dyDescent="0.25">
      <c r="A108" t="s">
        <v>51</v>
      </c>
      <c r="B108">
        <v>6.2</v>
      </c>
      <c r="C108">
        <v>2.8</v>
      </c>
      <c r="D108">
        <v>4.8</v>
      </c>
      <c r="E108">
        <v>1.8</v>
      </c>
      <c r="G108" t="s">
        <v>51</v>
      </c>
      <c r="H108">
        <v>0</v>
      </c>
      <c r="I108">
        <v>0</v>
      </c>
      <c r="J108">
        <v>1</v>
      </c>
      <c r="L108">
        <v>107</v>
      </c>
      <c r="M108">
        <v>1.343011787855021E-2</v>
      </c>
      <c r="N108">
        <v>1.5984060079504427E-3</v>
      </c>
      <c r="O108">
        <v>107</v>
      </c>
      <c r="P108">
        <v>8.101563719618124E-4</v>
      </c>
      <c r="Q108">
        <v>1.5984060079504423E-3</v>
      </c>
      <c r="R108">
        <v>107</v>
      </c>
      <c r="S108">
        <v>1.0684515884889052E-3</v>
      </c>
      <c r="T108">
        <v>1.5984060079504417E-3</v>
      </c>
      <c r="AI108">
        <v>107</v>
      </c>
      <c r="AJ108">
        <v>6.885279692576618E-2</v>
      </c>
      <c r="AK108">
        <v>1</v>
      </c>
    </row>
    <row r="109" spans="1:47" x14ac:dyDescent="0.25">
      <c r="A109" t="s">
        <v>51</v>
      </c>
      <c r="B109">
        <v>6.2</v>
      </c>
      <c r="C109">
        <v>3.4</v>
      </c>
      <c r="D109">
        <v>5.4</v>
      </c>
      <c r="E109">
        <v>2.2999999999999998</v>
      </c>
      <c r="G109" t="s">
        <v>51</v>
      </c>
      <c r="H109">
        <v>0</v>
      </c>
      <c r="I109">
        <v>0</v>
      </c>
      <c r="J109">
        <v>1</v>
      </c>
      <c r="L109">
        <v>108</v>
      </c>
      <c r="M109">
        <v>1.3397686698395316E-2</v>
      </c>
      <c r="N109">
        <v>1.6783263083479649E-3</v>
      </c>
      <c r="O109">
        <v>108</v>
      </c>
      <c r="P109">
        <v>7.9964177770632818E-4</v>
      </c>
      <c r="Q109">
        <v>1.6783263083479645E-3</v>
      </c>
      <c r="R109">
        <v>108</v>
      </c>
      <c r="S109">
        <v>1.0401829707752319E-3</v>
      </c>
      <c r="T109">
        <v>1.6783263083479639E-3</v>
      </c>
      <c r="AI109">
        <v>108</v>
      </c>
      <c r="AJ109">
        <v>6.7167890385621098E-2</v>
      </c>
      <c r="AK109">
        <v>0.5</v>
      </c>
    </row>
    <row r="110" spans="1:47" x14ac:dyDescent="0.25">
      <c r="A110" t="s">
        <v>51</v>
      </c>
      <c r="B110">
        <v>6.4</v>
      </c>
      <c r="C110">
        <v>3.1</v>
      </c>
      <c r="D110">
        <v>5.5</v>
      </c>
      <c r="E110">
        <v>1.8</v>
      </c>
      <c r="G110" t="s">
        <v>51</v>
      </c>
      <c r="H110">
        <v>0</v>
      </c>
      <c r="I110">
        <v>0</v>
      </c>
      <c r="J110">
        <v>1</v>
      </c>
      <c r="L110">
        <v>109</v>
      </c>
      <c r="M110">
        <v>1.3362726785703567E-2</v>
      </c>
      <c r="N110">
        <v>1.7622426237653632E-3</v>
      </c>
      <c r="O110">
        <v>109</v>
      </c>
      <c r="P110">
        <v>7.8994999419586319E-4</v>
      </c>
      <c r="Q110">
        <v>1.7622426237653627E-3</v>
      </c>
      <c r="R110">
        <v>109</v>
      </c>
      <c r="S110">
        <v>1.010429635313084E-3</v>
      </c>
      <c r="T110">
        <v>1.7622426237653621E-3</v>
      </c>
      <c r="AI110">
        <v>109</v>
      </c>
      <c r="AJ110">
        <v>6.5633017914126152E-2</v>
      </c>
      <c r="AK110">
        <v>1</v>
      </c>
    </row>
    <row r="111" spans="1:47" x14ac:dyDescent="0.25">
      <c r="A111" t="s">
        <v>51</v>
      </c>
      <c r="B111">
        <v>5.6</v>
      </c>
      <c r="C111">
        <v>2.8</v>
      </c>
      <c r="D111">
        <v>4.9000000000000004</v>
      </c>
      <c r="E111">
        <v>2</v>
      </c>
      <c r="G111" t="s">
        <v>51</v>
      </c>
      <c r="H111">
        <v>0</v>
      </c>
      <c r="I111">
        <v>0</v>
      </c>
      <c r="J111">
        <v>1</v>
      </c>
      <c r="L111">
        <v>110</v>
      </c>
      <c r="M111">
        <v>1.332491850404147E-2</v>
      </c>
      <c r="N111">
        <v>1.8503547549536313E-3</v>
      </c>
      <c r="O111">
        <v>110</v>
      </c>
      <c r="P111">
        <v>7.8138844197302463E-4</v>
      </c>
      <c r="Q111">
        <v>1.8503547549536309E-3</v>
      </c>
      <c r="R111">
        <v>110</v>
      </c>
      <c r="S111">
        <v>9.8159315060715219E-4</v>
      </c>
      <c r="T111">
        <v>1.8503547549536302E-3</v>
      </c>
      <c r="AI111">
        <v>110</v>
      </c>
      <c r="AJ111">
        <v>6.3699819713650102E-2</v>
      </c>
      <c r="AK111">
        <v>1</v>
      </c>
    </row>
    <row r="112" spans="1:47" x14ac:dyDescent="0.25">
      <c r="A112" t="s">
        <v>51</v>
      </c>
      <c r="B112">
        <v>6.3</v>
      </c>
      <c r="C112">
        <v>2.7</v>
      </c>
      <c r="D112">
        <v>4.9000000000000004</v>
      </c>
      <c r="E112">
        <v>1.8</v>
      </c>
      <c r="G112" t="s">
        <v>51</v>
      </c>
      <c r="H112">
        <v>0</v>
      </c>
      <c r="I112">
        <v>0</v>
      </c>
      <c r="J112">
        <v>1</v>
      </c>
      <c r="L112">
        <v>111</v>
      </c>
      <c r="M112">
        <v>1.3283959753968792E-2</v>
      </c>
      <c r="N112">
        <v>1.9428724927013129E-3</v>
      </c>
      <c r="O112">
        <v>111</v>
      </c>
      <c r="P112">
        <v>7.7428541045191735E-4</v>
      </c>
      <c r="Q112">
        <v>1.9428724927013125E-3</v>
      </c>
      <c r="R112">
        <v>111</v>
      </c>
      <c r="S112">
        <v>9.5424237175641418E-4</v>
      </c>
      <c r="T112">
        <v>1.9428724927013118E-3</v>
      </c>
      <c r="AI112">
        <v>111</v>
      </c>
      <c r="AJ112">
        <v>5.9280164235034349E-2</v>
      </c>
      <c r="AK112">
        <v>1</v>
      </c>
    </row>
    <row r="113" spans="1:37" x14ac:dyDescent="0.25">
      <c r="A113" t="s">
        <v>51</v>
      </c>
      <c r="B113">
        <v>7.9</v>
      </c>
      <c r="C113">
        <v>3.8</v>
      </c>
      <c r="D113">
        <v>6.4</v>
      </c>
      <c r="E113">
        <v>2</v>
      </c>
      <c r="G113" t="s">
        <v>51</v>
      </c>
      <c r="H113">
        <v>0</v>
      </c>
      <c r="I113">
        <v>0</v>
      </c>
      <c r="J113">
        <v>1</v>
      </c>
      <c r="L113">
        <v>112</v>
      </c>
      <c r="M113">
        <v>1.3239541261451505E-2</v>
      </c>
      <c r="N113">
        <v>2.0400161173363784E-3</v>
      </c>
      <c r="O113">
        <v>112</v>
      </c>
      <c r="P113">
        <v>7.6897780093528295E-4</v>
      </c>
      <c r="Q113">
        <v>2.040016117336378E-3</v>
      </c>
      <c r="R113">
        <v>112</v>
      </c>
      <c r="S113">
        <v>9.2770889908251641E-4</v>
      </c>
      <c r="T113">
        <v>2.0400161173363776E-3</v>
      </c>
      <c r="AI113">
        <v>112</v>
      </c>
      <c r="AJ113">
        <v>5.5295720556322321E-2</v>
      </c>
      <c r="AK113">
        <v>1</v>
      </c>
    </row>
    <row r="114" spans="1:37" x14ac:dyDescent="0.25">
      <c r="A114" t="s">
        <v>51</v>
      </c>
      <c r="B114">
        <v>6.5</v>
      </c>
      <c r="C114">
        <v>3</v>
      </c>
      <c r="D114">
        <v>5.5</v>
      </c>
      <c r="E114">
        <v>1.8</v>
      </c>
      <c r="G114" t="s">
        <v>51</v>
      </c>
      <c r="H114">
        <v>0</v>
      </c>
      <c r="I114">
        <v>0</v>
      </c>
      <c r="J114">
        <v>1</v>
      </c>
      <c r="L114">
        <v>113</v>
      </c>
      <c r="M114">
        <v>1.3191335955413028E-2</v>
      </c>
      <c r="N114">
        <v>2.1420169232031975E-3</v>
      </c>
      <c r="O114">
        <v>113</v>
      </c>
      <c r="P114">
        <v>7.6580101842686711E-4</v>
      </c>
      <c r="Q114">
        <v>2.1420169232031971E-3</v>
      </c>
      <c r="R114">
        <v>113</v>
      </c>
      <c r="S114">
        <v>9.0104929779509177E-4</v>
      </c>
      <c r="T114">
        <v>2.1420169232031967E-3</v>
      </c>
      <c r="AI114">
        <v>113</v>
      </c>
      <c r="AJ114">
        <v>4.9166968868569104E-2</v>
      </c>
      <c r="AK114">
        <v>1</v>
      </c>
    </row>
    <row r="115" spans="1:37" x14ac:dyDescent="0.25">
      <c r="A115" t="s">
        <v>51</v>
      </c>
      <c r="B115">
        <v>6.1</v>
      </c>
      <c r="C115">
        <v>2.6</v>
      </c>
      <c r="D115">
        <v>5.6</v>
      </c>
      <c r="E115">
        <v>1.4</v>
      </c>
      <c r="G115" t="s">
        <v>51</v>
      </c>
      <c r="H115">
        <v>0</v>
      </c>
      <c r="I115">
        <v>0</v>
      </c>
      <c r="J115">
        <v>1</v>
      </c>
      <c r="L115">
        <v>114</v>
      </c>
      <c r="M115">
        <v>1.3138996319732948E-2</v>
      </c>
      <c r="N115">
        <v>2.2491177693633574E-3</v>
      </c>
      <c r="O115">
        <v>114</v>
      </c>
      <c r="P115">
        <v>7.6509834304623733E-4</v>
      </c>
      <c r="Q115">
        <v>2.249117769363357E-3</v>
      </c>
      <c r="R115">
        <v>114</v>
      </c>
      <c r="S115">
        <v>8.7360975992281447E-4</v>
      </c>
      <c r="T115">
        <v>2.2491177693633566E-3</v>
      </c>
      <c r="AI115">
        <v>114</v>
      </c>
      <c r="AJ115">
        <v>4.8332503546075947E-2</v>
      </c>
      <c r="AK115">
        <v>0.5</v>
      </c>
    </row>
    <row r="116" spans="1:37" x14ac:dyDescent="0.25">
      <c r="A116" t="s">
        <v>51</v>
      </c>
      <c r="B116">
        <v>6.5</v>
      </c>
      <c r="C116">
        <v>3</v>
      </c>
      <c r="D116">
        <v>5.2</v>
      </c>
      <c r="E116">
        <v>2</v>
      </c>
      <c r="G116" t="s">
        <v>51</v>
      </c>
      <c r="H116">
        <v>0</v>
      </c>
      <c r="I116">
        <v>0</v>
      </c>
      <c r="J116">
        <v>1</v>
      </c>
      <c r="L116">
        <v>115</v>
      </c>
      <c r="M116">
        <v>1.3082155410530368E-2</v>
      </c>
      <c r="N116">
        <v>2.3615736578315254E-3</v>
      </c>
      <c r="O116">
        <v>115</v>
      </c>
      <c r="P116">
        <v>7.6727418925495196E-4</v>
      </c>
      <c r="Q116">
        <v>2.361573657831525E-3</v>
      </c>
      <c r="R116">
        <v>115</v>
      </c>
      <c r="S116">
        <v>8.4650184795993441E-4</v>
      </c>
      <c r="T116">
        <v>2.3615736578315246E-3</v>
      </c>
      <c r="AI116">
        <v>115</v>
      </c>
      <c r="AJ116">
        <v>4.738172812537049E-2</v>
      </c>
      <c r="AK116">
        <v>0.5</v>
      </c>
    </row>
    <row r="117" spans="1:37" x14ac:dyDescent="0.25">
      <c r="A117" t="s">
        <v>51</v>
      </c>
      <c r="B117">
        <v>6.7</v>
      </c>
      <c r="C117">
        <v>3.3</v>
      </c>
      <c r="D117">
        <v>5.7</v>
      </c>
      <c r="E117">
        <v>2.1</v>
      </c>
      <c r="G117" t="s">
        <v>51</v>
      </c>
      <c r="H117">
        <v>0</v>
      </c>
      <c r="I117">
        <v>0</v>
      </c>
      <c r="J117">
        <v>1</v>
      </c>
      <c r="L117">
        <v>116</v>
      </c>
      <c r="M117">
        <v>1.3020429194105627E-2</v>
      </c>
      <c r="N117">
        <v>2.4796523407231018E-3</v>
      </c>
      <c r="O117">
        <v>116</v>
      </c>
      <c r="P117">
        <v>7.1519058341371598E-4</v>
      </c>
      <c r="Q117">
        <v>2.3615736578315252E-4</v>
      </c>
      <c r="R117">
        <v>116</v>
      </c>
      <c r="S117">
        <v>8.2284045863987622E-4</v>
      </c>
      <c r="T117">
        <v>2.4796523407231009E-3</v>
      </c>
      <c r="AI117">
        <v>116</v>
      </c>
      <c r="AJ117">
        <v>4.6492205137197179E-2</v>
      </c>
      <c r="AK117">
        <v>1</v>
      </c>
    </row>
    <row r="118" spans="1:37" x14ac:dyDescent="0.25">
      <c r="A118" t="s">
        <v>51</v>
      </c>
      <c r="B118">
        <v>6.3</v>
      </c>
      <c r="C118">
        <v>3.4</v>
      </c>
      <c r="D118">
        <v>5.6</v>
      </c>
      <c r="E118">
        <v>2.4</v>
      </c>
      <c r="G118" t="s">
        <v>51</v>
      </c>
      <c r="H118">
        <v>0</v>
      </c>
      <c r="I118">
        <v>0</v>
      </c>
      <c r="J118">
        <v>1</v>
      </c>
      <c r="L118">
        <v>117</v>
      </c>
      <c r="M118">
        <v>1.2953418963570853E-2</v>
      </c>
      <c r="N118">
        <v>2.603634957759257E-3</v>
      </c>
      <c r="O118">
        <v>117</v>
      </c>
      <c r="P118">
        <v>7.1254895014650251E-4</v>
      </c>
      <c r="Q118">
        <v>2.4796523407231015E-4</v>
      </c>
      <c r="R118">
        <v>117</v>
      </c>
      <c r="S118">
        <v>8.0208752244873959E-4</v>
      </c>
      <c r="T118">
        <v>2.6036349577592561E-3</v>
      </c>
      <c r="AI118">
        <v>117</v>
      </c>
      <c r="AJ118">
        <v>4.5949298870082998E-2</v>
      </c>
      <c r="AK118">
        <v>1</v>
      </c>
    </row>
    <row r="119" spans="1:37" x14ac:dyDescent="0.25">
      <c r="A119" t="s">
        <v>51</v>
      </c>
      <c r="B119">
        <v>7.2</v>
      </c>
      <c r="C119">
        <v>3</v>
      </c>
      <c r="D119">
        <v>5.8</v>
      </c>
      <c r="E119">
        <v>1.6</v>
      </c>
      <c r="G119" t="s">
        <v>51</v>
      </c>
      <c r="H119">
        <v>0</v>
      </c>
      <c r="I119">
        <v>0</v>
      </c>
      <c r="J119">
        <v>1</v>
      </c>
      <c r="L119">
        <v>118</v>
      </c>
      <c r="M119">
        <v>1.2880713245059001E-2</v>
      </c>
      <c r="N119">
        <v>2.7338167056472199E-3</v>
      </c>
      <c r="O119">
        <v>118</v>
      </c>
      <c r="P119">
        <v>7.10529644350533E-4</v>
      </c>
      <c r="Q119">
        <v>2.6036349577592568E-4</v>
      </c>
      <c r="R119">
        <v>118</v>
      </c>
      <c r="S119">
        <v>7.78444842609288E-4</v>
      </c>
      <c r="T119">
        <v>2.7338167056472191E-3</v>
      </c>
      <c r="AI119">
        <v>118</v>
      </c>
      <c r="AJ119">
        <v>4.5436206515765513E-2</v>
      </c>
      <c r="AK119">
        <v>0.5</v>
      </c>
    </row>
    <row r="120" spans="1:37" x14ac:dyDescent="0.25">
      <c r="A120" t="s">
        <v>51</v>
      </c>
      <c r="B120">
        <v>5.8</v>
      </c>
      <c r="C120">
        <v>2.7</v>
      </c>
      <c r="D120">
        <v>5.0999999999999996</v>
      </c>
      <c r="E120">
        <v>1.9</v>
      </c>
      <c r="G120" t="s">
        <v>51</v>
      </c>
      <c r="H120">
        <v>0</v>
      </c>
      <c r="I120">
        <v>0</v>
      </c>
      <c r="J120">
        <v>1</v>
      </c>
      <c r="L120">
        <v>119</v>
      </c>
      <c r="M120">
        <v>1.2801889210221774E-2</v>
      </c>
      <c r="N120">
        <v>2.8705075409295811E-3</v>
      </c>
      <c r="O120">
        <v>119</v>
      </c>
      <c r="P120">
        <v>7.0857380649662696E-4</v>
      </c>
      <c r="Q120">
        <v>2.7338167056472197E-4</v>
      </c>
      <c r="R120">
        <v>119</v>
      </c>
      <c r="S120">
        <v>7.5044953242357575E-4</v>
      </c>
      <c r="T120">
        <v>2.8705075409295802E-3</v>
      </c>
      <c r="AI120">
        <v>119</v>
      </c>
      <c r="AJ120">
        <v>4.494511265308769E-2</v>
      </c>
      <c r="AK120">
        <v>1</v>
      </c>
    </row>
    <row r="121" spans="1:37" x14ac:dyDescent="0.25">
      <c r="A121" t="s">
        <v>51</v>
      </c>
      <c r="B121">
        <v>5.8</v>
      </c>
      <c r="C121">
        <v>2.7</v>
      </c>
      <c r="D121">
        <v>5.0999999999999996</v>
      </c>
      <c r="E121">
        <v>1.9</v>
      </c>
      <c r="G121" t="s">
        <v>51</v>
      </c>
      <c r="H121">
        <v>0</v>
      </c>
      <c r="I121">
        <v>0</v>
      </c>
      <c r="J121">
        <v>1</v>
      </c>
      <c r="L121">
        <v>120</v>
      </c>
      <c r="M121">
        <v>1.2716514593711122E-2</v>
      </c>
      <c r="N121">
        <v>3.0140329179760604E-3</v>
      </c>
      <c r="O121">
        <v>120</v>
      </c>
      <c r="P121">
        <v>7.065718629760228E-4</v>
      </c>
      <c r="Q121">
        <v>2.8705075409295806E-4</v>
      </c>
      <c r="R121">
        <v>120</v>
      </c>
      <c r="S121">
        <v>7.2258275526199968E-4</v>
      </c>
      <c r="T121">
        <v>3.0140329179760591E-3</v>
      </c>
      <c r="AI121">
        <v>120</v>
      </c>
      <c r="AJ121">
        <v>4.4414874609140342E-2</v>
      </c>
      <c r="AK121">
        <v>1</v>
      </c>
    </row>
    <row r="122" spans="1:37" x14ac:dyDescent="0.25">
      <c r="A122" t="s">
        <v>51</v>
      </c>
      <c r="B122">
        <v>6.4</v>
      </c>
      <c r="C122">
        <v>3.2</v>
      </c>
      <c r="D122">
        <v>5.3</v>
      </c>
      <c r="E122">
        <v>2.2999999999999998</v>
      </c>
      <c r="G122" t="s">
        <v>51</v>
      </c>
      <c r="H122">
        <v>0</v>
      </c>
      <c r="I122">
        <v>0</v>
      </c>
      <c r="J122">
        <v>1</v>
      </c>
      <c r="L122">
        <v>121</v>
      </c>
      <c r="M122">
        <v>1.262415304548975E-2</v>
      </c>
      <c r="N122">
        <v>3.1647345638748637E-3</v>
      </c>
      <c r="O122">
        <v>121</v>
      </c>
      <c r="P122">
        <v>7.0449287127128464E-4</v>
      </c>
      <c r="Q122">
        <v>3.0140329179760599E-4</v>
      </c>
      <c r="R122">
        <v>121</v>
      </c>
      <c r="S122">
        <v>6.9752022840319054E-4</v>
      </c>
      <c r="T122">
        <v>3.1647345638748624E-3</v>
      </c>
      <c r="AI122">
        <v>121</v>
      </c>
      <c r="AJ122">
        <v>4.3818243133616881E-2</v>
      </c>
      <c r="AK122">
        <v>1</v>
      </c>
    </row>
    <row r="123" spans="1:37" x14ac:dyDescent="0.25">
      <c r="A123" t="s">
        <v>51</v>
      </c>
      <c r="B123">
        <v>6.3</v>
      </c>
      <c r="C123">
        <v>2.9</v>
      </c>
      <c r="D123">
        <v>5.6</v>
      </c>
      <c r="E123">
        <v>1.8</v>
      </c>
      <c r="G123" t="s">
        <v>51</v>
      </c>
      <c r="H123">
        <v>0</v>
      </c>
      <c r="I123">
        <v>0</v>
      </c>
      <c r="J123">
        <v>1</v>
      </c>
      <c r="L123">
        <v>122</v>
      </c>
      <c r="M123">
        <v>1.2524379520891523E-2</v>
      </c>
      <c r="N123">
        <v>3.3229712920686068E-3</v>
      </c>
      <c r="O123">
        <v>122</v>
      </c>
      <c r="P123">
        <v>7.0232535711092477E-4</v>
      </c>
      <c r="Q123">
        <v>3.1647345638748629E-4</v>
      </c>
      <c r="R123">
        <v>122</v>
      </c>
      <c r="S123">
        <v>6.7407381844610686E-4</v>
      </c>
      <c r="T123">
        <v>3.3229712920686055E-3</v>
      </c>
      <c r="AI123">
        <v>122</v>
      </c>
      <c r="AJ123">
        <v>4.338183161139806E-2</v>
      </c>
      <c r="AK123">
        <v>1</v>
      </c>
    </row>
    <row r="124" spans="1:37" x14ac:dyDescent="0.25">
      <c r="A124" t="s">
        <v>51</v>
      </c>
      <c r="B124">
        <v>7.2</v>
      </c>
      <c r="C124">
        <v>3.2</v>
      </c>
      <c r="D124">
        <v>6</v>
      </c>
      <c r="E124">
        <v>1.8</v>
      </c>
      <c r="G124" t="s">
        <v>51</v>
      </c>
      <c r="H124">
        <v>0</v>
      </c>
      <c r="I124">
        <v>0</v>
      </c>
      <c r="J124">
        <v>1</v>
      </c>
      <c r="L124">
        <v>123</v>
      </c>
      <c r="M124">
        <v>1.2416818362091821E-2</v>
      </c>
      <c r="N124">
        <v>3.4891198566720373E-3</v>
      </c>
      <c r="O124">
        <v>123</v>
      </c>
      <c r="P124">
        <v>7.0006395396296972E-4</v>
      </c>
      <c r="Q124">
        <v>3.322971292068606E-4</v>
      </c>
      <c r="R124">
        <v>123</v>
      </c>
      <c r="S124">
        <v>6.4923565327847294E-4</v>
      </c>
      <c r="T124">
        <v>3.489119856672036E-3</v>
      </c>
      <c r="AI124">
        <v>123</v>
      </c>
      <c r="AJ124">
        <v>4.3046992246708E-2</v>
      </c>
      <c r="AK124">
        <v>1</v>
      </c>
    </row>
    <row r="125" spans="1:37" x14ac:dyDescent="0.25">
      <c r="A125" t="s">
        <v>51</v>
      </c>
      <c r="B125">
        <v>6</v>
      </c>
      <c r="C125">
        <v>2.2000000000000002</v>
      </c>
      <c r="D125">
        <v>5</v>
      </c>
      <c r="E125">
        <v>1.5</v>
      </c>
      <c r="G125" t="s">
        <v>51</v>
      </c>
      <c r="H125">
        <v>0</v>
      </c>
      <c r="I125">
        <v>0</v>
      </c>
      <c r="J125">
        <v>1</v>
      </c>
      <c r="L125">
        <v>124</v>
      </c>
      <c r="M125">
        <v>1.2301223583291573E-2</v>
      </c>
      <c r="N125">
        <v>3.6635758495056395E-3</v>
      </c>
      <c r="O125">
        <v>124</v>
      </c>
      <c r="P125">
        <v>6.9770544008967235E-4</v>
      </c>
      <c r="Q125">
        <v>3.4891198566720365E-4</v>
      </c>
      <c r="R125">
        <v>124</v>
      </c>
      <c r="S125">
        <v>6.254892871632731E-4</v>
      </c>
      <c r="T125">
        <v>3.6635758495056378E-3</v>
      </c>
      <c r="AI125">
        <v>124</v>
      </c>
      <c r="AJ125">
        <v>4.2923911282648067E-2</v>
      </c>
      <c r="AK125">
        <v>1</v>
      </c>
    </row>
    <row r="126" spans="1:37" x14ac:dyDescent="0.25">
      <c r="A126" t="s">
        <v>51</v>
      </c>
      <c r="B126">
        <v>6.9</v>
      </c>
      <c r="C126">
        <v>3.1</v>
      </c>
      <c r="D126">
        <v>5.4</v>
      </c>
      <c r="E126">
        <v>2.1</v>
      </c>
      <c r="G126" t="s">
        <v>51</v>
      </c>
      <c r="H126">
        <v>0</v>
      </c>
      <c r="I126">
        <v>0</v>
      </c>
      <c r="J126">
        <v>1</v>
      </c>
      <c r="L126">
        <v>125</v>
      </c>
      <c r="M126">
        <v>1.2177618656282195E-2</v>
      </c>
      <c r="N126">
        <v>3.8467546419809215E-3</v>
      </c>
      <c r="O126">
        <v>125</v>
      </c>
      <c r="P126">
        <v>6.9524741264867952E-4</v>
      </c>
      <c r="Q126">
        <v>3.6635758495056383E-4</v>
      </c>
      <c r="R126">
        <v>125</v>
      </c>
      <c r="S126">
        <v>6.1509472736011534E-4</v>
      </c>
      <c r="T126">
        <v>3.8467546419809198E-3</v>
      </c>
      <c r="AI126">
        <v>125</v>
      </c>
      <c r="AJ126">
        <v>4.2626267248990171E-2</v>
      </c>
      <c r="AK126">
        <v>1</v>
      </c>
    </row>
    <row r="127" spans="1:37" x14ac:dyDescent="0.25">
      <c r="A127" t="s">
        <v>51</v>
      </c>
      <c r="B127">
        <v>6.9</v>
      </c>
      <c r="C127">
        <v>3.1</v>
      </c>
      <c r="D127">
        <v>5.0999999999999996</v>
      </c>
      <c r="E127">
        <v>2.2999999999999998</v>
      </c>
      <c r="G127" t="s">
        <v>51</v>
      </c>
      <c r="H127">
        <v>0</v>
      </c>
      <c r="I127">
        <v>0</v>
      </c>
      <c r="J127">
        <v>1</v>
      </c>
      <c r="L127">
        <v>126</v>
      </c>
      <c r="M127">
        <v>1.2046474637874146E-2</v>
      </c>
      <c r="N127">
        <v>4.0390923740799677E-3</v>
      </c>
      <c r="O127">
        <v>126</v>
      </c>
      <c r="P127">
        <v>6.9268781997145715E-4</v>
      </c>
      <c r="Q127">
        <v>3.8467546419809203E-4</v>
      </c>
      <c r="R127">
        <v>126</v>
      </c>
      <c r="S127">
        <v>6.2960282959408705E-4</v>
      </c>
      <c r="T127">
        <v>4.039092374079966E-3</v>
      </c>
      <c r="AI127">
        <v>126</v>
      </c>
      <c r="AJ127">
        <v>4.2260024183372977E-2</v>
      </c>
      <c r="AK127">
        <v>1</v>
      </c>
    </row>
    <row r="128" spans="1:37" x14ac:dyDescent="0.25">
      <c r="A128" t="s">
        <v>51</v>
      </c>
      <c r="B128">
        <v>7.7</v>
      </c>
      <c r="C128">
        <v>3.8</v>
      </c>
      <c r="D128">
        <v>6.7</v>
      </c>
      <c r="E128">
        <v>2.2000000000000002</v>
      </c>
      <c r="G128" t="s">
        <v>51</v>
      </c>
      <c r="H128">
        <v>0</v>
      </c>
      <c r="I128">
        <v>0</v>
      </c>
      <c r="J128">
        <v>1</v>
      </c>
      <c r="L128">
        <v>127</v>
      </c>
      <c r="M128">
        <v>1.1908801729631338E-2</v>
      </c>
      <c r="N128">
        <v>4.2410469927839662E-3</v>
      </c>
      <c r="O128">
        <v>127</v>
      </c>
      <c r="P128">
        <v>6.9002474892729737E-4</v>
      </c>
      <c r="Q128">
        <v>4.0390923740799668E-4</v>
      </c>
      <c r="R128">
        <v>127</v>
      </c>
      <c r="S128">
        <v>5.9396440375256165E-4</v>
      </c>
      <c r="T128">
        <v>4.0390923740799662E-4</v>
      </c>
      <c r="AI128">
        <v>127</v>
      </c>
      <c r="AJ128">
        <v>4.1739754943155773E-2</v>
      </c>
      <c r="AK128">
        <v>1</v>
      </c>
    </row>
    <row r="129" spans="1:37" x14ac:dyDescent="0.25">
      <c r="A129" t="s">
        <v>51</v>
      </c>
      <c r="B129">
        <v>6.4</v>
      </c>
      <c r="C129">
        <v>2.7</v>
      </c>
      <c r="D129">
        <v>5.3</v>
      </c>
      <c r="E129">
        <v>1.9</v>
      </c>
      <c r="G129" t="s">
        <v>51</v>
      </c>
      <c r="H129">
        <v>0</v>
      </c>
      <c r="I129">
        <v>0</v>
      </c>
      <c r="J129">
        <v>1</v>
      </c>
      <c r="L129">
        <v>128</v>
      </c>
      <c r="M129">
        <v>1.1765934908167354E-2</v>
      </c>
      <c r="N129">
        <v>4.4530993424231648E-3</v>
      </c>
      <c r="O129">
        <v>128</v>
      </c>
      <c r="P129">
        <v>6.8725625002338223E-4</v>
      </c>
      <c r="Q129">
        <v>4.2410469927839654E-4</v>
      </c>
      <c r="R129">
        <v>128</v>
      </c>
      <c r="S129">
        <v>5.9183345511039744E-4</v>
      </c>
      <c r="T129">
        <v>4.2410469927839649E-4</v>
      </c>
      <c r="AI129">
        <v>128</v>
      </c>
      <c r="AJ129">
        <v>4.1628440637330094E-2</v>
      </c>
      <c r="AK129">
        <v>0.25</v>
      </c>
    </row>
    <row r="130" spans="1:37" x14ac:dyDescent="0.25">
      <c r="A130" t="s">
        <v>51</v>
      </c>
      <c r="B130">
        <v>6.3</v>
      </c>
      <c r="C130">
        <v>2.5</v>
      </c>
      <c r="D130">
        <v>5</v>
      </c>
      <c r="E130">
        <v>1.9</v>
      </c>
      <c r="G130" t="s">
        <v>51</v>
      </c>
      <c r="H130">
        <v>0</v>
      </c>
      <c r="I130">
        <v>0</v>
      </c>
      <c r="J130">
        <v>1</v>
      </c>
      <c r="L130">
        <v>129</v>
      </c>
      <c r="M130">
        <v>1.1618982370480124E-2</v>
      </c>
      <c r="N130">
        <v>4.6757543095443232E-3</v>
      </c>
      <c r="O130">
        <v>129</v>
      </c>
      <c r="P130">
        <v>6.8438012636220049E-4</v>
      </c>
      <c r="Q130">
        <v>4.4530993424231639E-4</v>
      </c>
      <c r="R130">
        <v>129</v>
      </c>
      <c r="S130">
        <v>5.8940934057240648E-4</v>
      </c>
      <c r="T130">
        <v>4.4530993424231634E-4</v>
      </c>
      <c r="AI130">
        <v>129</v>
      </c>
      <c r="AJ130">
        <v>4.1416914000765657E-2</v>
      </c>
      <c r="AK130">
        <v>1</v>
      </c>
    </row>
    <row r="131" spans="1:37" x14ac:dyDescent="0.25">
      <c r="A131" t="s">
        <v>51</v>
      </c>
      <c r="B131">
        <v>5.7</v>
      </c>
      <c r="C131">
        <v>2.5</v>
      </c>
      <c r="D131">
        <v>5</v>
      </c>
      <c r="E131">
        <v>2</v>
      </c>
      <c r="G131" t="s">
        <v>51</v>
      </c>
      <c r="H131">
        <v>0</v>
      </c>
      <c r="I131">
        <v>0</v>
      </c>
      <c r="J131">
        <v>1</v>
      </c>
      <c r="L131">
        <v>130</v>
      </c>
      <c r="M131">
        <v>1.1468398884176402E-2</v>
      </c>
      <c r="N131">
        <v>4.9095420250215398E-3</v>
      </c>
      <c r="O131">
        <v>130</v>
      </c>
      <c r="P131">
        <v>6.8139366727241622E-4</v>
      </c>
      <c r="Q131">
        <v>4.6757543095443221E-4</v>
      </c>
      <c r="R131">
        <v>130</v>
      </c>
      <c r="S131">
        <v>5.866678561732211E-4</v>
      </c>
      <c r="T131">
        <v>4.6757543095443216E-4</v>
      </c>
      <c r="AI131">
        <v>130</v>
      </c>
      <c r="AJ131">
        <v>4.1357081942398559E-2</v>
      </c>
      <c r="AK131">
        <v>1</v>
      </c>
    </row>
    <row r="132" spans="1:37" x14ac:dyDescent="0.25">
      <c r="A132" t="s">
        <v>51</v>
      </c>
      <c r="B132">
        <v>6.8</v>
      </c>
      <c r="C132">
        <v>3</v>
      </c>
      <c r="D132">
        <v>5.5</v>
      </c>
      <c r="E132">
        <v>2.1</v>
      </c>
      <c r="G132" t="s">
        <v>51</v>
      </c>
      <c r="H132">
        <v>0</v>
      </c>
      <c r="I132">
        <v>0</v>
      </c>
      <c r="J132">
        <v>1</v>
      </c>
      <c r="L132">
        <v>131</v>
      </c>
      <c r="M132">
        <v>1.1314154709941744E-2</v>
      </c>
      <c r="N132">
        <v>5.1550191262726168E-3</v>
      </c>
      <c r="O132">
        <v>131</v>
      </c>
      <c r="P132">
        <v>6.782933296835533E-4</v>
      </c>
      <c r="Q132">
        <v>4.9095420250215387E-4</v>
      </c>
      <c r="R132">
        <v>131</v>
      </c>
      <c r="S132">
        <v>5.8341593263353626E-4</v>
      </c>
      <c r="T132">
        <v>4.9095420250215376E-4</v>
      </c>
      <c r="AI132">
        <v>131</v>
      </c>
      <c r="AJ132">
        <v>4.1323000036917641E-2</v>
      </c>
      <c r="AK132">
        <v>1</v>
      </c>
    </row>
    <row r="133" spans="1:37" x14ac:dyDescent="0.25">
      <c r="A133" t="s">
        <v>51</v>
      </c>
      <c r="B133">
        <v>6.7</v>
      </c>
      <c r="C133">
        <v>3</v>
      </c>
      <c r="D133">
        <v>5.2</v>
      </c>
      <c r="E133">
        <v>2.2999999999999998</v>
      </c>
      <c r="G133" t="s">
        <v>51</v>
      </c>
      <c r="H133">
        <v>0</v>
      </c>
      <c r="I133">
        <v>0</v>
      </c>
      <c r="J133">
        <v>1</v>
      </c>
      <c r="L133">
        <v>132</v>
      </c>
      <c r="M133">
        <v>1.1156233971056306E-2</v>
      </c>
      <c r="N133">
        <v>5.4127700825862476E-3</v>
      </c>
      <c r="O133">
        <v>132</v>
      </c>
      <c r="P133">
        <v>6.7507438145756509E-4</v>
      </c>
      <c r="Q133">
        <v>5.1550191262726155E-4</v>
      </c>
      <c r="R133">
        <v>132</v>
      </c>
      <c r="S133">
        <v>5.793812059640851E-4</v>
      </c>
      <c r="T133">
        <v>5.1550191262726144E-4</v>
      </c>
      <c r="AI133">
        <v>132</v>
      </c>
      <c r="AJ133">
        <v>4.1304947731112547E-2</v>
      </c>
      <c r="AK133">
        <v>1</v>
      </c>
    </row>
    <row r="134" spans="1:37" x14ac:dyDescent="0.25">
      <c r="A134" t="s">
        <v>51</v>
      </c>
      <c r="B134">
        <v>7.2</v>
      </c>
      <c r="C134">
        <v>3.6</v>
      </c>
      <c r="D134">
        <v>6.1</v>
      </c>
      <c r="E134">
        <v>2.5</v>
      </c>
      <c r="G134" t="s">
        <v>51</v>
      </c>
      <c r="H134">
        <v>0</v>
      </c>
      <c r="I134">
        <v>0</v>
      </c>
      <c r="J134">
        <v>1</v>
      </c>
      <c r="L134">
        <v>133</v>
      </c>
      <c r="M134">
        <v>1.0994910732127173E-2</v>
      </c>
      <c r="N134">
        <v>5.6834085867155599E-3</v>
      </c>
      <c r="O134">
        <v>133</v>
      </c>
      <c r="P134">
        <v>6.7173052848046322E-4</v>
      </c>
      <c r="Q134">
        <v>5.4127700825862463E-4</v>
      </c>
      <c r="R134">
        <v>133</v>
      </c>
      <c r="S134">
        <v>5.7434193960034341E-4</v>
      </c>
      <c r="T134">
        <v>5.4127700825862453E-4</v>
      </c>
      <c r="AI134">
        <v>133</v>
      </c>
      <c r="AJ134">
        <v>4.1281505258938075E-2</v>
      </c>
      <c r="AK134">
        <v>1</v>
      </c>
    </row>
    <row r="135" spans="1:37" x14ac:dyDescent="0.25">
      <c r="A135" t="s">
        <v>51</v>
      </c>
      <c r="B135">
        <v>6.9</v>
      </c>
      <c r="C135">
        <v>3.2</v>
      </c>
      <c r="D135">
        <v>5.7</v>
      </c>
      <c r="E135">
        <v>2.2999999999999998</v>
      </c>
      <c r="G135" t="s">
        <v>51</v>
      </c>
      <c r="H135">
        <v>0</v>
      </c>
      <c r="I135">
        <v>0</v>
      </c>
      <c r="J135">
        <v>1</v>
      </c>
      <c r="L135">
        <v>134</v>
      </c>
      <c r="M135">
        <v>1.0830715604478316E-2</v>
      </c>
      <c r="N135">
        <v>5.967579016051338E-3</v>
      </c>
      <c r="O135">
        <v>134</v>
      </c>
      <c r="P135">
        <v>6.6825355386192459E-4</v>
      </c>
      <c r="Q135">
        <v>5.6834085867155592E-4</v>
      </c>
      <c r="R135">
        <v>134</v>
      </c>
      <c r="S135">
        <v>5.6827522038720136E-4</v>
      </c>
      <c r="T135">
        <v>5.6834085867155581E-4</v>
      </c>
      <c r="AI135">
        <v>134</v>
      </c>
      <c r="AJ135">
        <v>4.1223122511546813E-2</v>
      </c>
      <c r="AK135">
        <v>1</v>
      </c>
    </row>
    <row r="136" spans="1:37" x14ac:dyDescent="0.25">
      <c r="A136" t="s">
        <v>51</v>
      </c>
      <c r="B136">
        <v>6.7</v>
      </c>
      <c r="C136">
        <v>3.3</v>
      </c>
      <c r="D136">
        <v>5.7</v>
      </c>
      <c r="E136">
        <v>2.5</v>
      </c>
      <c r="G136" t="s">
        <v>51</v>
      </c>
      <c r="H136">
        <v>0</v>
      </c>
      <c r="I136">
        <v>0</v>
      </c>
      <c r="J136">
        <v>1</v>
      </c>
      <c r="L136">
        <v>135</v>
      </c>
      <c r="M136">
        <v>1.066430575615801E-2</v>
      </c>
      <c r="N136">
        <v>6.265957966853905E-3</v>
      </c>
      <c r="O136">
        <v>135</v>
      </c>
      <c r="P136">
        <v>6.6463300406921131E-4</v>
      </c>
      <c r="Q136">
        <v>5.9675790160513371E-4</v>
      </c>
      <c r="R136">
        <v>135</v>
      </c>
      <c r="S136">
        <v>5.6145166304149337E-4</v>
      </c>
      <c r="T136">
        <v>5.967579016051336E-4</v>
      </c>
      <c r="AI136">
        <v>135</v>
      </c>
      <c r="AJ136">
        <v>4.1132276399662007E-2</v>
      </c>
      <c r="AK136">
        <v>1</v>
      </c>
    </row>
    <row r="137" spans="1:37" x14ac:dyDescent="0.25">
      <c r="A137" t="s">
        <v>51</v>
      </c>
      <c r="B137">
        <v>5.8</v>
      </c>
      <c r="C137">
        <v>2.8</v>
      </c>
      <c r="D137">
        <v>5.0999999999999996</v>
      </c>
      <c r="E137">
        <v>2.4</v>
      </c>
      <c r="G137" t="s">
        <v>51</v>
      </c>
      <c r="H137">
        <v>0</v>
      </c>
      <c r="I137">
        <v>0</v>
      </c>
      <c r="J137">
        <v>1</v>
      </c>
      <c r="L137">
        <v>136</v>
      </c>
      <c r="M137">
        <v>1.0496371622753428E-2</v>
      </c>
      <c r="N137">
        <v>6.579255865196601E-3</v>
      </c>
      <c r="O137">
        <v>136</v>
      </c>
      <c r="P137">
        <v>6.608559639717025E-4</v>
      </c>
      <c r="Q137">
        <v>6.2659579668539037E-4</v>
      </c>
      <c r="R137">
        <v>136</v>
      </c>
      <c r="S137">
        <v>5.5440450741867987E-4</v>
      </c>
      <c r="T137">
        <v>6.2659579668539027E-4</v>
      </c>
      <c r="AI137">
        <v>136</v>
      </c>
      <c r="AJ137">
        <v>4.1032780517105003E-2</v>
      </c>
      <c r="AK137">
        <v>1</v>
      </c>
    </row>
    <row r="138" spans="1:37" x14ac:dyDescent="0.25">
      <c r="A138" t="s">
        <v>51</v>
      </c>
      <c r="B138">
        <v>6.3</v>
      </c>
      <c r="C138">
        <v>3.3</v>
      </c>
      <c r="D138">
        <v>6</v>
      </c>
      <c r="E138">
        <v>2.5</v>
      </c>
      <c r="G138" t="s">
        <v>51</v>
      </c>
      <c r="H138">
        <v>0</v>
      </c>
      <c r="I138">
        <v>0</v>
      </c>
      <c r="J138">
        <v>1</v>
      </c>
      <c r="L138">
        <v>137</v>
      </c>
      <c r="M138">
        <v>1.0327590986075892E-2</v>
      </c>
      <c r="N138">
        <v>6.9082186584564316E-3</v>
      </c>
      <c r="O138">
        <v>137</v>
      </c>
      <c r="P138">
        <v>6.5690697138074045E-4</v>
      </c>
      <c r="Q138">
        <v>6.5792558651965995E-4</v>
      </c>
      <c r="R138">
        <v>137</v>
      </c>
      <c r="S138">
        <v>5.4776309001637331E-4</v>
      </c>
      <c r="T138">
        <v>6.5792558651965984E-4</v>
      </c>
      <c r="AI138">
        <v>137</v>
      </c>
      <c r="AJ138">
        <v>4.0897556002753944E-2</v>
      </c>
      <c r="AK138">
        <v>1</v>
      </c>
    </row>
    <row r="139" spans="1:37" x14ac:dyDescent="0.25">
      <c r="A139" t="s">
        <v>51</v>
      </c>
      <c r="B139">
        <v>6.8</v>
      </c>
      <c r="C139">
        <v>3.2</v>
      </c>
      <c r="D139">
        <v>5.9</v>
      </c>
      <c r="E139">
        <v>2.2999999999999998</v>
      </c>
      <c r="G139" t="s">
        <v>51</v>
      </c>
      <c r="H139">
        <v>0</v>
      </c>
      <c r="I139">
        <v>0</v>
      </c>
      <c r="J139">
        <v>1</v>
      </c>
      <c r="L139">
        <v>138</v>
      </c>
      <c r="M139">
        <v>1.0158605457071531E-2</v>
      </c>
      <c r="N139">
        <v>7.2536295913792539E-3</v>
      </c>
      <c r="O139">
        <v>138</v>
      </c>
      <c r="P139">
        <v>6.5276813233214499E-4</v>
      </c>
      <c r="Q139">
        <v>6.90821865845643E-4</v>
      </c>
      <c r="R139">
        <v>138</v>
      </c>
      <c r="S139">
        <v>5.4202912303286859E-4</v>
      </c>
      <c r="T139">
        <v>6.908218658456429E-4</v>
      </c>
      <c r="AI139">
        <v>138</v>
      </c>
      <c r="AJ139">
        <v>4.0867904477410608E-2</v>
      </c>
      <c r="AK139">
        <v>1</v>
      </c>
    </row>
    <row r="140" spans="1:37" x14ac:dyDescent="0.25">
      <c r="A140" t="s">
        <v>51</v>
      </c>
      <c r="B140">
        <v>6.5</v>
      </c>
      <c r="C140">
        <v>3</v>
      </c>
      <c r="D140">
        <v>5.8</v>
      </c>
      <c r="E140">
        <v>2.2000000000000002</v>
      </c>
      <c r="G140" t="s">
        <v>51</v>
      </c>
      <c r="H140">
        <v>0</v>
      </c>
      <c r="I140">
        <v>0</v>
      </c>
      <c r="J140">
        <v>1</v>
      </c>
      <c r="L140">
        <v>139</v>
      </c>
      <c r="M140">
        <v>9.9900020541144573E-3</v>
      </c>
      <c r="N140">
        <v>7.6163110709482167E-3</v>
      </c>
      <c r="O140">
        <v>139</v>
      </c>
      <c r="P140">
        <v>6.4841951085191374E-4</v>
      </c>
      <c r="Q140">
        <v>7.2536295913792524E-4</v>
      </c>
      <c r="R140">
        <v>139</v>
      </c>
      <c r="S140">
        <v>5.3740934435847628E-4</v>
      </c>
      <c r="T140">
        <v>7.2536295913792502E-4</v>
      </c>
      <c r="AI140">
        <v>139</v>
      </c>
      <c r="AJ140">
        <v>4.0838746890364076E-2</v>
      </c>
      <c r="AK140">
        <v>0.5</v>
      </c>
    </row>
    <row r="141" spans="1:37" x14ac:dyDescent="0.25">
      <c r="A141" t="s">
        <v>51</v>
      </c>
      <c r="B141">
        <v>6.4</v>
      </c>
      <c r="C141">
        <v>2.8</v>
      </c>
      <c r="D141">
        <v>5.6</v>
      </c>
      <c r="E141">
        <v>2.1</v>
      </c>
      <c r="G141" t="s">
        <v>51</v>
      </c>
      <c r="H141">
        <v>0</v>
      </c>
      <c r="I141">
        <v>0</v>
      </c>
      <c r="J141">
        <v>1</v>
      </c>
      <c r="L141">
        <v>140</v>
      </c>
      <c r="M141">
        <v>9.8222934129329822E-3</v>
      </c>
      <c r="N141">
        <v>7.9971266244956273E-3</v>
      </c>
      <c r="O141">
        <v>140</v>
      </c>
      <c r="P141">
        <v>6.4383987926516155E-4</v>
      </c>
      <c r="Q141">
        <v>7.6163110709482154E-4</v>
      </c>
      <c r="R141">
        <v>140</v>
      </c>
      <c r="S141">
        <v>5.3375413428337955E-4</v>
      </c>
      <c r="T141">
        <v>7.6163110709482132E-4</v>
      </c>
      <c r="AI141">
        <v>140</v>
      </c>
      <c r="AJ141">
        <v>4.0814239386948253E-2</v>
      </c>
      <c r="AK141">
        <v>1</v>
      </c>
    </row>
    <row r="142" spans="1:37" x14ac:dyDescent="0.25">
      <c r="A142" t="s">
        <v>51</v>
      </c>
      <c r="B142">
        <v>6.7</v>
      </c>
      <c r="C142">
        <v>3.1</v>
      </c>
      <c r="D142">
        <v>5.6</v>
      </c>
      <c r="E142">
        <v>2.4</v>
      </c>
      <c r="G142" t="s">
        <v>51</v>
      </c>
      <c r="H142">
        <v>0</v>
      </c>
      <c r="I142">
        <v>0</v>
      </c>
      <c r="J142">
        <v>1</v>
      </c>
      <c r="L142">
        <v>141</v>
      </c>
      <c r="M142">
        <v>9.6558972032256048E-3</v>
      </c>
      <c r="N142">
        <v>8.3969829557204098E-3</v>
      </c>
      <c r="O142">
        <v>141</v>
      </c>
      <c r="P142">
        <v>6.3900792232432979E-4</v>
      </c>
      <c r="Q142">
        <v>7.997126624495626E-4</v>
      </c>
      <c r="R142">
        <v>141</v>
      </c>
      <c r="S142">
        <v>5.3056608853527037E-4</v>
      </c>
      <c r="T142">
        <v>7.9971266244956239E-4</v>
      </c>
      <c r="AI142">
        <v>141</v>
      </c>
      <c r="AJ142">
        <v>4.0801668488704937E-2</v>
      </c>
      <c r="AK142">
        <v>1</v>
      </c>
    </row>
    <row r="143" spans="1:37" x14ac:dyDescent="0.25">
      <c r="A143" t="s">
        <v>51</v>
      </c>
      <c r="B143">
        <v>7.1</v>
      </c>
      <c r="C143">
        <v>3</v>
      </c>
      <c r="D143">
        <v>5.9</v>
      </c>
      <c r="E143">
        <v>2.1</v>
      </c>
      <c r="G143" t="s">
        <v>51</v>
      </c>
      <c r="H143">
        <v>0</v>
      </c>
      <c r="I143">
        <v>0</v>
      </c>
      <c r="J143">
        <v>1</v>
      </c>
      <c r="L143">
        <v>142</v>
      </c>
      <c r="M143">
        <v>9.491126785621808E-3</v>
      </c>
      <c r="N143">
        <v>8.816832103506431E-3</v>
      </c>
      <c r="O143">
        <v>142</v>
      </c>
      <c r="P143">
        <v>6.3390398178229815E-4</v>
      </c>
      <c r="Q143">
        <v>8.3969829557204074E-4</v>
      </c>
      <c r="R143">
        <v>142</v>
      </c>
      <c r="S143">
        <v>5.2707492870638392E-4</v>
      </c>
      <c r="T143">
        <v>8.3969829557204053E-4</v>
      </c>
      <c r="AI143">
        <v>142</v>
      </c>
      <c r="AJ143">
        <v>4.0750294251555734E-2</v>
      </c>
      <c r="AK143">
        <v>1</v>
      </c>
    </row>
    <row r="144" spans="1:37" x14ac:dyDescent="0.25">
      <c r="A144" t="s">
        <v>51</v>
      </c>
      <c r="B144">
        <v>6.4</v>
      </c>
      <c r="C144">
        <v>2.8</v>
      </c>
      <c r="D144">
        <v>5.6</v>
      </c>
      <c r="E144">
        <v>2.2000000000000002</v>
      </c>
      <c r="G144" t="s">
        <v>51</v>
      </c>
      <c r="H144">
        <v>0</v>
      </c>
      <c r="I144">
        <v>0</v>
      </c>
      <c r="J144">
        <v>1</v>
      </c>
      <c r="L144">
        <v>143</v>
      </c>
      <c r="M144">
        <v>9.3282391588413675E-3</v>
      </c>
      <c r="N144">
        <v>9.2576737086817532E-3</v>
      </c>
      <c r="O144">
        <v>143</v>
      </c>
      <c r="P144">
        <v>6.2851239518320627E-4</v>
      </c>
      <c r="Q144">
        <v>8.816832103506428E-4</v>
      </c>
      <c r="R144">
        <v>143</v>
      </c>
      <c r="S144">
        <v>5.2248114376176583E-4</v>
      </c>
      <c r="T144">
        <v>8.8168321035064258E-4</v>
      </c>
      <c r="AI144">
        <v>143</v>
      </c>
      <c r="AJ144">
        <v>4.0723216545959347E-2</v>
      </c>
      <c r="AK144">
        <v>1</v>
      </c>
    </row>
    <row r="145" spans="1:37" x14ac:dyDescent="0.25">
      <c r="A145" t="s">
        <v>51</v>
      </c>
      <c r="B145">
        <v>7.3</v>
      </c>
      <c r="C145">
        <v>2.9</v>
      </c>
      <c r="D145">
        <v>6.3</v>
      </c>
      <c r="E145">
        <v>1.8</v>
      </c>
      <c r="G145" t="s">
        <v>51</v>
      </c>
      <c r="H145">
        <v>0</v>
      </c>
      <c r="I145">
        <v>0</v>
      </c>
      <c r="J145">
        <v>1</v>
      </c>
      <c r="L145">
        <v>144</v>
      </c>
      <c r="M145">
        <v>9.1676859304067534E-3</v>
      </c>
      <c r="N145">
        <v>9.7205573941158419E-3</v>
      </c>
      <c r="O145">
        <v>144</v>
      </c>
      <c r="P145">
        <v>6.2282441058651109E-4</v>
      </c>
      <c r="Q145">
        <v>9.2576737086817501E-4</v>
      </c>
      <c r="R145">
        <v>144</v>
      </c>
      <c r="S145">
        <v>5.1638271320061024E-4</v>
      </c>
      <c r="T145">
        <v>9.257673708681748E-4</v>
      </c>
      <c r="AI145">
        <v>144</v>
      </c>
      <c r="AJ145">
        <v>4.0708744879108874E-2</v>
      </c>
      <c r="AK145">
        <v>1</v>
      </c>
    </row>
    <row r="146" spans="1:37" x14ac:dyDescent="0.25">
      <c r="A146" t="s">
        <v>51</v>
      </c>
      <c r="B146">
        <v>6.7</v>
      </c>
      <c r="C146">
        <v>2.5</v>
      </c>
      <c r="D146">
        <v>5.8</v>
      </c>
      <c r="E146">
        <v>1.8</v>
      </c>
      <c r="G146" t="s">
        <v>51</v>
      </c>
      <c r="H146">
        <v>0</v>
      </c>
      <c r="I146">
        <v>0</v>
      </c>
      <c r="J146">
        <v>1</v>
      </c>
      <c r="L146">
        <v>145</v>
      </c>
      <c r="M146">
        <v>9.0109944477681711E-3</v>
      </c>
      <c r="N146">
        <v>1.0206585263821634E-2</v>
      </c>
      <c r="O146">
        <v>145</v>
      </c>
      <c r="P146">
        <v>6.168415410572433E-4</v>
      </c>
      <c r="Q146">
        <v>9.7205573941158382E-4</v>
      </c>
      <c r="R146">
        <v>145</v>
      </c>
      <c r="S146">
        <v>5.090623239971026E-4</v>
      </c>
      <c r="T146">
        <v>9.720557394115836E-4</v>
      </c>
      <c r="AI146">
        <v>145</v>
      </c>
      <c r="AJ146">
        <v>4.0699704652703859E-2</v>
      </c>
      <c r="AK146">
        <v>1</v>
      </c>
    </row>
    <row r="147" spans="1:37" x14ac:dyDescent="0.25">
      <c r="A147" t="s">
        <v>51</v>
      </c>
      <c r="B147">
        <v>7.4</v>
      </c>
      <c r="C147">
        <v>2.8</v>
      </c>
      <c r="D147">
        <v>6.1</v>
      </c>
      <c r="E147">
        <v>1.9</v>
      </c>
      <c r="G147" t="s">
        <v>51</v>
      </c>
      <c r="H147">
        <v>0</v>
      </c>
      <c r="I147">
        <v>0</v>
      </c>
      <c r="J147">
        <v>1</v>
      </c>
      <c r="L147">
        <v>146</v>
      </c>
      <c r="M147">
        <v>8.8634473631572265E-3</v>
      </c>
      <c r="N147">
        <v>1.0716914527012716E-2</v>
      </c>
      <c r="O147">
        <v>146</v>
      </c>
      <c r="P147">
        <v>6.1057906973125027E-4</v>
      </c>
      <c r="Q147">
        <v>1.0206585263821631E-3</v>
      </c>
      <c r="R147">
        <v>146</v>
      </c>
      <c r="S147">
        <v>5.0122684511967911E-4</v>
      </c>
      <c r="T147">
        <v>1.0206585263821629E-3</v>
      </c>
      <c r="AI147">
        <v>146</v>
      </c>
      <c r="AJ147">
        <v>4.0692175296542885E-2</v>
      </c>
      <c r="AK147">
        <v>1</v>
      </c>
    </row>
    <row r="148" spans="1:37" x14ac:dyDescent="0.25">
      <c r="A148" t="s">
        <v>51</v>
      </c>
      <c r="B148">
        <v>7.7</v>
      </c>
      <c r="C148">
        <v>3</v>
      </c>
      <c r="D148">
        <v>6.1</v>
      </c>
      <c r="E148">
        <v>2.2999999999999998</v>
      </c>
      <c r="G148" t="s">
        <v>51</v>
      </c>
      <c r="H148">
        <v>0</v>
      </c>
      <c r="I148">
        <v>0</v>
      </c>
      <c r="J148">
        <v>1</v>
      </c>
      <c r="L148">
        <v>147</v>
      </c>
      <c r="M148">
        <v>8.741117676286549E-3</v>
      </c>
      <c r="N148">
        <v>1.1252760253363352E-2</v>
      </c>
      <c r="O148">
        <v>147</v>
      </c>
      <c r="P148">
        <v>6.0406926581878955E-4</v>
      </c>
      <c r="Q148">
        <v>1.0716914527012713E-3</v>
      </c>
      <c r="R148">
        <v>147</v>
      </c>
      <c r="S148">
        <v>4.9338591547492855E-4</v>
      </c>
      <c r="T148">
        <v>1.0716914527012711E-3</v>
      </c>
      <c r="AI148">
        <v>147</v>
      </c>
      <c r="AJ148">
        <v>4.0682407802900951E-2</v>
      </c>
      <c r="AK148">
        <v>1</v>
      </c>
    </row>
    <row r="149" spans="1:37" x14ac:dyDescent="0.25">
      <c r="A149" t="s">
        <v>51</v>
      </c>
      <c r="B149">
        <v>7.6</v>
      </c>
      <c r="C149">
        <v>3</v>
      </c>
      <c r="D149">
        <v>6.6</v>
      </c>
      <c r="E149">
        <v>2.1</v>
      </c>
      <c r="G149" t="s">
        <v>51</v>
      </c>
      <c r="H149">
        <v>0</v>
      </c>
      <c r="I149">
        <v>0</v>
      </c>
      <c r="J149">
        <v>1</v>
      </c>
      <c r="L149">
        <v>148</v>
      </c>
      <c r="M149">
        <v>8.6831352901572435E-3</v>
      </c>
      <c r="N149">
        <v>1.1815398266031519E-2</v>
      </c>
      <c r="O149">
        <v>148</v>
      </c>
      <c r="P149">
        <v>5.9736378546802391E-4</v>
      </c>
      <c r="Q149">
        <v>1.125276025336335E-3</v>
      </c>
      <c r="R149">
        <v>148</v>
      </c>
      <c r="S149">
        <v>4.8554289693630571E-4</v>
      </c>
      <c r="T149">
        <v>1.1252760253363347E-3</v>
      </c>
      <c r="AI149">
        <v>148</v>
      </c>
      <c r="AJ149">
        <v>4.0670766825571379E-2</v>
      </c>
      <c r="AK149">
        <v>1</v>
      </c>
    </row>
    <row r="150" spans="1:37" x14ac:dyDescent="0.25">
      <c r="A150" t="s">
        <v>51</v>
      </c>
      <c r="B150">
        <v>7.7</v>
      </c>
      <c r="C150">
        <v>2.8</v>
      </c>
      <c r="D150">
        <v>6.7</v>
      </c>
      <c r="E150">
        <v>2</v>
      </c>
      <c r="G150" t="s">
        <v>51</v>
      </c>
      <c r="H150">
        <v>0</v>
      </c>
      <c r="I150">
        <v>0</v>
      </c>
      <c r="J150">
        <v>1</v>
      </c>
      <c r="L150">
        <v>149</v>
      </c>
      <c r="M150">
        <v>8.7454630780569847E-3</v>
      </c>
      <c r="N150">
        <v>1.2406168179333096E-2</v>
      </c>
      <c r="O150">
        <v>149</v>
      </c>
      <c r="P150">
        <v>5.9053476366046991E-4</v>
      </c>
      <c r="Q150">
        <v>1.1815398266031517E-3</v>
      </c>
      <c r="R150">
        <v>149</v>
      </c>
      <c r="S150">
        <v>4.7737177605134074E-4</v>
      </c>
      <c r="T150">
        <v>1.1815398266031515E-3</v>
      </c>
      <c r="AI150">
        <v>149</v>
      </c>
      <c r="AJ150">
        <v>4.0651410290393854E-2</v>
      </c>
      <c r="AK150">
        <v>1</v>
      </c>
    </row>
    <row r="151" spans="1:37" x14ac:dyDescent="0.25">
      <c r="A151" t="s">
        <v>51</v>
      </c>
      <c r="B151">
        <v>7.7</v>
      </c>
      <c r="C151">
        <v>2.6</v>
      </c>
      <c r="D151">
        <v>6.9</v>
      </c>
      <c r="E151">
        <v>2.2999999999999998</v>
      </c>
      <c r="G151" t="s">
        <v>51</v>
      </c>
      <c r="H151">
        <v>0</v>
      </c>
      <c r="I151">
        <v>0</v>
      </c>
      <c r="J151">
        <v>1</v>
      </c>
      <c r="L151">
        <v>150</v>
      </c>
      <c r="M151">
        <v>7.7049072694626193E-3</v>
      </c>
      <c r="N151">
        <v>1.2406168179333096E-3</v>
      </c>
      <c r="O151">
        <v>150</v>
      </c>
      <c r="P151">
        <v>5.8367424517224271E-4</v>
      </c>
      <c r="Q151">
        <v>1.2406168179333093E-3</v>
      </c>
      <c r="R151">
        <v>150</v>
      </c>
      <c r="S151">
        <v>4.6857943738684029E-4</v>
      </c>
      <c r="T151">
        <v>1.2406168179333091E-3</v>
      </c>
      <c r="AI151">
        <v>150</v>
      </c>
      <c r="AJ151">
        <v>4.0605743241852059E-2</v>
      </c>
      <c r="AK151">
        <v>1</v>
      </c>
    </row>
    <row r="152" spans="1:37" x14ac:dyDescent="0.25">
      <c r="L152">
        <v>151</v>
      </c>
      <c r="M152">
        <v>7.6729766746455831E-3</v>
      </c>
      <c r="N152">
        <v>1.302647658829975E-3</v>
      </c>
      <c r="O152">
        <v>151</v>
      </c>
      <c r="P152">
        <v>5.7689173549759496E-4</v>
      </c>
      <c r="Q152">
        <v>1.3026476588299748E-3</v>
      </c>
      <c r="R152">
        <v>151</v>
      </c>
      <c r="S152">
        <v>4.5926461202073864E-4</v>
      </c>
      <c r="T152">
        <v>1.3026476588299746E-3</v>
      </c>
      <c r="AI152">
        <v>151</v>
      </c>
      <c r="AJ152">
        <v>4.0590683192773688E-2</v>
      </c>
      <c r="AK152">
        <v>0.125</v>
      </c>
    </row>
    <row r="153" spans="1:37" x14ac:dyDescent="0.25">
      <c r="L153">
        <v>152</v>
      </c>
      <c r="M153">
        <v>7.6404605367030691E-3</v>
      </c>
      <c r="N153">
        <v>1.3677800417714739E-3</v>
      </c>
      <c r="O153">
        <v>152</v>
      </c>
      <c r="P153">
        <v>5.7030959231016258E-4</v>
      </c>
      <c r="Q153">
        <v>1.3677800417714737E-3</v>
      </c>
      <c r="R153">
        <v>152</v>
      </c>
      <c r="S153">
        <v>4.4988623597032274E-4</v>
      </c>
      <c r="T153">
        <v>1.3677800417714733E-3</v>
      </c>
      <c r="AI153">
        <v>152</v>
      </c>
      <c r="AJ153">
        <v>4.0546754302162362E-2</v>
      </c>
      <c r="AK153">
        <v>1</v>
      </c>
    </row>
    <row r="154" spans="1:37" x14ac:dyDescent="0.25">
      <c r="L154">
        <v>153</v>
      </c>
      <c r="M154">
        <v>7.606140789062135E-3</v>
      </c>
      <c r="N154">
        <v>1.4361690438600477E-3</v>
      </c>
      <c r="O154">
        <v>153</v>
      </c>
      <c r="P154">
        <v>5.6405567932680764E-4</v>
      </c>
      <c r="Q154">
        <v>1.4361690438600475E-3</v>
      </c>
      <c r="R154">
        <v>153</v>
      </c>
      <c r="S154">
        <v>4.4060194459186181E-4</v>
      </c>
      <c r="T154">
        <v>1.436169043860047E-3</v>
      </c>
      <c r="AI154">
        <v>153</v>
      </c>
      <c r="AJ154">
        <v>4.0422658258860739E-2</v>
      </c>
      <c r="AK154">
        <v>1</v>
      </c>
    </row>
    <row r="155" spans="1:37" x14ac:dyDescent="0.25">
      <c r="L155">
        <v>154</v>
      </c>
      <c r="M155">
        <v>7.569804407471372E-3</v>
      </c>
      <c r="N155">
        <v>1.5079774960530502E-3</v>
      </c>
      <c r="O155">
        <v>154</v>
      </c>
      <c r="P155">
        <v>5.5825257690423301E-4</v>
      </c>
      <c r="Q155">
        <v>1.50797749605305E-3</v>
      </c>
      <c r="R155">
        <v>154</v>
      </c>
      <c r="S155">
        <v>4.310031141924939E-4</v>
      </c>
      <c r="T155">
        <v>1.5079774960530495E-3</v>
      </c>
      <c r="AI155">
        <v>154</v>
      </c>
      <c r="AJ155">
        <v>4.031109036733628E-2</v>
      </c>
      <c r="AK155">
        <v>0.5</v>
      </c>
    </row>
    <row r="156" spans="1:37" x14ac:dyDescent="0.25">
      <c r="L156">
        <v>155</v>
      </c>
      <c r="M156">
        <v>7.5313298374601201E-3</v>
      </c>
      <c r="N156">
        <v>1.5833763708557028E-3</v>
      </c>
      <c r="O156">
        <v>155</v>
      </c>
      <c r="P156">
        <v>5.5300364425867033E-4</v>
      </c>
      <c r="Q156">
        <v>1.5833763708557025E-3</v>
      </c>
      <c r="R156">
        <v>155</v>
      </c>
      <c r="S156">
        <v>4.2093042016447968E-4</v>
      </c>
      <c r="T156">
        <v>1.5833763708557021E-3</v>
      </c>
      <c r="AI156">
        <v>155</v>
      </c>
      <c r="AJ156">
        <v>4.0154510365540234E-2</v>
      </c>
      <c r="AK156">
        <v>1</v>
      </c>
    </row>
    <row r="157" spans="1:37" x14ac:dyDescent="0.25">
      <c r="L157">
        <v>156</v>
      </c>
      <c r="M157">
        <v>7.4906582371531598E-3</v>
      </c>
      <c r="N157">
        <v>1.6625451893984879E-3</v>
      </c>
      <c r="O157">
        <v>156</v>
      </c>
      <c r="P157">
        <v>5.483790586811797E-4</v>
      </c>
      <c r="Q157">
        <v>1.6625451893984876E-3</v>
      </c>
      <c r="R157">
        <v>156</v>
      </c>
      <c r="S157">
        <v>4.110279121057721E-4</v>
      </c>
      <c r="T157">
        <v>1.6625451893984872E-3</v>
      </c>
      <c r="AI157">
        <v>156</v>
      </c>
      <c r="AJ157">
        <v>4.0041354579012818E-2</v>
      </c>
      <c r="AK157">
        <v>1</v>
      </c>
    </row>
    <row r="158" spans="1:37" x14ac:dyDescent="0.25">
      <c r="L158">
        <v>157</v>
      </c>
      <c r="M158">
        <v>7.4477982334318618E-3</v>
      </c>
      <c r="N158">
        <v>1.7456724488684123E-3</v>
      </c>
      <c r="O158">
        <v>157</v>
      </c>
      <c r="P158">
        <v>5.4440813919997904E-4</v>
      </c>
      <c r="Q158">
        <v>1.745672448868412E-3</v>
      </c>
      <c r="R158">
        <v>157</v>
      </c>
      <c r="S158">
        <v>4.0214603724678403E-4</v>
      </c>
      <c r="T158">
        <v>1.7456724488684116E-3</v>
      </c>
      <c r="AI158">
        <v>157</v>
      </c>
      <c r="AJ158">
        <v>3.9764706763696915E-2</v>
      </c>
      <c r="AK158">
        <v>0.125</v>
      </c>
    </row>
    <row r="159" spans="1:37" x14ac:dyDescent="0.25">
      <c r="L159">
        <v>158</v>
      </c>
      <c r="M159">
        <v>7.402828445261472E-3</v>
      </c>
      <c r="N159">
        <v>1.8329560713118329E-3</v>
      </c>
      <c r="O159">
        <v>158</v>
      </c>
      <c r="P159">
        <v>5.410834520712469E-4</v>
      </c>
      <c r="Q159">
        <v>1.8329560713118327E-3</v>
      </c>
      <c r="R159">
        <v>158</v>
      </c>
      <c r="S159">
        <v>3.9471185327721902E-4</v>
      </c>
      <c r="T159">
        <v>1.8329560713118323E-3</v>
      </c>
      <c r="AI159">
        <v>158</v>
      </c>
      <c r="AJ159">
        <v>3.9539781406099136E-2</v>
      </c>
      <c r="AK159">
        <v>0.25</v>
      </c>
    </row>
    <row r="160" spans="1:37" x14ac:dyDescent="0.25">
      <c r="L160">
        <v>159</v>
      </c>
      <c r="M160">
        <v>7.3558932383278597E-3</v>
      </c>
      <c r="N160">
        <v>1.9246038748774246E-3</v>
      </c>
      <c r="O160">
        <v>159</v>
      </c>
      <c r="P160">
        <v>5.3837516204446065E-4</v>
      </c>
      <c r="Q160">
        <v>1.9246038748774244E-3</v>
      </c>
      <c r="R160">
        <v>159</v>
      </c>
      <c r="S160">
        <v>3.8852525273302908E-4</v>
      </c>
      <c r="T160">
        <v>1.924603874877424E-3</v>
      </c>
      <c r="AI160">
        <v>159</v>
      </c>
      <c r="AJ160">
        <v>3.9264997701107258E-2</v>
      </c>
      <c r="AK160">
        <v>1</v>
      </c>
    </row>
    <row r="161" spans="12:37" x14ac:dyDescent="0.25">
      <c r="L161">
        <v>160</v>
      </c>
      <c r="M161">
        <v>7.3071879978487174E-3</v>
      </c>
      <c r="N161">
        <v>2.0208340686212961E-3</v>
      </c>
      <c r="O161">
        <v>160</v>
      </c>
      <c r="P161">
        <v>5.3624782704671833E-4</v>
      </c>
      <c r="Q161">
        <v>2.0208340686212957E-3</v>
      </c>
      <c r="R161">
        <v>160</v>
      </c>
      <c r="S161">
        <v>3.8239049194184395E-4</v>
      </c>
      <c r="T161">
        <v>2.0208340686212953E-3</v>
      </c>
      <c r="AI161">
        <v>160</v>
      </c>
      <c r="AJ161">
        <v>3.901580205426726E-2</v>
      </c>
      <c r="AK161">
        <v>1</v>
      </c>
    </row>
    <row r="162" spans="12:37" x14ac:dyDescent="0.25">
      <c r="L162">
        <v>161</v>
      </c>
      <c r="M162">
        <v>7.256931748533613E-3</v>
      </c>
      <c r="N162">
        <v>2.1218757720523609E-3</v>
      </c>
      <c r="O162">
        <v>161</v>
      </c>
      <c r="P162">
        <v>5.3467650062435457E-4</v>
      </c>
      <c r="Q162">
        <v>2.1218757720523605E-3</v>
      </c>
      <c r="R162">
        <v>161</v>
      </c>
      <c r="S162">
        <v>3.7432840885189131E-4</v>
      </c>
      <c r="T162">
        <v>2.12187577205236E-3</v>
      </c>
      <c r="AI162">
        <v>161</v>
      </c>
      <c r="AJ162">
        <v>3.8883110558499676E-2</v>
      </c>
      <c r="AK162">
        <v>1</v>
      </c>
    </row>
    <row r="163" spans="12:37" x14ac:dyDescent="0.25">
      <c r="L163">
        <v>162</v>
      </c>
      <c r="M163">
        <v>7.2053289901725156E-3</v>
      </c>
      <c r="N163">
        <v>2.2279695606549793E-3</v>
      </c>
      <c r="O163">
        <v>162</v>
      </c>
      <c r="P163">
        <v>5.3367112173562147E-4</v>
      </c>
      <c r="Q163">
        <v>2.2279695606549784E-3</v>
      </c>
      <c r="R163">
        <v>162</v>
      </c>
      <c r="S163">
        <v>3.6319022927867455E-4</v>
      </c>
      <c r="T163">
        <v>2.227969560654978E-3</v>
      </c>
      <c r="AI163">
        <v>162</v>
      </c>
      <c r="AJ163">
        <v>3.8824096481012843E-2</v>
      </c>
      <c r="AK163">
        <v>0.5</v>
      </c>
    </row>
    <row r="164" spans="12:37" x14ac:dyDescent="0.25">
      <c r="L164">
        <v>163</v>
      </c>
      <c r="M164">
        <v>7.1525286286665051E-3</v>
      </c>
      <c r="N164">
        <v>2.3393680386877285E-3</v>
      </c>
      <c r="O164">
        <v>163</v>
      </c>
      <c r="P164">
        <v>5.3332265454072547E-4</v>
      </c>
      <c r="Q164">
        <v>2.3393680386877276E-3</v>
      </c>
      <c r="R164">
        <v>163</v>
      </c>
      <c r="S164">
        <v>3.5025021316398497E-4</v>
      </c>
      <c r="T164">
        <v>2.3393680386877272E-3</v>
      </c>
      <c r="AI164">
        <v>163</v>
      </c>
      <c r="AJ164">
        <v>3.8643385906482773E-2</v>
      </c>
      <c r="AK164">
        <v>1</v>
      </c>
    </row>
    <row r="165" spans="12:37" x14ac:dyDescent="0.25">
      <c r="L165">
        <v>164</v>
      </c>
      <c r="M165">
        <v>7.0985928944487207E-3</v>
      </c>
      <c r="N165">
        <v>2.4563364406221151E-3</v>
      </c>
      <c r="O165">
        <v>164</v>
      </c>
      <c r="P165">
        <v>5.3387403727814611E-4</v>
      </c>
      <c r="Q165">
        <v>2.4563364406221143E-3</v>
      </c>
      <c r="R165">
        <v>164</v>
      </c>
      <c r="S165">
        <v>3.3871269104976165E-4</v>
      </c>
      <c r="T165">
        <v>2.4563364406221138E-3</v>
      </c>
      <c r="AI165">
        <v>164</v>
      </c>
      <c r="AJ165">
        <v>3.8572905014303355E-2</v>
      </c>
      <c r="AK165">
        <v>1</v>
      </c>
    </row>
    <row r="166" spans="12:37" x14ac:dyDescent="0.25">
      <c r="L166">
        <v>165</v>
      </c>
      <c r="M166">
        <v>7.043488715402107E-3</v>
      </c>
      <c r="N166">
        <v>2.579153262653221E-3</v>
      </c>
      <c r="O166">
        <v>165</v>
      </c>
      <c r="P166">
        <v>4.653903922242258E-4</v>
      </c>
      <c r="Q166">
        <v>2.4563364406221143E-4</v>
      </c>
      <c r="R166">
        <v>165</v>
      </c>
      <c r="S166">
        <v>3.3152314495342916E-4</v>
      </c>
      <c r="T166">
        <v>2.5791532626532197E-3</v>
      </c>
      <c r="AI166">
        <v>165</v>
      </c>
      <c r="AJ166">
        <v>3.8560860400273379E-2</v>
      </c>
      <c r="AK166">
        <v>1</v>
      </c>
    </row>
    <row r="167" spans="12:37" x14ac:dyDescent="0.25">
      <c r="L167">
        <v>166</v>
      </c>
      <c r="M167">
        <v>6.9871060645837627E-3</v>
      </c>
      <c r="N167">
        <v>2.7081109257858821E-3</v>
      </c>
      <c r="O167">
        <v>166</v>
      </c>
      <c r="P167">
        <v>4.6285355160496043E-4</v>
      </c>
      <c r="Q167">
        <v>2.57915326265322E-4</v>
      </c>
      <c r="R167">
        <v>166</v>
      </c>
      <c r="S167">
        <v>3.2984196925386043E-4</v>
      </c>
      <c r="T167">
        <v>2.7081109257858808E-3</v>
      </c>
      <c r="AI167">
        <v>166</v>
      </c>
      <c r="AJ167">
        <v>3.8555649496993437E-2</v>
      </c>
      <c r="AK167">
        <v>1</v>
      </c>
    </row>
    <row r="168" spans="12:37" x14ac:dyDescent="0.25">
      <c r="L168">
        <v>167</v>
      </c>
      <c r="M168">
        <v>6.9292961235155369E-3</v>
      </c>
      <c r="N168">
        <v>2.8435164720751762E-3</v>
      </c>
      <c r="O168">
        <v>167</v>
      </c>
      <c r="P168">
        <v>4.6126924199130904E-4</v>
      </c>
      <c r="Q168">
        <v>2.7081109257858811E-4</v>
      </c>
      <c r="R168">
        <v>167</v>
      </c>
      <c r="S168">
        <v>3.3314790977667923E-4</v>
      </c>
      <c r="T168">
        <v>2.8435164720751749E-3</v>
      </c>
      <c r="AI168">
        <v>167</v>
      </c>
      <c r="AJ168">
        <v>3.8545162765269425E-2</v>
      </c>
      <c r="AK168">
        <v>1</v>
      </c>
    </row>
    <row r="169" spans="12:37" x14ac:dyDescent="0.25">
      <c r="L169">
        <v>168</v>
      </c>
      <c r="M169">
        <v>6.8699143673831209E-3</v>
      </c>
      <c r="N169">
        <v>2.9856922956789352E-3</v>
      </c>
      <c r="O169">
        <v>168</v>
      </c>
      <c r="P169">
        <v>4.5977422045724722E-4</v>
      </c>
      <c r="Q169">
        <v>2.8435164720751752E-4</v>
      </c>
      <c r="R169">
        <v>168</v>
      </c>
      <c r="S169">
        <v>3.1528416203042005E-4</v>
      </c>
      <c r="T169">
        <v>2.8435164720751752E-4</v>
      </c>
      <c r="AI169">
        <v>168</v>
      </c>
      <c r="AJ169">
        <v>3.8510431375607897E-2</v>
      </c>
      <c r="AK169">
        <v>1</v>
      </c>
    </row>
    <row r="170" spans="12:37" x14ac:dyDescent="0.25">
      <c r="L170">
        <v>169</v>
      </c>
      <c r="M170">
        <v>6.8088546037988707E-3</v>
      </c>
      <c r="N170">
        <v>3.134976910462882E-3</v>
      </c>
      <c r="O170">
        <v>169</v>
      </c>
      <c r="P170">
        <v>4.5824807674792547E-4</v>
      </c>
      <c r="Q170">
        <v>2.9856922956789339E-4</v>
      </c>
      <c r="R170">
        <v>169</v>
      </c>
      <c r="S170">
        <v>3.1364578395131081E-4</v>
      </c>
      <c r="T170">
        <v>2.9856922956789339E-4</v>
      </c>
      <c r="AI170">
        <v>169</v>
      </c>
      <c r="AJ170">
        <v>3.8491737556728321E-2</v>
      </c>
      <c r="AK170">
        <v>1</v>
      </c>
    </row>
    <row r="171" spans="12:37" x14ac:dyDescent="0.25">
      <c r="L171">
        <v>170</v>
      </c>
      <c r="M171">
        <v>6.7460673676858979E-3</v>
      </c>
      <c r="N171">
        <v>3.2917257559860261E-3</v>
      </c>
      <c r="O171">
        <v>170</v>
      </c>
      <c r="P171">
        <v>4.5666687231766032E-4</v>
      </c>
      <c r="Q171">
        <v>3.1349769104628805E-4</v>
      </c>
      <c r="R171">
        <v>170</v>
      </c>
      <c r="S171">
        <v>3.1224996239523741E-4</v>
      </c>
      <c r="T171">
        <v>3.1349769104628805E-4</v>
      </c>
      <c r="AI171">
        <v>170</v>
      </c>
      <c r="AJ171">
        <v>3.8488143408857818E-2</v>
      </c>
      <c r="AK171">
        <v>1</v>
      </c>
    </row>
    <row r="172" spans="12:37" x14ac:dyDescent="0.25">
      <c r="L172">
        <v>171</v>
      </c>
      <c r="M172">
        <v>6.6815639603514812E-3</v>
      </c>
      <c r="N172">
        <v>3.4563120437853274E-3</v>
      </c>
      <c r="O172">
        <v>171</v>
      </c>
      <c r="P172">
        <v>4.5502448793170486E-4</v>
      </c>
      <c r="Q172">
        <v>3.2917257559860244E-4</v>
      </c>
      <c r="R172">
        <v>171</v>
      </c>
      <c r="S172">
        <v>3.1080933771443904E-4</v>
      </c>
      <c r="T172">
        <v>3.2917257559860244E-4</v>
      </c>
      <c r="AI172">
        <v>171</v>
      </c>
      <c r="AJ172">
        <v>3.8485187828482696E-2</v>
      </c>
      <c r="AK172">
        <v>1</v>
      </c>
    </row>
    <row r="173" spans="12:37" x14ac:dyDescent="0.25">
      <c r="L173">
        <v>172</v>
      </c>
      <c r="M173">
        <v>6.6154117198416332E-3</v>
      </c>
      <c r="N173">
        <v>3.6291276459745939E-3</v>
      </c>
      <c r="O173">
        <v>172</v>
      </c>
      <c r="P173">
        <v>4.5331807878329941E-4</v>
      </c>
      <c r="Q173">
        <v>3.456312043785326E-4</v>
      </c>
      <c r="R173">
        <v>172</v>
      </c>
      <c r="S173">
        <v>3.0921988455542306E-4</v>
      </c>
      <c r="T173">
        <v>3.456312043785326E-4</v>
      </c>
      <c r="AI173">
        <v>172</v>
      </c>
      <c r="AJ173">
        <v>3.8479079035830185E-2</v>
      </c>
      <c r="AK173">
        <v>1</v>
      </c>
    </row>
    <row r="174" spans="12:37" x14ac:dyDescent="0.25">
      <c r="L174">
        <v>173</v>
      </c>
      <c r="M174">
        <v>6.5477264876907552E-3</v>
      </c>
      <c r="N174">
        <v>3.8105840282733239E-3</v>
      </c>
      <c r="O174">
        <v>173</v>
      </c>
      <c r="P174">
        <v>4.5154480696049995E-4</v>
      </c>
      <c r="Q174">
        <v>3.6291276459745925E-4</v>
      </c>
      <c r="R174">
        <v>173</v>
      </c>
      <c r="S174">
        <v>3.0741723270186975E-4</v>
      </c>
      <c r="T174">
        <v>3.6291276459745925E-4</v>
      </c>
      <c r="AI174">
        <v>173</v>
      </c>
      <c r="AJ174">
        <v>3.8464726637109564E-2</v>
      </c>
      <c r="AK174">
        <v>1</v>
      </c>
    </row>
    <row r="175" spans="12:37" x14ac:dyDescent="0.25">
      <c r="L175">
        <v>174</v>
      </c>
      <c r="M175">
        <v>6.4786664517667084E-3</v>
      </c>
      <c r="N175">
        <v>4.0011132296869905E-3</v>
      </c>
      <c r="O175">
        <v>174</v>
      </c>
      <c r="P175">
        <v>4.4970102812373831E-4</v>
      </c>
      <c r="Q175">
        <v>3.8105840282733224E-4</v>
      </c>
      <c r="R175">
        <v>174</v>
      </c>
      <c r="S175">
        <v>3.0540046488553409E-4</v>
      </c>
      <c r="T175">
        <v>3.8105840282733224E-4</v>
      </c>
      <c r="AI175">
        <v>174</v>
      </c>
      <c r="AJ175">
        <v>3.8428155140952144E-2</v>
      </c>
      <c r="AK175">
        <v>1</v>
      </c>
    </row>
    <row r="176" spans="12:37" x14ac:dyDescent="0.25">
      <c r="L176">
        <v>175</v>
      </c>
      <c r="M176">
        <v>6.4084293278036239E-3</v>
      </c>
      <c r="N176">
        <v>4.2011688911713406E-3</v>
      </c>
      <c r="O176">
        <v>175</v>
      </c>
      <c r="P176">
        <v>4.4778198585087182E-4</v>
      </c>
      <c r="Q176">
        <v>4.0011132296869885E-4</v>
      </c>
      <c r="R176">
        <v>175</v>
      </c>
      <c r="S176">
        <v>3.0323871155598671E-4</v>
      </c>
      <c r="T176">
        <v>4.0011132296869885E-4</v>
      </c>
      <c r="AI176">
        <v>175</v>
      </c>
      <c r="AJ176">
        <v>3.8338285556789607E-2</v>
      </c>
      <c r="AK176">
        <v>1</v>
      </c>
    </row>
    <row r="177" spans="12:37" x14ac:dyDescent="0.25">
      <c r="L177">
        <v>176</v>
      </c>
      <c r="M177">
        <v>6.3372530410019234E-3</v>
      </c>
      <c r="N177">
        <v>4.4112273357299076E-3</v>
      </c>
      <c r="O177">
        <v>176</v>
      </c>
      <c r="P177">
        <v>4.4578158721241852E-4</v>
      </c>
      <c r="Q177">
        <v>4.2011688911713381E-4</v>
      </c>
      <c r="R177">
        <v>176</v>
      </c>
      <c r="S177">
        <v>3.0103238297377478E-4</v>
      </c>
      <c r="T177">
        <v>4.2011688911713381E-4</v>
      </c>
      <c r="AI177">
        <v>176</v>
      </c>
      <c r="AJ177">
        <v>3.8136942418571983E-2</v>
      </c>
      <c r="AK177">
        <v>1</v>
      </c>
    </row>
    <row r="178" spans="12:37" x14ac:dyDescent="0.25">
      <c r="L178">
        <v>177</v>
      </c>
      <c r="M178">
        <v>6.2654187939141133E-3</v>
      </c>
      <c r="N178">
        <v>4.6317887025164031E-3</v>
      </c>
      <c r="O178">
        <v>177</v>
      </c>
      <c r="P178">
        <v>4.4369219351429691E-4</v>
      </c>
      <c r="Q178">
        <v>4.411227335729905E-4</v>
      </c>
      <c r="R178">
        <v>177</v>
      </c>
      <c r="S178">
        <v>2.9885383459355412E-4</v>
      </c>
      <c r="T178">
        <v>4.411227335729905E-4</v>
      </c>
      <c r="AI178">
        <v>177</v>
      </c>
      <c r="AJ178">
        <v>3.7787563812241867E-2</v>
      </c>
      <c r="AK178">
        <v>1</v>
      </c>
    </row>
    <row r="179" spans="12:37" x14ac:dyDescent="0.25">
      <c r="L179">
        <v>178</v>
      </c>
      <c r="M179">
        <v>6.1932544699843843E-3</v>
      </c>
      <c r="N179">
        <v>4.8633781376422238E-3</v>
      </c>
      <c r="O179">
        <v>178</v>
      </c>
      <c r="P179">
        <v>4.4150444060846357E-4</v>
      </c>
      <c r="Q179">
        <v>4.6317887025164003E-4</v>
      </c>
      <c r="R179">
        <v>178</v>
      </c>
      <c r="S179">
        <v>2.9671212331324479E-4</v>
      </c>
      <c r="T179">
        <v>4.6317887025164003E-4</v>
      </c>
      <c r="AI179">
        <v>178</v>
      </c>
      <c r="AJ179">
        <v>3.7418267653598375E-2</v>
      </c>
      <c r="AK179">
        <v>1</v>
      </c>
    </row>
    <row r="180" spans="12:37" x14ac:dyDescent="0.25">
      <c r="L180">
        <v>179</v>
      </c>
      <c r="M180">
        <v>6.121135601841618E-3</v>
      </c>
      <c r="N180">
        <v>5.1065470445243351E-3</v>
      </c>
      <c r="O180">
        <v>179</v>
      </c>
      <c r="P180">
        <v>4.3920712211494782E-4</v>
      </c>
      <c r="Q180">
        <v>4.8633781376422207E-4</v>
      </c>
      <c r="R180">
        <v>179</v>
      </c>
      <c r="S180">
        <v>2.9456169329026644E-4</v>
      </c>
      <c r="T180">
        <v>4.8633781376422207E-4</v>
      </c>
      <c r="AI180">
        <v>179</v>
      </c>
      <c r="AJ180">
        <v>3.7109385824082276E-2</v>
      </c>
      <c r="AK180">
        <v>1</v>
      </c>
    </row>
    <row r="181" spans="12:37" x14ac:dyDescent="0.25">
      <c r="L181">
        <v>180</v>
      </c>
      <c r="M181">
        <v>6.0494807866353752E-3</v>
      </c>
      <c r="N181">
        <v>5.3618743967505517E-3</v>
      </c>
      <c r="O181">
        <v>180</v>
      </c>
      <c r="P181">
        <v>4.3678717871426594E-4</v>
      </c>
      <c r="Q181">
        <v>5.1065470445243316E-4</v>
      </c>
      <c r="R181">
        <v>180</v>
      </c>
      <c r="S181">
        <v>2.9233757610186103E-4</v>
      </c>
      <c r="T181">
        <v>5.1065470445243316E-4</v>
      </c>
      <c r="AI181">
        <v>180</v>
      </c>
      <c r="AJ181">
        <v>3.7043382003075311E-2</v>
      </c>
      <c r="AK181">
        <v>1</v>
      </c>
    </row>
    <row r="182" spans="12:37" x14ac:dyDescent="0.25">
      <c r="L182">
        <v>181</v>
      </c>
      <c r="M182">
        <v>5.978738918366591E-3</v>
      </c>
      <c r="N182">
        <v>5.6299681165880794E-3</v>
      </c>
      <c r="O182">
        <v>181</v>
      </c>
      <c r="P182">
        <v>4.3422984809666175E-4</v>
      </c>
      <c r="Q182">
        <v>5.3618743967505486E-4</v>
      </c>
      <c r="R182">
        <v>181</v>
      </c>
      <c r="S182">
        <v>2.8999289239251561E-4</v>
      </c>
      <c r="T182">
        <v>5.3618743967505486E-4</v>
      </c>
      <c r="AI182">
        <v>181</v>
      </c>
      <c r="AJ182">
        <v>3.7024463398067614E-2</v>
      </c>
      <c r="AK182">
        <v>0.5</v>
      </c>
    </row>
    <row r="183" spans="12:37" x14ac:dyDescent="0.25">
      <c r="L183">
        <v>182</v>
      </c>
      <c r="M183">
        <v>5.9093674308609593E-3</v>
      </c>
      <c r="N183">
        <v>5.911466522417484E-3</v>
      </c>
      <c r="O183">
        <v>182</v>
      </c>
      <c r="P183">
        <v>4.3151904340072767E-4</v>
      </c>
      <c r="Q183">
        <v>5.6299681165880762E-4</v>
      </c>
      <c r="R183">
        <v>182</v>
      </c>
      <c r="S183">
        <v>2.8752483974077008E-4</v>
      </c>
      <c r="T183">
        <v>5.6299681165880762E-4</v>
      </c>
      <c r="AI183">
        <v>182</v>
      </c>
      <c r="AJ183">
        <v>3.7016499530280605E-2</v>
      </c>
      <c r="AK183">
        <v>0.5</v>
      </c>
    </row>
    <row r="184" spans="12:37" x14ac:dyDescent="0.25">
      <c r="L184">
        <v>183</v>
      </c>
      <c r="M184">
        <v>5.8418038745315952E-3</v>
      </c>
      <c r="N184">
        <v>6.2070398485383586E-3</v>
      </c>
      <c r="O184">
        <v>183</v>
      </c>
      <c r="P184">
        <v>4.2863803895899484E-4</v>
      </c>
      <c r="Q184">
        <v>5.9114665224174799E-4</v>
      </c>
      <c r="R184">
        <v>183</v>
      </c>
      <c r="S184">
        <v>2.8497131316942607E-4</v>
      </c>
      <c r="T184">
        <v>5.9114665224174799E-4</v>
      </c>
      <c r="AI184">
        <v>183</v>
      </c>
      <c r="AJ184">
        <v>3.7011492007552396E-2</v>
      </c>
      <c r="AK184">
        <v>0.5</v>
      </c>
    </row>
    <row r="185" spans="12:37" x14ac:dyDescent="0.25">
      <c r="L185">
        <v>184</v>
      </c>
      <c r="M185">
        <v>5.7764365292587161E-3</v>
      </c>
      <c r="N185">
        <v>6.5173918409652766E-3</v>
      </c>
      <c r="O185">
        <v>184</v>
      </c>
      <c r="P185">
        <v>4.2557054271228506E-4</v>
      </c>
      <c r="Q185">
        <v>6.2070398485383543E-4</v>
      </c>
      <c r="R185">
        <v>184</v>
      </c>
      <c r="S185">
        <v>2.8236950627997837E-4</v>
      </c>
      <c r="T185">
        <v>6.2070398485383543E-4</v>
      </c>
      <c r="AI185">
        <v>184</v>
      </c>
      <c r="AJ185">
        <v>3.7009609020560386E-2</v>
      </c>
      <c r="AK185">
        <v>1</v>
      </c>
    </row>
    <row r="186" spans="12:37" x14ac:dyDescent="0.25">
      <c r="L186">
        <v>185</v>
      </c>
      <c r="M186">
        <v>5.7135816633206377E-3</v>
      </c>
      <c r="N186">
        <v>6.8432614330135406E-3</v>
      </c>
      <c r="O186">
        <v>185</v>
      </c>
      <c r="P186">
        <v>4.2230221229655636E-4</v>
      </c>
      <c r="Q186">
        <v>6.5173918409652722E-4</v>
      </c>
      <c r="R186">
        <v>185</v>
      </c>
      <c r="S186">
        <v>2.7971659075967816E-4</v>
      </c>
      <c r="T186">
        <v>6.5173918409652722E-4</v>
      </c>
      <c r="AI186">
        <v>185</v>
      </c>
      <c r="AJ186">
        <v>3.7009296118486558E-2</v>
      </c>
      <c r="AK186">
        <v>1</v>
      </c>
    </row>
    <row r="187" spans="12:37" x14ac:dyDescent="0.25">
      <c r="L187">
        <v>186</v>
      </c>
      <c r="M187">
        <v>5.6534745342382122E-3</v>
      </c>
      <c r="N187">
        <v>7.1854245046642177E-3</v>
      </c>
      <c r="O187">
        <v>186</v>
      </c>
      <c r="P187">
        <v>4.1882261221603444E-4</v>
      </c>
      <c r="Q187">
        <v>6.8432614330135361E-4</v>
      </c>
      <c r="R187">
        <v>186</v>
      </c>
      <c r="S187">
        <v>2.7698183931049403E-4</v>
      </c>
      <c r="T187">
        <v>6.8432614330135361E-4</v>
      </c>
      <c r="AI187">
        <v>186</v>
      </c>
      <c r="AJ187">
        <v>3.7009093382974777E-2</v>
      </c>
      <c r="AK187">
        <v>1</v>
      </c>
    </row>
    <row r="188" spans="12:37" x14ac:dyDescent="0.25">
      <c r="L188">
        <v>187</v>
      </c>
      <c r="M188">
        <v>5.5962792338761537E-3</v>
      </c>
      <c r="N188">
        <v>7.5446957298974287E-3</v>
      </c>
      <c r="O188">
        <v>187</v>
      </c>
      <c r="P188">
        <v>4.1512750400411757E-4</v>
      </c>
      <c r="Q188">
        <v>7.1854245046642129E-4</v>
      </c>
      <c r="R188">
        <v>187</v>
      </c>
      <c r="S188">
        <v>2.7415101455613802E-4</v>
      </c>
      <c r="T188">
        <v>7.1854245046642129E-4</v>
      </c>
      <c r="AI188">
        <v>187</v>
      </c>
      <c r="AJ188">
        <v>3.7008895289961381E-2</v>
      </c>
      <c r="AK188">
        <v>1</v>
      </c>
    </row>
    <row r="189" spans="12:37" x14ac:dyDescent="0.25">
      <c r="L189">
        <v>188</v>
      </c>
      <c r="M189">
        <v>5.5421207237410456E-3</v>
      </c>
      <c r="N189">
        <v>7.9219305163923011E-3</v>
      </c>
      <c r="O189">
        <v>188</v>
      </c>
      <c r="P189">
        <v>4.1122121977097629E-4</v>
      </c>
      <c r="Q189">
        <v>7.5446957298974237E-4</v>
      </c>
      <c r="R189">
        <v>188</v>
      </c>
      <c r="S189">
        <v>2.7125087831782836E-4</v>
      </c>
      <c r="T189">
        <v>7.5446957298974237E-4</v>
      </c>
      <c r="AI189">
        <v>188</v>
      </c>
      <c r="AJ189">
        <v>3.7008385790394997E-2</v>
      </c>
      <c r="AK189">
        <v>1</v>
      </c>
    </row>
    <row r="190" spans="12:37" x14ac:dyDescent="0.25">
      <c r="L190">
        <v>189</v>
      </c>
      <c r="M190">
        <v>5.4911405056040216E-3</v>
      </c>
      <c r="N190">
        <v>8.3180270422119167E-3</v>
      </c>
      <c r="O190">
        <v>189</v>
      </c>
      <c r="P190">
        <v>4.071187330185225E-4</v>
      </c>
      <c r="Q190">
        <v>7.9219305163922952E-4</v>
      </c>
      <c r="R190">
        <v>189</v>
      </c>
      <c r="S190">
        <v>2.6833399336577353E-4</v>
      </c>
      <c r="T190">
        <v>7.9219305163922952E-4</v>
      </c>
      <c r="AI190">
        <v>189</v>
      </c>
      <c r="AJ190">
        <v>3.7007450484823325E-2</v>
      </c>
      <c r="AK190">
        <v>1</v>
      </c>
    </row>
    <row r="191" spans="12:37" x14ac:dyDescent="0.25">
      <c r="L191">
        <v>190</v>
      </c>
      <c r="M191">
        <v>5.4435715081548736E-3</v>
      </c>
      <c r="N191">
        <v>8.7339283943225123E-3</v>
      </c>
      <c r="O191">
        <v>190</v>
      </c>
      <c r="P191">
        <v>4.0284697741665613E-4</v>
      </c>
      <c r="Q191">
        <v>8.3180270422119099E-4</v>
      </c>
      <c r="R191">
        <v>190</v>
      </c>
      <c r="S191">
        <v>2.6543051891496648E-4</v>
      </c>
      <c r="T191">
        <v>8.3180270422119099E-4</v>
      </c>
      <c r="AI191">
        <v>190</v>
      </c>
      <c r="AJ191">
        <v>3.7005162995133921E-2</v>
      </c>
      <c r="AK191">
        <v>1</v>
      </c>
    </row>
    <row r="192" spans="12:37" x14ac:dyDescent="0.25">
      <c r="L192">
        <v>191</v>
      </c>
      <c r="M192">
        <v>5.3998132500793312E-3</v>
      </c>
      <c r="N192">
        <v>9.1706248140386391E-3</v>
      </c>
      <c r="O192">
        <v>191</v>
      </c>
      <c r="P192">
        <v>3.9844503281546187E-4</v>
      </c>
      <c r="Q192">
        <v>8.7339283943225056E-4</v>
      </c>
      <c r="R192">
        <v>191</v>
      </c>
      <c r="S192">
        <v>2.6248111998645042E-4</v>
      </c>
      <c r="T192">
        <v>8.7339283943225056E-4</v>
      </c>
      <c r="AI192">
        <v>191</v>
      </c>
      <c r="AJ192">
        <v>3.6999648152755485E-2</v>
      </c>
      <c r="AK192">
        <v>1</v>
      </c>
    </row>
    <row r="193" spans="12:37" x14ac:dyDescent="0.25">
      <c r="L193">
        <v>192</v>
      </c>
      <c r="M193">
        <v>5.360464841786582E-3</v>
      </c>
      <c r="N193">
        <v>9.6291560547405713E-3</v>
      </c>
      <c r="O193">
        <v>192</v>
      </c>
      <c r="P193">
        <v>3.9396298103018144E-4</v>
      </c>
      <c r="Q193">
        <v>9.1706248140386313E-4</v>
      </c>
      <c r="R193">
        <v>192</v>
      </c>
      <c r="S193">
        <v>2.5928808652354662E-4</v>
      </c>
      <c r="T193">
        <v>9.1706248140386313E-4</v>
      </c>
      <c r="AI193">
        <v>192</v>
      </c>
      <c r="AJ193">
        <v>3.6985567078245928E-2</v>
      </c>
      <c r="AK193">
        <v>1</v>
      </c>
    </row>
    <row r="194" spans="12:37" x14ac:dyDescent="0.25">
      <c r="L194">
        <v>193</v>
      </c>
      <c r="M194">
        <v>5.3262495879292443E-3</v>
      </c>
      <c r="N194">
        <v>1.01106138574776E-2</v>
      </c>
      <c r="O194">
        <v>193</v>
      </c>
      <c r="P194">
        <v>3.8945939820842396E-4</v>
      </c>
      <c r="Q194">
        <v>9.6291560547405637E-4</v>
      </c>
      <c r="R194">
        <v>193</v>
      </c>
      <c r="S194">
        <v>2.555503206933053E-4</v>
      </c>
      <c r="T194">
        <v>9.6291560547405637E-4</v>
      </c>
      <c r="AI194">
        <v>193</v>
      </c>
      <c r="AJ194">
        <v>3.6964750736903293E-2</v>
      </c>
      <c r="AK194">
        <v>1</v>
      </c>
    </row>
    <row r="195" spans="12:37" x14ac:dyDescent="0.25">
      <c r="L195">
        <v>194</v>
      </c>
      <c r="M195">
        <v>5.2977592623679954E-3</v>
      </c>
      <c r="N195">
        <v>1.0616144550351481E-2</v>
      </c>
      <c r="O195">
        <v>194</v>
      </c>
      <c r="P195">
        <v>3.8499740852435908E-4</v>
      </c>
      <c r="Q195">
        <v>1.0110613857477592E-3</v>
      </c>
      <c r="R195">
        <v>194</v>
      </c>
      <c r="S195">
        <v>2.5101309308579164E-4</v>
      </c>
      <c r="T195">
        <v>1.0110613857477592E-3</v>
      </c>
      <c r="AI195">
        <v>194</v>
      </c>
      <c r="AJ195">
        <v>3.6933683321912152E-2</v>
      </c>
      <c r="AK195">
        <v>1</v>
      </c>
    </row>
    <row r="196" spans="12:37" x14ac:dyDescent="0.25">
      <c r="L196">
        <v>195</v>
      </c>
      <c r="M196">
        <v>5.2749804989031543E-3</v>
      </c>
      <c r="N196">
        <v>1.1146951777869054E-2</v>
      </c>
      <c r="O196">
        <v>195</v>
      </c>
      <c r="P196">
        <v>3.8063892314015209E-4</v>
      </c>
      <c r="Q196">
        <v>1.0616144550351472E-3</v>
      </c>
      <c r="R196">
        <v>195</v>
      </c>
      <c r="S196">
        <v>2.4566338319536831E-4</v>
      </c>
      <c r="T196">
        <v>1.0616144550351472E-3</v>
      </c>
      <c r="AI196">
        <v>195</v>
      </c>
      <c r="AJ196">
        <v>3.6887960016211564E-2</v>
      </c>
      <c r="AK196">
        <v>0.5</v>
      </c>
    </row>
    <row r="197" spans="12:37" x14ac:dyDescent="0.25">
      <c r="L197">
        <v>196</v>
      </c>
      <c r="M197">
        <v>5.256651174974647E-3</v>
      </c>
      <c r="N197">
        <v>1.1704299366762507E-2</v>
      </c>
      <c r="O197">
        <v>196</v>
      </c>
      <c r="P197">
        <v>3.7643641626015608E-4</v>
      </c>
      <c r="Q197">
        <v>1.1146951777869045E-3</v>
      </c>
      <c r="R197">
        <v>196</v>
      </c>
      <c r="S197">
        <v>2.3981960847886238E-4</v>
      </c>
      <c r="T197">
        <v>1.1146951777869045E-3</v>
      </c>
      <c r="AI197">
        <v>196</v>
      </c>
      <c r="AJ197">
        <v>3.6859463238000996E-2</v>
      </c>
      <c r="AK197">
        <v>1</v>
      </c>
    </row>
    <row r="198" spans="12:37" x14ac:dyDescent="0.25">
      <c r="L198">
        <v>197</v>
      </c>
      <c r="M198">
        <v>5.2396146759109705E-3</v>
      </c>
      <c r="N198">
        <v>1.2289514335100633E-2</v>
      </c>
      <c r="O198">
        <v>197</v>
      </c>
      <c r="P198">
        <v>3.7242197758139312E-4</v>
      </c>
      <c r="Q198">
        <v>1.1704299366762498E-3</v>
      </c>
      <c r="R198">
        <v>197</v>
      </c>
      <c r="S198">
        <v>2.3404151888088866E-4</v>
      </c>
      <c r="T198">
        <v>1.1704299366762498E-3</v>
      </c>
      <c r="AI198">
        <v>197</v>
      </c>
      <c r="AJ198">
        <v>3.6854547179445495E-2</v>
      </c>
      <c r="AK198">
        <v>1</v>
      </c>
    </row>
    <row r="199" spans="12:37" x14ac:dyDescent="0.25">
      <c r="L199">
        <v>198</v>
      </c>
      <c r="M199">
        <v>5.2184528585045315E-3</v>
      </c>
      <c r="N199">
        <v>1.2903990051855664E-2</v>
      </c>
      <c r="O199">
        <v>198</v>
      </c>
      <c r="P199">
        <v>3.6859497938562406E-4</v>
      </c>
      <c r="Q199">
        <v>1.2289514335100623E-3</v>
      </c>
      <c r="R199">
        <v>198</v>
      </c>
      <c r="S199">
        <v>2.2901238585495629E-4</v>
      </c>
      <c r="T199">
        <v>1.2289514335100623E-3</v>
      </c>
      <c r="AI199">
        <v>198</v>
      </c>
      <c r="AJ199">
        <v>3.6840996358136549E-2</v>
      </c>
      <c r="AK199">
        <v>1</v>
      </c>
    </row>
    <row r="200" spans="12:37" x14ac:dyDescent="0.25">
      <c r="L200">
        <v>199</v>
      </c>
      <c r="M200">
        <v>5.1857550279469627E-3</v>
      </c>
      <c r="N200">
        <v>1.3549189554448449E-2</v>
      </c>
      <c r="O200">
        <v>199</v>
      </c>
      <c r="P200">
        <v>3.6491213786567982E-4</v>
      </c>
      <c r="Q200">
        <v>1.2903990051855655E-3</v>
      </c>
      <c r="R200">
        <v>199</v>
      </c>
      <c r="S200">
        <v>2.2550796406918389E-4</v>
      </c>
      <c r="T200">
        <v>1.2903990051855655E-3</v>
      </c>
      <c r="AI200">
        <v>199</v>
      </c>
      <c r="AJ200">
        <v>3.6826296481024486E-2</v>
      </c>
      <c r="AK200">
        <v>1</v>
      </c>
    </row>
    <row r="201" spans="12:37" x14ac:dyDescent="0.25">
      <c r="L201">
        <v>200</v>
      </c>
      <c r="M201">
        <v>5.1334063254411611E-3</v>
      </c>
      <c r="N201">
        <v>1.4226649032170871E-2</v>
      </c>
      <c r="O201">
        <v>200</v>
      </c>
      <c r="P201">
        <v>3.6128524104809238E-4</v>
      </c>
      <c r="Q201">
        <v>1.3549189554448438E-3</v>
      </c>
      <c r="R201">
        <v>200</v>
      </c>
      <c r="S201">
        <v>2.2420752822187222E-4</v>
      </c>
      <c r="T201">
        <v>1.3549189554448438E-3</v>
      </c>
      <c r="AI201">
        <v>200</v>
      </c>
      <c r="AJ201">
        <v>3.6801596178584091E-2</v>
      </c>
      <c r="AK201">
        <v>1</v>
      </c>
    </row>
    <row r="202" spans="12:37" x14ac:dyDescent="0.25">
      <c r="AI202">
        <v>201</v>
      </c>
      <c r="AJ202">
        <v>3.6786876218563989E-2</v>
      </c>
      <c r="AK202">
        <v>1</v>
      </c>
    </row>
    <row r="203" spans="12:37" x14ac:dyDescent="0.25">
      <c r="AI203">
        <v>202</v>
      </c>
      <c r="AJ203">
        <v>3.6766724998648692E-2</v>
      </c>
      <c r="AK203">
        <v>1</v>
      </c>
    </row>
    <row r="204" spans="12:37" x14ac:dyDescent="0.25">
      <c r="AI204">
        <v>203</v>
      </c>
      <c r="AJ204">
        <v>3.6755968058315443E-2</v>
      </c>
      <c r="AK204">
        <v>0.5</v>
      </c>
    </row>
    <row r="205" spans="12:37" x14ac:dyDescent="0.25">
      <c r="AI205">
        <v>204</v>
      </c>
      <c r="AJ205">
        <v>3.6746645346835888E-2</v>
      </c>
      <c r="AK205">
        <v>1</v>
      </c>
    </row>
    <row r="206" spans="12:37" x14ac:dyDescent="0.25">
      <c r="AI206">
        <v>205</v>
      </c>
      <c r="AJ206">
        <v>3.6736808131500237E-2</v>
      </c>
      <c r="AK206">
        <v>1</v>
      </c>
    </row>
    <row r="207" spans="12:37" x14ac:dyDescent="0.25">
      <c r="AI207">
        <v>206</v>
      </c>
      <c r="AJ207">
        <v>3.672974717372407E-2</v>
      </c>
      <c r="AK207">
        <v>1</v>
      </c>
    </row>
    <row r="208" spans="12:37" x14ac:dyDescent="0.25">
      <c r="AI208">
        <v>207</v>
      </c>
      <c r="AJ208">
        <v>3.6725064620475992E-2</v>
      </c>
      <c r="AK208">
        <v>0.5</v>
      </c>
    </row>
    <row r="209" spans="35:37" x14ac:dyDescent="0.25">
      <c r="AI209">
        <v>208</v>
      </c>
      <c r="AJ209">
        <v>3.6720696139878876E-2</v>
      </c>
      <c r="AK209">
        <v>1</v>
      </c>
    </row>
    <row r="210" spans="35:37" x14ac:dyDescent="0.25">
      <c r="AI210">
        <v>209</v>
      </c>
      <c r="AJ210">
        <v>3.6717777714531302E-2</v>
      </c>
      <c r="AK210">
        <v>1</v>
      </c>
    </row>
    <row r="211" spans="35:37" x14ac:dyDescent="0.25">
      <c r="AI211">
        <v>210</v>
      </c>
      <c r="AJ211">
        <v>3.6714092364183153E-2</v>
      </c>
      <c r="AK211">
        <v>1</v>
      </c>
    </row>
    <row r="212" spans="35:37" x14ac:dyDescent="0.25">
      <c r="AI212">
        <v>211</v>
      </c>
      <c r="AJ212">
        <v>3.6711447618504735E-2</v>
      </c>
      <c r="AK212">
        <v>1</v>
      </c>
    </row>
    <row r="213" spans="35:37" x14ac:dyDescent="0.25">
      <c r="AI213">
        <v>212</v>
      </c>
      <c r="AJ213">
        <v>3.6707768722450275E-2</v>
      </c>
      <c r="AK213">
        <v>1</v>
      </c>
    </row>
    <row r="214" spans="35:37" x14ac:dyDescent="0.25">
      <c r="AI214">
        <v>213</v>
      </c>
      <c r="AJ214">
        <v>3.6705073644576869E-2</v>
      </c>
      <c r="AK214">
        <v>1</v>
      </c>
    </row>
    <row r="215" spans="35:37" x14ac:dyDescent="0.25">
      <c r="AI215">
        <v>214</v>
      </c>
      <c r="AJ215">
        <v>3.6704216320957252E-2</v>
      </c>
      <c r="AK215">
        <v>0.25</v>
      </c>
    </row>
    <row r="216" spans="35:37" x14ac:dyDescent="0.25">
      <c r="AI216">
        <v>215</v>
      </c>
      <c r="AJ216">
        <v>3.6703371164075828E-2</v>
      </c>
      <c r="AK216">
        <v>1</v>
      </c>
    </row>
    <row r="217" spans="35:37" x14ac:dyDescent="0.25">
      <c r="AI217">
        <v>216</v>
      </c>
      <c r="AJ217">
        <v>3.6702988998433952E-2</v>
      </c>
      <c r="AK217">
        <v>1</v>
      </c>
    </row>
    <row r="218" spans="35:37" x14ac:dyDescent="0.25">
      <c r="AI218">
        <v>217</v>
      </c>
      <c r="AJ218">
        <v>3.6702810585876502E-2</v>
      </c>
      <c r="AK218">
        <v>1</v>
      </c>
    </row>
    <row r="219" spans="35:37" x14ac:dyDescent="0.25">
      <c r="AI219">
        <v>218</v>
      </c>
      <c r="AJ219">
        <v>3.6702461938332431E-2</v>
      </c>
      <c r="AK219">
        <v>1</v>
      </c>
    </row>
    <row r="220" spans="35:37" x14ac:dyDescent="0.25">
      <c r="AI220">
        <v>219</v>
      </c>
      <c r="AJ220">
        <v>3.6700697670098988E-2</v>
      </c>
      <c r="AK220">
        <v>1</v>
      </c>
    </row>
    <row r="221" spans="35:37" x14ac:dyDescent="0.25">
      <c r="AI221">
        <v>220</v>
      </c>
      <c r="AJ221">
        <v>3.6698017110834154E-2</v>
      </c>
      <c r="AK221">
        <v>1</v>
      </c>
    </row>
    <row r="222" spans="35:37" x14ac:dyDescent="0.25">
      <c r="AI222">
        <v>221</v>
      </c>
      <c r="AJ222">
        <v>3.6685717178791988E-2</v>
      </c>
      <c r="AK222">
        <v>1</v>
      </c>
    </row>
    <row r="223" spans="35:37" x14ac:dyDescent="0.25">
      <c r="AI223">
        <v>222</v>
      </c>
      <c r="AJ223">
        <v>3.6678597987681881E-2</v>
      </c>
      <c r="AK223">
        <v>0.5</v>
      </c>
    </row>
    <row r="224" spans="35:37" x14ac:dyDescent="0.25">
      <c r="AI224">
        <v>223</v>
      </c>
      <c r="AJ224">
        <v>3.6665051239972421E-2</v>
      </c>
      <c r="AK224">
        <v>0.5</v>
      </c>
    </row>
    <row r="225" spans="35:37" x14ac:dyDescent="0.25">
      <c r="AI225">
        <v>224</v>
      </c>
      <c r="AJ225">
        <v>3.6658654790150527E-2</v>
      </c>
      <c r="AK225">
        <v>1</v>
      </c>
    </row>
    <row r="226" spans="35:37" x14ac:dyDescent="0.25">
      <c r="AI226">
        <v>225</v>
      </c>
      <c r="AJ226">
        <v>3.6653336188537312E-2</v>
      </c>
      <c r="AK226">
        <v>1</v>
      </c>
    </row>
    <row r="227" spans="35:37" x14ac:dyDescent="0.25">
      <c r="AI227">
        <v>226</v>
      </c>
      <c r="AJ227">
        <v>3.6638708809225561E-2</v>
      </c>
      <c r="AK227">
        <v>1</v>
      </c>
    </row>
    <row r="228" spans="35:37" x14ac:dyDescent="0.25">
      <c r="AI228">
        <v>227</v>
      </c>
      <c r="AJ228">
        <v>3.6624076067207564E-2</v>
      </c>
      <c r="AK228">
        <v>1</v>
      </c>
    </row>
    <row r="229" spans="35:37" x14ac:dyDescent="0.25">
      <c r="AI229">
        <v>228</v>
      </c>
      <c r="AJ229">
        <v>3.6599389475940929E-2</v>
      </c>
      <c r="AK229">
        <v>1</v>
      </c>
    </row>
    <row r="230" spans="35:37" x14ac:dyDescent="0.25">
      <c r="AI230">
        <v>229</v>
      </c>
      <c r="AJ230">
        <v>3.655247080718959E-2</v>
      </c>
      <c r="AK230">
        <v>1</v>
      </c>
    </row>
    <row r="231" spans="35:37" x14ac:dyDescent="0.25">
      <c r="AI231">
        <v>230</v>
      </c>
      <c r="AJ231">
        <v>3.6513200142656986E-2</v>
      </c>
      <c r="AK231">
        <v>0.5</v>
      </c>
    </row>
    <row r="232" spans="35:37" x14ac:dyDescent="0.25">
      <c r="AI232">
        <v>231</v>
      </c>
      <c r="AJ232">
        <v>3.6437364406331572E-2</v>
      </c>
      <c r="AK232">
        <v>1</v>
      </c>
    </row>
    <row r="233" spans="35:37" x14ac:dyDescent="0.25">
      <c r="AI233">
        <v>232</v>
      </c>
      <c r="AJ233">
        <v>3.636523804510372E-2</v>
      </c>
      <c r="AK233">
        <v>1</v>
      </c>
    </row>
    <row r="234" spans="35:37" x14ac:dyDescent="0.25">
      <c r="AI234">
        <v>233</v>
      </c>
      <c r="AJ234">
        <v>3.6284401988028896E-2</v>
      </c>
      <c r="AK234">
        <v>0.5</v>
      </c>
    </row>
    <row r="235" spans="35:37" x14ac:dyDescent="0.25">
      <c r="AI235">
        <v>234</v>
      </c>
      <c r="AJ235">
        <v>3.6236390389699606E-2</v>
      </c>
      <c r="AK235">
        <v>0.5</v>
      </c>
    </row>
    <row r="236" spans="35:37" x14ac:dyDescent="0.25">
      <c r="AI236">
        <v>235</v>
      </c>
      <c r="AJ236">
        <v>3.6155528253441559E-2</v>
      </c>
      <c r="AK236">
        <v>1</v>
      </c>
    </row>
    <row r="237" spans="35:37" x14ac:dyDescent="0.25">
      <c r="AI237">
        <v>236</v>
      </c>
      <c r="AJ237">
        <v>3.6095723646151809E-2</v>
      </c>
      <c r="AK237">
        <v>0.5</v>
      </c>
    </row>
    <row r="238" spans="35:37" x14ac:dyDescent="0.25">
      <c r="AI238">
        <v>237</v>
      </c>
      <c r="AJ238">
        <v>3.6021857534357306E-2</v>
      </c>
      <c r="AK238">
        <v>1</v>
      </c>
    </row>
    <row r="239" spans="35:37" x14ac:dyDescent="0.25">
      <c r="AI239">
        <v>238</v>
      </c>
      <c r="AJ239">
        <v>3.5992058504094801E-2</v>
      </c>
      <c r="AK239">
        <v>0.5</v>
      </c>
    </row>
    <row r="240" spans="35:37" x14ac:dyDescent="0.25">
      <c r="AI240">
        <v>239</v>
      </c>
      <c r="AJ240">
        <v>3.5964988909585993E-2</v>
      </c>
      <c r="AK240">
        <v>1</v>
      </c>
    </row>
    <row r="241" spans="35:37" x14ac:dyDescent="0.25">
      <c r="AI241">
        <v>240</v>
      </c>
      <c r="AJ241">
        <v>3.5921358192741032E-2</v>
      </c>
      <c r="AK241">
        <v>1</v>
      </c>
    </row>
    <row r="242" spans="35:37" x14ac:dyDescent="0.25">
      <c r="AI242">
        <v>241</v>
      </c>
      <c r="AJ242">
        <v>3.5868013111399775E-2</v>
      </c>
      <c r="AK242">
        <v>1</v>
      </c>
    </row>
    <row r="243" spans="35:37" x14ac:dyDescent="0.25">
      <c r="AI243">
        <v>242</v>
      </c>
      <c r="AJ243">
        <v>3.5838515500687985E-2</v>
      </c>
      <c r="AK243">
        <v>1</v>
      </c>
    </row>
    <row r="244" spans="35:37" x14ac:dyDescent="0.25">
      <c r="AI244">
        <v>243</v>
      </c>
      <c r="AJ244">
        <v>3.5781464653038469E-2</v>
      </c>
      <c r="AK244">
        <v>1</v>
      </c>
    </row>
    <row r="245" spans="35:37" x14ac:dyDescent="0.25">
      <c r="AI245">
        <v>244</v>
      </c>
      <c r="AJ245">
        <v>3.5763850758240019E-2</v>
      </c>
      <c r="AK245">
        <v>1</v>
      </c>
    </row>
    <row r="246" spans="35:37" x14ac:dyDescent="0.25">
      <c r="AI246">
        <v>245</v>
      </c>
      <c r="AJ246">
        <v>3.5736571425137691E-2</v>
      </c>
      <c r="AK246">
        <v>1</v>
      </c>
    </row>
    <row r="247" spans="35:37" x14ac:dyDescent="0.25">
      <c r="AI247">
        <v>246</v>
      </c>
      <c r="AJ247">
        <v>3.5729419504980209E-2</v>
      </c>
      <c r="AK247">
        <v>1</v>
      </c>
    </row>
    <row r="248" spans="35:37" x14ac:dyDescent="0.25">
      <c r="AI248">
        <v>247</v>
      </c>
      <c r="AJ248">
        <v>3.5723437090622021E-2</v>
      </c>
      <c r="AK248">
        <v>1</v>
      </c>
    </row>
    <row r="249" spans="35:37" x14ac:dyDescent="0.25">
      <c r="AI249">
        <v>248</v>
      </c>
      <c r="AJ249">
        <v>3.5712721507666481E-2</v>
      </c>
      <c r="AK249">
        <v>1</v>
      </c>
    </row>
    <row r="250" spans="35:37" x14ac:dyDescent="0.25">
      <c r="AI250">
        <v>249</v>
      </c>
      <c r="AJ250">
        <v>3.570863711296627E-2</v>
      </c>
      <c r="AK250">
        <v>1</v>
      </c>
    </row>
    <row r="251" spans="35:37" x14ac:dyDescent="0.25">
      <c r="AI251">
        <v>250</v>
      </c>
      <c r="AJ251">
        <v>3.5705482455350102E-2</v>
      </c>
      <c r="AK251">
        <v>1</v>
      </c>
    </row>
    <row r="252" spans="35:37" x14ac:dyDescent="0.25">
      <c r="AI252">
        <v>251</v>
      </c>
      <c r="AJ252">
        <v>3.5704433684459927E-2</v>
      </c>
      <c r="AK252">
        <v>1</v>
      </c>
    </row>
    <row r="253" spans="35:37" x14ac:dyDescent="0.25">
      <c r="AI253">
        <v>252</v>
      </c>
      <c r="AJ253">
        <v>3.5702020998753727E-2</v>
      </c>
      <c r="AK253">
        <v>1</v>
      </c>
    </row>
    <row r="254" spans="35:37" x14ac:dyDescent="0.25">
      <c r="AI254">
        <v>253</v>
      </c>
      <c r="AJ254">
        <v>3.5699964790402432E-2</v>
      </c>
      <c r="AK254">
        <v>1</v>
      </c>
    </row>
    <row r="255" spans="35:37" x14ac:dyDescent="0.25">
      <c r="AI255">
        <v>254</v>
      </c>
      <c r="AJ255">
        <v>3.5697411285323152E-2</v>
      </c>
      <c r="AK255">
        <v>1</v>
      </c>
    </row>
    <row r="256" spans="35:37" x14ac:dyDescent="0.25">
      <c r="AI256">
        <v>255</v>
      </c>
      <c r="AJ256">
        <v>3.5694618975026876E-2</v>
      </c>
      <c r="AK256">
        <v>1</v>
      </c>
    </row>
    <row r="257" spans="35:37" x14ac:dyDescent="0.25">
      <c r="AI257">
        <v>256</v>
      </c>
      <c r="AJ257">
        <v>3.569006921410222E-2</v>
      </c>
      <c r="AK257">
        <v>1</v>
      </c>
    </row>
    <row r="258" spans="35:37" x14ac:dyDescent="0.25">
      <c r="AI258">
        <v>257</v>
      </c>
      <c r="AJ258">
        <v>3.5684178773750817E-2</v>
      </c>
      <c r="AK258">
        <v>1</v>
      </c>
    </row>
    <row r="259" spans="35:37" x14ac:dyDescent="0.25">
      <c r="AI259">
        <v>258</v>
      </c>
      <c r="AJ259">
        <v>3.5677175310835751E-2</v>
      </c>
      <c r="AK259">
        <v>1</v>
      </c>
    </row>
    <row r="260" spans="35:37" x14ac:dyDescent="0.25">
      <c r="AI260">
        <v>259</v>
      </c>
      <c r="AJ260">
        <v>3.56685573260088E-2</v>
      </c>
      <c r="AK260">
        <v>1</v>
      </c>
    </row>
    <row r="261" spans="35:37" x14ac:dyDescent="0.25">
      <c r="AI261">
        <v>260</v>
      </c>
      <c r="AJ261">
        <v>3.5658078313574162E-2</v>
      </c>
      <c r="AK261">
        <v>1</v>
      </c>
    </row>
    <row r="262" spans="35:37" x14ac:dyDescent="0.25">
      <c r="AI262">
        <v>261</v>
      </c>
      <c r="AJ262">
        <v>3.5643977900449347E-2</v>
      </c>
      <c r="AK262">
        <v>1</v>
      </c>
    </row>
    <row r="263" spans="35:37" x14ac:dyDescent="0.25">
      <c r="AI263">
        <v>262</v>
      </c>
      <c r="AJ263">
        <v>3.5636500460560439E-2</v>
      </c>
      <c r="AK263">
        <v>1</v>
      </c>
    </row>
    <row r="264" spans="35:37" x14ac:dyDescent="0.25">
      <c r="AI264">
        <v>263</v>
      </c>
      <c r="AJ264">
        <v>3.5600922195934519E-2</v>
      </c>
      <c r="AK264">
        <v>1</v>
      </c>
    </row>
    <row r="265" spans="35:37" x14ac:dyDescent="0.25">
      <c r="AI265">
        <v>264</v>
      </c>
      <c r="AJ265">
        <v>3.5560749053831456E-2</v>
      </c>
      <c r="AK265">
        <v>1</v>
      </c>
    </row>
    <row r="266" spans="35:37" x14ac:dyDescent="0.25">
      <c r="AI266">
        <v>265</v>
      </c>
      <c r="AJ266">
        <v>3.5475104482969005E-2</v>
      </c>
      <c r="AK266">
        <v>0.5</v>
      </c>
    </row>
    <row r="267" spans="35:37" x14ac:dyDescent="0.25">
      <c r="AI267">
        <v>266</v>
      </c>
      <c r="AJ267">
        <v>3.5454609909117175E-2</v>
      </c>
      <c r="AK267">
        <v>0.5</v>
      </c>
    </row>
    <row r="268" spans="35:37" x14ac:dyDescent="0.25">
      <c r="AI268">
        <v>267</v>
      </c>
      <c r="AJ268">
        <v>3.5414289020094206E-2</v>
      </c>
      <c r="AK268">
        <v>1</v>
      </c>
    </row>
    <row r="269" spans="35:37" x14ac:dyDescent="0.25">
      <c r="AI269">
        <v>268</v>
      </c>
      <c r="AJ269">
        <v>3.5386509291488795E-2</v>
      </c>
      <c r="AK269">
        <v>1</v>
      </c>
    </row>
    <row r="270" spans="35:37" x14ac:dyDescent="0.25">
      <c r="AI270">
        <v>269</v>
      </c>
      <c r="AJ270">
        <v>3.5372183194557802E-2</v>
      </c>
      <c r="AK270">
        <v>0.5</v>
      </c>
    </row>
    <row r="271" spans="35:37" x14ac:dyDescent="0.25">
      <c r="AI271">
        <v>270</v>
      </c>
      <c r="AJ271">
        <v>3.5355897250594723E-2</v>
      </c>
      <c r="AK271">
        <v>1</v>
      </c>
    </row>
    <row r="272" spans="35:37" x14ac:dyDescent="0.25">
      <c r="AI272">
        <v>271</v>
      </c>
      <c r="AJ272">
        <v>3.5335459851537028E-2</v>
      </c>
      <c r="AK272">
        <v>1</v>
      </c>
    </row>
    <row r="273" spans="35:37" x14ac:dyDescent="0.25">
      <c r="AI273">
        <v>272</v>
      </c>
      <c r="AJ273">
        <v>3.5312731333814074E-2</v>
      </c>
      <c r="AK273">
        <v>1</v>
      </c>
    </row>
    <row r="274" spans="35:37" x14ac:dyDescent="0.25">
      <c r="AI274">
        <v>273</v>
      </c>
      <c r="AJ274">
        <v>3.5299850170945259E-2</v>
      </c>
      <c r="AK274">
        <v>1</v>
      </c>
    </row>
    <row r="275" spans="35:37" x14ac:dyDescent="0.25">
      <c r="AI275">
        <v>274</v>
      </c>
      <c r="AJ275">
        <v>3.5288299209064941E-2</v>
      </c>
      <c r="AK275">
        <v>1</v>
      </c>
    </row>
    <row r="276" spans="35:37" x14ac:dyDescent="0.25">
      <c r="AI276">
        <v>275</v>
      </c>
      <c r="AJ276">
        <v>3.5285332647541683E-2</v>
      </c>
      <c r="AK276">
        <v>0.5</v>
      </c>
    </row>
    <row r="277" spans="35:37" x14ac:dyDescent="0.25">
      <c r="AI277">
        <v>276</v>
      </c>
      <c r="AJ277">
        <v>3.528180780136677E-2</v>
      </c>
      <c r="AK277">
        <v>1</v>
      </c>
    </row>
    <row r="278" spans="35:37" x14ac:dyDescent="0.25">
      <c r="AI278">
        <v>277</v>
      </c>
      <c r="AJ278">
        <v>3.5280314054273565E-2</v>
      </c>
      <c r="AK278">
        <v>1</v>
      </c>
    </row>
    <row r="279" spans="35:37" x14ac:dyDescent="0.25">
      <c r="AI279">
        <v>278</v>
      </c>
      <c r="AJ279">
        <v>3.5279463976794136E-2</v>
      </c>
      <c r="AK279">
        <v>1</v>
      </c>
    </row>
    <row r="280" spans="35:37" x14ac:dyDescent="0.25">
      <c r="AI280">
        <v>279</v>
      </c>
      <c r="AJ280">
        <v>3.5278726045929631E-2</v>
      </c>
      <c r="AK280">
        <v>1</v>
      </c>
    </row>
    <row r="281" spans="35:37" x14ac:dyDescent="0.25">
      <c r="AI281">
        <v>280</v>
      </c>
      <c r="AJ281">
        <v>3.527803063062087E-2</v>
      </c>
      <c r="AK281">
        <v>1</v>
      </c>
    </row>
    <row r="282" spans="35:37" x14ac:dyDescent="0.25">
      <c r="AI282">
        <v>281</v>
      </c>
      <c r="AJ282">
        <v>3.5277432794988059E-2</v>
      </c>
      <c r="AK282">
        <v>1</v>
      </c>
    </row>
    <row r="283" spans="35:37" x14ac:dyDescent="0.25">
      <c r="AI283">
        <v>282</v>
      </c>
      <c r="AJ283">
        <v>3.5277138801543449E-2</v>
      </c>
      <c r="AK283">
        <v>1</v>
      </c>
    </row>
    <row r="284" spans="35:37" x14ac:dyDescent="0.25">
      <c r="AI284">
        <v>283</v>
      </c>
      <c r="AJ284">
        <v>3.5276602432493941E-2</v>
      </c>
      <c r="AK284">
        <v>1</v>
      </c>
    </row>
    <row r="285" spans="35:37" x14ac:dyDescent="0.25">
      <c r="AI285">
        <v>284</v>
      </c>
      <c r="AJ285">
        <v>3.5275512895712374E-2</v>
      </c>
      <c r="AK285">
        <v>1</v>
      </c>
    </row>
    <row r="286" spans="35:37" x14ac:dyDescent="0.25">
      <c r="AI286">
        <v>285</v>
      </c>
      <c r="AJ286">
        <v>3.5274006135399917E-2</v>
      </c>
      <c r="AK286">
        <v>1</v>
      </c>
    </row>
    <row r="287" spans="35:37" x14ac:dyDescent="0.25">
      <c r="AI287">
        <v>286</v>
      </c>
      <c r="AJ287">
        <v>3.5272795528010929E-2</v>
      </c>
      <c r="AK287">
        <v>1</v>
      </c>
    </row>
    <row r="288" spans="35:37" x14ac:dyDescent="0.25">
      <c r="AI288">
        <v>287</v>
      </c>
      <c r="AJ288">
        <v>3.5271928387180913E-2</v>
      </c>
      <c r="AK288">
        <v>1</v>
      </c>
    </row>
    <row r="289" spans="35:37" x14ac:dyDescent="0.25">
      <c r="AI289">
        <v>288</v>
      </c>
      <c r="AJ289">
        <v>3.5271197944605391E-2</v>
      </c>
      <c r="AK289">
        <v>1</v>
      </c>
    </row>
    <row r="290" spans="35:37" x14ac:dyDescent="0.25">
      <c r="AI290">
        <v>289</v>
      </c>
      <c r="AJ290">
        <v>3.5270962121694692E-2</v>
      </c>
      <c r="AK290">
        <v>1</v>
      </c>
    </row>
    <row r="291" spans="35:37" x14ac:dyDescent="0.25">
      <c r="AI291">
        <v>290</v>
      </c>
      <c r="AJ291">
        <v>3.52706170662105E-2</v>
      </c>
      <c r="AK291">
        <v>1</v>
      </c>
    </row>
    <row r="292" spans="35:37" x14ac:dyDescent="0.25">
      <c r="AI292">
        <v>291</v>
      </c>
      <c r="AJ292">
        <v>3.5269552308259428E-2</v>
      </c>
      <c r="AK292">
        <v>1</v>
      </c>
    </row>
    <row r="293" spans="35:37" x14ac:dyDescent="0.25">
      <c r="AI293">
        <v>292</v>
      </c>
      <c r="AJ293">
        <v>3.5267214808413508E-2</v>
      </c>
      <c r="AK293">
        <v>1</v>
      </c>
    </row>
    <row r="294" spans="35:37" x14ac:dyDescent="0.25">
      <c r="AI294">
        <v>293</v>
      </c>
      <c r="AJ294">
        <v>3.5260590760006337E-2</v>
      </c>
      <c r="AK294">
        <v>1</v>
      </c>
    </row>
    <row r="295" spans="35:37" x14ac:dyDescent="0.25">
      <c r="AI295">
        <v>294</v>
      </c>
      <c r="AJ295">
        <v>3.5246678244493027E-2</v>
      </c>
      <c r="AK295">
        <v>1</v>
      </c>
    </row>
    <row r="296" spans="35:37" x14ac:dyDescent="0.25">
      <c r="AI296">
        <v>295</v>
      </c>
      <c r="AJ296">
        <v>3.5228502011049455E-2</v>
      </c>
      <c r="AK296">
        <v>0.5</v>
      </c>
    </row>
    <row r="297" spans="35:37" x14ac:dyDescent="0.25">
      <c r="AI297">
        <v>296</v>
      </c>
      <c r="AJ297">
        <v>3.5192530389815901E-2</v>
      </c>
      <c r="AK297">
        <v>1</v>
      </c>
    </row>
    <row r="298" spans="35:37" x14ac:dyDescent="0.25">
      <c r="AI298">
        <v>297</v>
      </c>
      <c r="AJ298">
        <v>3.5129531571570567E-2</v>
      </c>
      <c r="AK298">
        <v>0.5</v>
      </c>
    </row>
    <row r="299" spans="35:37" x14ac:dyDescent="0.25">
      <c r="AI299">
        <v>298</v>
      </c>
      <c r="AJ299">
        <v>3.5084638612503126E-2</v>
      </c>
      <c r="AK299">
        <v>0.5</v>
      </c>
    </row>
    <row r="300" spans="35:37" x14ac:dyDescent="0.25">
      <c r="AI300">
        <v>299</v>
      </c>
      <c r="AJ300">
        <v>3.5027107547119483E-2</v>
      </c>
      <c r="AK300">
        <v>1</v>
      </c>
    </row>
    <row r="301" spans="35:37" x14ac:dyDescent="0.25">
      <c r="AI301">
        <v>300</v>
      </c>
      <c r="AJ301">
        <v>3.500753622053001E-2</v>
      </c>
      <c r="AK301">
        <v>0.125</v>
      </c>
    </row>
    <row r="302" spans="35:37" x14ac:dyDescent="0.25">
      <c r="AI302">
        <v>301</v>
      </c>
      <c r="AJ302">
        <v>3.4967160928969537E-2</v>
      </c>
      <c r="AK302">
        <v>1</v>
      </c>
    </row>
    <row r="303" spans="35:37" x14ac:dyDescent="0.25">
      <c r="AI303">
        <v>302</v>
      </c>
      <c r="AJ303">
        <v>3.4953073239278695E-2</v>
      </c>
      <c r="AK303">
        <v>0.5</v>
      </c>
    </row>
    <row r="304" spans="35:37" x14ac:dyDescent="0.25">
      <c r="AI304">
        <v>303</v>
      </c>
      <c r="AJ304">
        <v>3.4951273818696865E-2</v>
      </c>
      <c r="AK304">
        <v>1</v>
      </c>
    </row>
    <row r="305" spans="35:37" x14ac:dyDescent="0.25">
      <c r="AI305">
        <v>304</v>
      </c>
      <c r="AJ305">
        <v>3.4938460803406776E-2</v>
      </c>
      <c r="AK305">
        <v>1</v>
      </c>
    </row>
    <row r="306" spans="35:37" x14ac:dyDescent="0.25">
      <c r="AI306">
        <v>305</v>
      </c>
      <c r="AJ306">
        <v>3.4931343290319043E-2</v>
      </c>
      <c r="AK306">
        <v>1</v>
      </c>
    </row>
    <row r="307" spans="35:37" x14ac:dyDescent="0.25">
      <c r="AI307">
        <v>306</v>
      </c>
      <c r="AJ307">
        <v>3.4917797854861536E-2</v>
      </c>
      <c r="AK307">
        <v>1</v>
      </c>
    </row>
    <row r="308" spans="35:37" x14ac:dyDescent="0.25">
      <c r="AI308">
        <v>307</v>
      </c>
      <c r="AJ308">
        <v>3.4892467111946893E-2</v>
      </c>
      <c r="AK308">
        <v>1</v>
      </c>
    </row>
    <row r="309" spans="35:37" x14ac:dyDescent="0.25">
      <c r="AI309">
        <v>308</v>
      </c>
      <c r="AJ309">
        <v>3.4879240856304713E-2</v>
      </c>
      <c r="AK309">
        <v>1</v>
      </c>
    </row>
    <row r="310" spans="35:37" x14ac:dyDescent="0.25">
      <c r="AI310">
        <v>309</v>
      </c>
      <c r="AJ310">
        <v>3.4860863650806942E-2</v>
      </c>
      <c r="AK310">
        <v>1</v>
      </c>
    </row>
    <row r="311" spans="35:37" x14ac:dyDescent="0.25">
      <c r="AI311">
        <v>310</v>
      </c>
      <c r="AJ311">
        <v>3.4850739615124859E-2</v>
      </c>
      <c r="AK311">
        <v>0.5</v>
      </c>
    </row>
    <row r="312" spans="35:37" x14ac:dyDescent="0.25">
      <c r="AI312">
        <v>311</v>
      </c>
      <c r="AJ312">
        <v>3.4832333376791501E-2</v>
      </c>
      <c r="AK312">
        <v>1</v>
      </c>
    </row>
    <row r="313" spans="35:37" x14ac:dyDescent="0.25">
      <c r="AI313">
        <v>312</v>
      </c>
      <c r="AJ313">
        <v>3.4814308134003671E-2</v>
      </c>
      <c r="AK313">
        <v>1</v>
      </c>
    </row>
    <row r="314" spans="35:37" x14ac:dyDescent="0.25">
      <c r="AI314">
        <v>313</v>
      </c>
      <c r="AJ314">
        <v>3.4805015198428192E-2</v>
      </c>
      <c r="AK314">
        <v>1</v>
      </c>
    </row>
    <row r="315" spans="35:37" x14ac:dyDescent="0.25">
      <c r="AI315">
        <v>314</v>
      </c>
      <c r="AJ315">
        <v>3.4796838239391899E-2</v>
      </c>
      <c r="AK315">
        <v>1</v>
      </c>
    </row>
    <row r="316" spans="35:37" x14ac:dyDescent="0.25">
      <c r="AI316">
        <v>315</v>
      </c>
      <c r="AJ316">
        <v>3.4792464613415404E-2</v>
      </c>
      <c r="AK316">
        <v>1</v>
      </c>
    </row>
    <row r="317" spans="35:37" x14ac:dyDescent="0.25">
      <c r="AI317">
        <v>316</v>
      </c>
      <c r="AJ317">
        <v>3.478704895506398E-2</v>
      </c>
      <c r="AK317">
        <v>1</v>
      </c>
    </row>
    <row r="318" spans="35:37" x14ac:dyDescent="0.25">
      <c r="AI318">
        <v>317</v>
      </c>
      <c r="AJ318">
        <v>3.4773817913194824E-2</v>
      </c>
      <c r="AK318">
        <v>1</v>
      </c>
    </row>
    <row r="319" spans="35:37" x14ac:dyDescent="0.25">
      <c r="AI319">
        <v>318</v>
      </c>
      <c r="AJ319">
        <v>3.4746794775231675E-2</v>
      </c>
      <c r="AK319">
        <v>1</v>
      </c>
    </row>
    <row r="320" spans="35:37" x14ac:dyDescent="0.25">
      <c r="AI320">
        <v>319</v>
      </c>
      <c r="AJ320">
        <v>3.4729164450659031E-2</v>
      </c>
      <c r="AK320">
        <v>1</v>
      </c>
    </row>
    <row r="321" spans="35:37" x14ac:dyDescent="0.25">
      <c r="AI321">
        <v>320</v>
      </c>
      <c r="AJ321">
        <v>3.4710716599104172E-2</v>
      </c>
      <c r="AK321">
        <v>0.5</v>
      </c>
    </row>
    <row r="322" spans="35:37" x14ac:dyDescent="0.25">
      <c r="AI322">
        <v>321</v>
      </c>
      <c r="AJ322">
        <v>3.4691684788741253E-2</v>
      </c>
      <c r="AK322">
        <v>1</v>
      </c>
    </row>
    <row r="323" spans="35:37" x14ac:dyDescent="0.25">
      <c r="AI323">
        <v>322</v>
      </c>
      <c r="AJ323">
        <v>3.4656314649762217E-2</v>
      </c>
      <c r="AK323">
        <v>1</v>
      </c>
    </row>
    <row r="324" spans="35:37" x14ac:dyDescent="0.25">
      <c r="AI324">
        <v>323</v>
      </c>
      <c r="AJ324">
        <v>3.4642178152482807E-2</v>
      </c>
      <c r="AK324">
        <v>1</v>
      </c>
    </row>
    <row r="325" spans="35:37" x14ac:dyDescent="0.25">
      <c r="AI325">
        <v>324</v>
      </c>
      <c r="AJ325">
        <v>3.4625257935884987E-2</v>
      </c>
      <c r="AK325">
        <v>1</v>
      </c>
    </row>
    <row r="326" spans="35:37" x14ac:dyDescent="0.25">
      <c r="AI326">
        <v>325</v>
      </c>
      <c r="AJ326">
        <v>3.4602692091717055E-2</v>
      </c>
      <c r="AK326">
        <v>1</v>
      </c>
    </row>
    <row r="327" spans="35:37" x14ac:dyDescent="0.25">
      <c r="AI327">
        <v>326</v>
      </c>
      <c r="AJ327">
        <v>3.4598247247014012E-2</v>
      </c>
      <c r="AK327">
        <v>1</v>
      </c>
    </row>
    <row r="328" spans="35:37" x14ac:dyDescent="0.25">
      <c r="AI328">
        <v>327</v>
      </c>
      <c r="AJ328">
        <v>3.4588337267008128E-2</v>
      </c>
      <c r="AK328">
        <v>1</v>
      </c>
    </row>
    <row r="329" spans="35:37" x14ac:dyDescent="0.25">
      <c r="AI329">
        <v>328</v>
      </c>
      <c r="AJ329">
        <v>3.4583036412725421E-2</v>
      </c>
      <c r="AK329">
        <v>1</v>
      </c>
    </row>
    <row r="330" spans="35:37" x14ac:dyDescent="0.25">
      <c r="AI330">
        <v>329</v>
      </c>
      <c r="AJ330">
        <v>3.4574805651774211E-2</v>
      </c>
      <c r="AK330">
        <v>1</v>
      </c>
    </row>
    <row r="331" spans="35:37" x14ac:dyDescent="0.25">
      <c r="AI331">
        <v>330</v>
      </c>
      <c r="AJ331">
        <v>3.4570946463594397E-2</v>
      </c>
      <c r="AK331">
        <v>0.5</v>
      </c>
    </row>
    <row r="332" spans="35:37" x14ac:dyDescent="0.25">
      <c r="AI332">
        <v>331</v>
      </c>
      <c r="AJ332">
        <v>3.4565530806448329E-2</v>
      </c>
      <c r="AK332">
        <v>1</v>
      </c>
    </row>
    <row r="333" spans="35:37" x14ac:dyDescent="0.25">
      <c r="AI333">
        <v>332</v>
      </c>
      <c r="AJ333">
        <v>3.4556195499451242E-2</v>
      </c>
      <c r="AK333">
        <v>1</v>
      </c>
    </row>
    <row r="334" spans="35:37" x14ac:dyDescent="0.25">
      <c r="AI334">
        <v>333</v>
      </c>
      <c r="AJ334">
        <v>3.4513617476151691E-2</v>
      </c>
      <c r="AK334">
        <v>1</v>
      </c>
    </row>
    <row r="335" spans="35:37" x14ac:dyDescent="0.25">
      <c r="AI335">
        <v>334</v>
      </c>
      <c r="AJ335">
        <v>3.4475319783910718E-2</v>
      </c>
      <c r="AK335">
        <v>0.25</v>
      </c>
    </row>
    <row r="336" spans="35:37" x14ac:dyDescent="0.25">
      <c r="AI336">
        <v>335</v>
      </c>
      <c r="AJ336">
        <v>3.442469149116089E-2</v>
      </c>
      <c r="AK336">
        <v>0.5</v>
      </c>
    </row>
    <row r="337" spans="35:37" x14ac:dyDescent="0.25">
      <c r="AI337">
        <v>336</v>
      </c>
      <c r="AJ337">
        <v>3.4398911594789645E-2</v>
      </c>
      <c r="AK337">
        <v>0.5</v>
      </c>
    </row>
    <row r="338" spans="35:37" x14ac:dyDescent="0.25">
      <c r="AI338">
        <v>337</v>
      </c>
      <c r="AJ338">
        <v>3.4383404823219395E-2</v>
      </c>
      <c r="AK338">
        <v>0.5</v>
      </c>
    </row>
    <row r="339" spans="35:37" x14ac:dyDescent="0.25">
      <c r="AI339">
        <v>338</v>
      </c>
      <c r="AJ339">
        <v>3.4380568554131338E-2</v>
      </c>
      <c r="AK339">
        <v>1</v>
      </c>
    </row>
    <row r="340" spans="35:37" x14ac:dyDescent="0.25">
      <c r="AI340">
        <v>339</v>
      </c>
      <c r="AJ340">
        <v>3.4379688624911933E-2</v>
      </c>
      <c r="AK340">
        <v>1</v>
      </c>
    </row>
    <row r="341" spans="35:37" x14ac:dyDescent="0.25">
      <c r="AI341">
        <v>340</v>
      </c>
      <c r="AJ341">
        <v>3.4378774968752288E-2</v>
      </c>
      <c r="AK341">
        <v>1</v>
      </c>
    </row>
    <row r="342" spans="35:37" x14ac:dyDescent="0.25">
      <c r="AI342">
        <v>341</v>
      </c>
      <c r="AJ342">
        <v>3.4377116790502496E-2</v>
      </c>
      <c r="AK342">
        <v>1</v>
      </c>
    </row>
    <row r="343" spans="35:37" x14ac:dyDescent="0.25">
      <c r="AI343">
        <v>342</v>
      </c>
      <c r="AJ343">
        <v>3.4373750222822318E-2</v>
      </c>
      <c r="AK343">
        <v>1</v>
      </c>
    </row>
    <row r="344" spans="35:37" x14ac:dyDescent="0.25">
      <c r="AI344">
        <v>343</v>
      </c>
      <c r="AJ344">
        <v>3.4372503866672066E-2</v>
      </c>
      <c r="AK344">
        <v>1</v>
      </c>
    </row>
    <row r="345" spans="35:37" x14ac:dyDescent="0.25">
      <c r="AI345">
        <v>344</v>
      </c>
      <c r="AJ345">
        <v>3.4372184131840663E-2</v>
      </c>
      <c r="AK345">
        <v>1</v>
      </c>
    </row>
    <row r="346" spans="35:37" x14ac:dyDescent="0.25">
      <c r="AI346">
        <v>345</v>
      </c>
      <c r="AJ346">
        <v>3.4371846659906079E-2</v>
      </c>
      <c r="AK346">
        <v>1</v>
      </c>
    </row>
    <row r="347" spans="35:37" x14ac:dyDescent="0.25">
      <c r="AI347">
        <v>346</v>
      </c>
      <c r="AJ347">
        <v>3.4370485393549387E-2</v>
      </c>
      <c r="AK347">
        <v>1</v>
      </c>
    </row>
    <row r="348" spans="35:37" x14ac:dyDescent="0.25">
      <c r="AI348">
        <v>347</v>
      </c>
      <c r="AJ348">
        <v>3.4365790997212813E-2</v>
      </c>
      <c r="AK348">
        <v>1</v>
      </c>
    </row>
    <row r="349" spans="35:37" x14ac:dyDescent="0.25">
      <c r="AI349">
        <v>348</v>
      </c>
      <c r="AJ349">
        <v>3.4358158763178569E-2</v>
      </c>
      <c r="AK349">
        <v>1</v>
      </c>
    </row>
    <row r="350" spans="35:37" x14ac:dyDescent="0.25">
      <c r="AI350">
        <v>349</v>
      </c>
      <c r="AJ350">
        <v>3.4348345724365001E-2</v>
      </c>
      <c r="AK350">
        <v>1</v>
      </c>
    </row>
    <row r="351" spans="35:37" x14ac:dyDescent="0.25">
      <c r="AI351">
        <v>350</v>
      </c>
      <c r="AJ351">
        <v>3.4339679269535357E-2</v>
      </c>
      <c r="AK351">
        <v>1</v>
      </c>
    </row>
    <row r="352" spans="35:37" x14ac:dyDescent="0.25">
      <c r="AI352">
        <v>351</v>
      </c>
      <c r="AJ352">
        <v>3.4328093418875535E-2</v>
      </c>
      <c r="AK352">
        <v>1</v>
      </c>
    </row>
    <row r="353" spans="35:37" x14ac:dyDescent="0.25">
      <c r="AI353">
        <v>352</v>
      </c>
      <c r="AJ353">
        <v>3.4322472681635255E-2</v>
      </c>
      <c r="AK353">
        <v>0.5</v>
      </c>
    </row>
    <row r="354" spans="35:37" x14ac:dyDescent="0.25">
      <c r="AI354">
        <v>353</v>
      </c>
      <c r="AJ354">
        <v>3.4320538436624463E-2</v>
      </c>
      <c r="AK354">
        <v>1</v>
      </c>
    </row>
    <row r="355" spans="35:37" x14ac:dyDescent="0.25">
      <c r="AI355">
        <v>354</v>
      </c>
      <c r="AJ355">
        <v>3.4317242135252696E-2</v>
      </c>
      <c r="AK355">
        <v>1</v>
      </c>
    </row>
    <row r="356" spans="35:37" x14ac:dyDescent="0.25">
      <c r="AI356">
        <v>355</v>
      </c>
      <c r="AJ356">
        <v>3.4315001747002145E-2</v>
      </c>
      <c r="AK356">
        <v>1</v>
      </c>
    </row>
    <row r="357" spans="35:37" x14ac:dyDescent="0.25">
      <c r="AI357">
        <v>356</v>
      </c>
      <c r="AJ357">
        <v>3.4310680398804971E-2</v>
      </c>
      <c r="AK357">
        <v>1</v>
      </c>
    </row>
    <row r="358" spans="35:37" x14ac:dyDescent="0.25">
      <c r="AI358">
        <v>357</v>
      </c>
      <c r="AJ358">
        <v>3.4308544215099407E-2</v>
      </c>
      <c r="AK358">
        <v>0.5</v>
      </c>
    </row>
    <row r="359" spans="35:37" x14ac:dyDescent="0.25">
      <c r="AI359">
        <v>358</v>
      </c>
      <c r="AJ359">
        <v>3.4307224401914659E-2</v>
      </c>
      <c r="AK359">
        <v>0.5</v>
      </c>
    </row>
    <row r="360" spans="35:37" x14ac:dyDescent="0.25">
      <c r="AI360">
        <v>359</v>
      </c>
      <c r="AJ360">
        <v>3.4305211735420969E-2</v>
      </c>
      <c r="AK360">
        <v>1</v>
      </c>
    </row>
    <row r="361" spans="35:37" x14ac:dyDescent="0.25">
      <c r="AI361">
        <v>360</v>
      </c>
      <c r="AJ361">
        <v>3.4304148395995708E-2</v>
      </c>
      <c r="AK361">
        <v>1</v>
      </c>
    </row>
    <row r="362" spans="35:37" x14ac:dyDescent="0.25">
      <c r="AI362">
        <v>361</v>
      </c>
      <c r="AJ362">
        <v>3.4303655560983158E-2</v>
      </c>
      <c r="AK362">
        <v>1</v>
      </c>
    </row>
    <row r="363" spans="35:37" x14ac:dyDescent="0.25">
      <c r="AI363">
        <v>362</v>
      </c>
      <c r="AJ363">
        <v>3.4302820881851437E-2</v>
      </c>
      <c r="AK363">
        <v>1</v>
      </c>
    </row>
    <row r="364" spans="35:37" x14ac:dyDescent="0.25">
      <c r="AI364">
        <v>363</v>
      </c>
      <c r="AJ364">
        <v>3.4301297580366319E-2</v>
      </c>
      <c r="AK364">
        <v>1</v>
      </c>
    </row>
    <row r="365" spans="35:37" x14ac:dyDescent="0.25">
      <c r="AI365">
        <v>364</v>
      </c>
      <c r="AJ365">
        <v>3.429906850452355E-2</v>
      </c>
      <c r="AK365">
        <v>1</v>
      </c>
    </row>
    <row r="366" spans="35:37" x14ac:dyDescent="0.25">
      <c r="AI366">
        <v>365</v>
      </c>
      <c r="AJ366">
        <v>3.4293854433735484E-2</v>
      </c>
      <c r="AK366">
        <v>1</v>
      </c>
    </row>
    <row r="367" spans="35:37" x14ac:dyDescent="0.25">
      <c r="AI367">
        <v>366</v>
      </c>
      <c r="AJ367">
        <v>3.4280150535466652E-2</v>
      </c>
      <c r="AK367">
        <v>0.5</v>
      </c>
    </row>
    <row r="368" spans="35:37" x14ac:dyDescent="0.25">
      <c r="AI368">
        <v>367</v>
      </c>
      <c r="AJ368">
        <v>3.4242943021602815E-2</v>
      </c>
      <c r="AK368">
        <v>0.5</v>
      </c>
    </row>
    <row r="369" spans="35:37" x14ac:dyDescent="0.25">
      <c r="AI369">
        <v>368</v>
      </c>
      <c r="AJ369">
        <v>3.4079903958511633E-2</v>
      </c>
      <c r="AK369">
        <v>1</v>
      </c>
    </row>
    <row r="370" spans="35:37" x14ac:dyDescent="0.25">
      <c r="AI370">
        <v>369</v>
      </c>
      <c r="AJ370">
        <v>3.4070748650616954E-2</v>
      </c>
      <c r="AK370">
        <v>0.25</v>
      </c>
    </row>
    <row r="371" spans="35:37" x14ac:dyDescent="0.25">
      <c r="AI371">
        <v>370</v>
      </c>
      <c r="AJ371">
        <v>3.3959971500411468E-2</v>
      </c>
      <c r="AK371">
        <v>0.125</v>
      </c>
    </row>
    <row r="372" spans="35:37" x14ac:dyDescent="0.25">
      <c r="AI372">
        <v>371</v>
      </c>
      <c r="AJ372">
        <v>3.3870669777219579E-2</v>
      </c>
      <c r="AK372">
        <v>6.25E-2</v>
      </c>
    </row>
    <row r="373" spans="35:37" x14ac:dyDescent="0.25">
      <c r="AI373">
        <v>372</v>
      </c>
      <c r="AJ373">
        <v>3.3829797704441951E-2</v>
      </c>
      <c r="AK373">
        <v>1</v>
      </c>
    </row>
    <row r="374" spans="35:37" x14ac:dyDescent="0.25">
      <c r="AI374">
        <v>373</v>
      </c>
      <c r="AJ374">
        <v>3.374806993519467E-2</v>
      </c>
      <c r="AK374">
        <v>1</v>
      </c>
    </row>
    <row r="375" spans="35:37" x14ac:dyDescent="0.25">
      <c r="AI375">
        <v>374</v>
      </c>
      <c r="AJ375">
        <v>3.3713298372233975E-2</v>
      </c>
      <c r="AK375">
        <v>1</v>
      </c>
    </row>
    <row r="376" spans="35:37" x14ac:dyDescent="0.25">
      <c r="AI376">
        <v>375</v>
      </c>
      <c r="AJ376">
        <v>3.3643612268697824E-2</v>
      </c>
      <c r="AK376">
        <v>1</v>
      </c>
    </row>
    <row r="377" spans="35:37" x14ac:dyDescent="0.25">
      <c r="AI377">
        <v>376</v>
      </c>
      <c r="AJ377">
        <v>3.3612809273901229E-2</v>
      </c>
      <c r="AK377">
        <v>1</v>
      </c>
    </row>
    <row r="378" spans="35:37" x14ac:dyDescent="0.25">
      <c r="AI378">
        <v>377</v>
      </c>
      <c r="AJ378">
        <v>3.359141714934108E-2</v>
      </c>
      <c r="AK378">
        <v>1</v>
      </c>
    </row>
    <row r="379" spans="35:37" x14ac:dyDescent="0.25">
      <c r="AI379">
        <v>378</v>
      </c>
      <c r="AJ379">
        <v>3.3551978372831186E-2</v>
      </c>
      <c r="AK379">
        <v>1</v>
      </c>
    </row>
    <row r="380" spans="35:37" x14ac:dyDescent="0.25">
      <c r="AI380">
        <v>379</v>
      </c>
      <c r="AJ380">
        <v>3.3534553720900979E-2</v>
      </c>
      <c r="AK380">
        <v>1</v>
      </c>
    </row>
    <row r="381" spans="35:37" x14ac:dyDescent="0.25">
      <c r="AI381">
        <v>380</v>
      </c>
      <c r="AJ381">
        <v>3.3520877483101036E-2</v>
      </c>
      <c r="AK381">
        <v>1</v>
      </c>
    </row>
    <row r="382" spans="35:37" x14ac:dyDescent="0.25">
      <c r="AI382">
        <v>381</v>
      </c>
      <c r="AJ382">
        <v>3.3518876953806342E-2</v>
      </c>
      <c r="AK382">
        <v>1</v>
      </c>
    </row>
    <row r="383" spans="35:37" x14ac:dyDescent="0.25">
      <c r="AI383">
        <v>382</v>
      </c>
      <c r="AJ383">
        <v>3.3518130741684173E-2</v>
      </c>
      <c r="AK383">
        <v>1</v>
      </c>
    </row>
    <row r="384" spans="35:37" x14ac:dyDescent="0.25">
      <c r="AI384">
        <v>383</v>
      </c>
      <c r="AJ384">
        <v>3.3517403773253268E-2</v>
      </c>
      <c r="AK384">
        <v>1</v>
      </c>
    </row>
    <row r="385" spans="35:37" x14ac:dyDescent="0.25">
      <c r="AI385">
        <v>384</v>
      </c>
      <c r="AJ385">
        <v>3.3517213171279862E-2</v>
      </c>
      <c r="AK385">
        <v>1</v>
      </c>
    </row>
    <row r="386" spans="35:37" x14ac:dyDescent="0.25">
      <c r="AI386">
        <v>385</v>
      </c>
      <c r="AJ386">
        <v>3.3516962200143233E-2</v>
      </c>
      <c r="AK386">
        <v>1</v>
      </c>
    </row>
    <row r="387" spans="35:37" x14ac:dyDescent="0.25">
      <c r="AI387">
        <v>386</v>
      </c>
      <c r="AJ387">
        <v>3.3516618275147202E-2</v>
      </c>
      <c r="AK387">
        <v>1</v>
      </c>
    </row>
    <row r="388" spans="35:37" x14ac:dyDescent="0.25">
      <c r="AI388">
        <v>387</v>
      </c>
      <c r="AJ388">
        <v>3.3516046493392571E-2</v>
      </c>
      <c r="AK388">
        <v>1</v>
      </c>
    </row>
    <row r="389" spans="35:37" x14ac:dyDescent="0.25">
      <c r="AI389">
        <v>388</v>
      </c>
      <c r="AJ389">
        <v>3.3514755613054309E-2</v>
      </c>
      <c r="AK389">
        <v>1</v>
      </c>
    </row>
    <row r="390" spans="35:37" x14ac:dyDescent="0.25">
      <c r="AI390">
        <v>389</v>
      </c>
      <c r="AJ390">
        <v>3.3512960692209715E-2</v>
      </c>
      <c r="AK390">
        <v>1</v>
      </c>
    </row>
    <row r="391" spans="35:37" x14ac:dyDescent="0.25">
      <c r="AI391">
        <v>390</v>
      </c>
      <c r="AJ391">
        <v>3.3511584115537091E-2</v>
      </c>
      <c r="AK391">
        <v>1</v>
      </c>
    </row>
    <row r="392" spans="35:37" x14ac:dyDescent="0.25">
      <c r="AI392">
        <v>391</v>
      </c>
      <c r="AJ392">
        <v>3.3511232021316548E-2</v>
      </c>
      <c r="AK392">
        <v>1</v>
      </c>
    </row>
    <row r="393" spans="35:37" x14ac:dyDescent="0.25">
      <c r="AI393">
        <v>392</v>
      </c>
      <c r="AJ393">
        <v>3.3511186189645097E-2</v>
      </c>
      <c r="AK393">
        <v>1</v>
      </c>
    </row>
    <row r="394" spans="35:37" x14ac:dyDescent="0.25">
      <c r="AI394">
        <v>393</v>
      </c>
      <c r="AJ394">
        <v>3.3511157998311641E-2</v>
      </c>
      <c r="AK394">
        <v>1</v>
      </c>
    </row>
    <row r="395" spans="35:37" x14ac:dyDescent="0.25">
      <c r="AI395">
        <v>394</v>
      </c>
      <c r="AJ395">
        <v>3.3511108217910861E-2</v>
      </c>
      <c r="AK395">
        <v>1</v>
      </c>
    </row>
    <row r="396" spans="35:37" x14ac:dyDescent="0.25">
      <c r="AI396">
        <v>395</v>
      </c>
      <c r="AJ396">
        <v>3.351098441779627E-2</v>
      </c>
      <c r="AK396">
        <v>1</v>
      </c>
    </row>
    <row r="397" spans="35:37" x14ac:dyDescent="0.25">
      <c r="AI397">
        <v>396</v>
      </c>
      <c r="AJ397">
        <v>3.3510658857512324E-2</v>
      </c>
      <c r="AK397">
        <v>1</v>
      </c>
    </row>
  </sheetData>
  <sortState xmlns:xlrd2="http://schemas.microsoft.com/office/spreadsheetml/2017/richdata2" ref="AD2:AG102">
    <sortCondition ref="AD2:AD102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Stomp</vt:lpstr>
      <vt:lpstr>Maze</vt:lpstr>
      <vt:lpstr>MazeII</vt:lpstr>
      <vt:lpstr>Sheet1</vt:lpstr>
      <vt:lpstr>MazeTrainProgress</vt:lpstr>
      <vt:lpstr>MazeNN</vt:lpstr>
      <vt:lpstr>MazeStateAction</vt:lpstr>
      <vt:lpstr>MazeStateValue</vt:lpstr>
      <vt:lpstr>MazeIITrainProgress</vt:lpstr>
      <vt:lpstr>MazeIINN</vt:lpstr>
      <vt:lpstr>MazeIIStateAction</vt:lpstr>
      <vt:lpstr>MazeIIStateValue</vt:lpstr>
      <vt:lpstr>StompTrainProgress</vt:lpstr>
      <vt:lpstr>StompNN</vt:lpstr>
      <vt:lpstr>StompStateAction</vt:lpstr>
      <vt:lpstr>StompStateValue</vt:lpstr>
      <vt:lpstr>Iris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</dc:creator>
  <cp:lastModifiedBy>pong</cp:lastModifiedBy>
  <dcterms:created xsi:type="dcterms:W3CDTF">2023-04-03T01:54:07Z</dcterms:created>
  <dcterms:modified xsi:type="dcterms:W3CDTF">2023-04-28T16:47:51Z</dcterms:modified>
</cp:coreProperties>
</file>